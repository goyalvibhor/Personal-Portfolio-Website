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theme/themeOverride7.xml" ContentType="application/vnd.openxmlformats-officedocument.themeOverrid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theme/themeOverride8.xml" ContentType="application/vnd.openxmlformats-officedocument.themeOverrid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theme/themeOverride9.xml" ContentType="application/vnd.openxmlformats-officedocument.themeOverride+xml"/>
  <Override PartName="/xl/charts/chart12.xml" ContentType="application/vnd.openxmlformats-officedocument.drawingml.chart+xml"/>
  <Override PartName="/xl/theme/themeOverride10.xml" ContentType="application/vnd.openxmlformats-officedocument.themeOverrid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456" windowWidth="7968" windowHeight="3396" tabRatio="897"/>
  </bookViews>
  <sheets>
    <sheet name="Campaign Summary" sheetId="19" r:id="rId1"/>
    <sheet name="Top level Summary" sheetId="20" r:id="rId2"/>
    <sheet name="Top Level Summary RAW" sheetId="22" r:id="rId3"/>
    <sheet name="Creative Summary" sheetId="28" r:id="rId4"/>
    <sheet name="Video RAW" sheetId="29" r:id="rId5"/>
    <sheet name="Expandable Summary RAW" sheetId="30" r:id="rId6"/>
    <sheet name="Language Summary" sheetId="23" r:id="rId7"/>
    <sheet name="Creative &amp; Lang Report Raw" sheetId="24" r:id="rId8"/>
    <sheet name="Geo Performance" sheetId="25" r:id="rId9"/>
    <sheet name="Geo RAW" sheetId="26" r:id="rId10"/>
    <sheet name="Conversion Summary" sheetId="31" r:id="rId11"/>
    <sheet name="Conversion Data Raw" sheetId="32" r:id="rId12"/>
    <sheet name="Pivots" sheetId="27" r:id="rId13"/>
    <sheet name="Top Level Summary Pivots" sheetId="33" r:id="rId14"/>
  </sheets>
  <externalReferences>
    <externalReference r:id="rId15"/>
    <externalReference r:id="rId16"/>
  </externalReferences>
  <definedNames>
    <definedName name="_xlnm._FilterDatabase" localSheetId="7" hidden="1">'Creative &amp; Lang Report Raw'!$A$1:$I$1103</definedName>
    <definedName name="CLS">OFFSET('Creative &amp; Lang Report Raw'!$A$1,0,0,COUNTA('Creative &amp; Lang Report Raw'!$A:$A),9)</definedName>
    <definedName name="Conv">OFFSET('Conversion Data Raw'!$A$1,0,0,COUNTA('Conversion Data Raw'!$A:$A),15)</definedName>
    <definedName name="d">'[1]Raw Data'!$B$1:$C$102</definedName>
    <definedName name="EXP_Sum">OFFSET('Expandable Summary RAW'!$A$1,0,0,COUNTA('Expandable Summary RAW'!$A:$A),17)</definedName>
    <definedName name="Geo">OFFSET('Geo RAW'!$A$1,0,0,COUNTA('Geo RAW'!$A:$A),3)</definedName>
    <definedName name="Report">'[2]Raw Data'!$B$1:$C$100</definedName>
    <definedName name="Site">OFFSET('Top Level Summary RAW'!$C$1,0,0,COUNTA('Top Level Summary RAW'!$C:$C),1)</definedName>
    <definedName name="TCTR">'Top level Summary'!$F$39</definedName>
    <definedName name="TLCTR">OFFSET('Top level Summary'!#REF!,0,0,COUNTA('Top level Summary'!$F:$F)-4,1)</definedName>
    <definedName name="TLS">OFFSET('Top Level Summary RAW'!$A$1,0,0,COUNTA('Top Level Summary RAW'!$A:$A),9)</definedName>
    <definedName name="TLSR">OFFSET('Top Level Summary RAW'!$A$1,0,0,COUNTA('Top Level Summary RAW'!$A:$A),9)</definedName>
    <definedName name="Video">OFFSET('Video RAW'!$A$1,0,0,COUNTA('Video RAW'!$A:$A),11)</definedName>
  </definedNames>
  <calcPr calcId="144525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</pivotCaches>
</workbook>
</file>

<file path=xl/calcChain.xml><?xml version="1.0" encoding="utf-8"?>
<calcChain xmlns="http://schemas.openxmlformats.org/spreadsheetml/2006/main">
  <c r="H146" i="20" l="1"/>
  <c r="G146" i="20"/>
  <c r="F146" i="20"/>
  <c r="E146" i="20"/>
  <c r="D146" i="20"/>
  <c r="C146" i="20"/>
  <c r="I125" i="20"/>
  <c r="H125" i="20" s="1"/>
  <c r="F125" i="20"/>
  <c r="E125" i="20"/>
  <c r="D125" i="20"/>
  <c r="C125" i="20"/>
  <c r="G125" i="20" s="1"/>
  <c r="G102" i="20"/>
  <c r="E102" i="20"/>
  <c r="D102" i="20"/>
  <c r="C102" i="20"/>
  <c r="F78" i="20"/>
  <c r="I78" i="20"/>
  <c r="H78" i="20"/>
  <c r="G78" i="20"/>
  <c r="E78" i="20"/>
  <c r="D78" i="20"/>
  <c r="C78" i="20"/>
  <c r="H145" i="20"/>
  <c r="G145" i="20"/>
  <c r="F145" i="20"/>
  <c r="E145" i="20"/>
  <c r="D145" i="20"/>
  <c r="C145" i="20"/>
  <c r="B145" i="20"/>
  <c r="H144" i="20"/>
  <c r="G144" i="20"/>
  <c r="F144" i="20"/>
  <c r="E144" i="20"/>
  <c r="D144" i="20"/>
  <c r="C144" i="20"/>
  <c r="B144" i="20"/>
  <c r="H143" i="20"/>
  <c r="G143" i="20"/>
  <c r="F143" i="20"/>
  <c r="E143" i="20"/>
  <c r="D143" i="20"/>
  <c r="C143" i="20"/>
  <c r="B143" i="20"/>
  <c r="H142" i="20"/>
  <c r="G142" i="20"/>
  <c r="F142" i="20"/>
  <c r="E142" i="20"/>
  <c r="D142" i="20"/>
  <c r="C142" i="20"/>
  <c r="B142" i="20"/>
  <c r="H141" i="20"/>
  <c r="G141" i="20"/>
  <c r="F141" i="20"/>
  <c r="E141" i="20"/>
  <c r="D141" i="20"/>
  <c r="C141" i="20"/>
  <c r="B141" i="20"/>
  <c r="H140" i="20"/>
  <c r="G140" i="20"/>
  <c r="F140" i="20"/>
  <c r="E140" i="20"/>
  <c r="D140" i="20"/>
  <c r="C140" i="20"/>
  <c r="B140" i="20"/>
  <c r="H139" i="20"/>
  <c r="G139" i="20"/>
  <c r="F139" i="20"/>
  <c r="E139" i="20"/>
  <c r="D139" i="20"/>
  <c r="C139" i="20"/>
  <c r="B139" i="20"/>
  <c r="H138" i="20"/>
  <c r="G138" i="20"/>
  <c r="F138" i="20"/>
  <c r="E138" i="20"/>
  <c r="D138" i="20"/>
  <c r="C138" i="20"/>
  <c r="B138" i="20"/>
  <c r="H137" i="20"/>
  <c r="G137" i="20"/>
  <c r="F137" i="20"/>
  <c r="E137" i="20"/>
  <c r="D137" i="20"/>
  <c r="C137" i="20"/>
  <c r="B137" i="20"/>
  <c r="H136" i="20"/>
  <c r="G136" i="20"/>
  <c r="F136" i="20"/>
  <c r="E136" i="20"/>
  <c r="D136" i="20"/>
  <c r="C136" i="20"/>
  <c r="B136" i="20"/>
  <c r="H135" i="20"/>
  <c r="G135" i="20"/>
  <c r="F135" i="20"/>
  <c r="E135" i="20"/>
  <c r="D135" i="20"/>
  <c r="C135" i="20"/>
  <c r="B135" i="20"/>
  <c r="H134" i="20"/>
  <c r="G134" i="20"/>
  <c r="F134" i="20"/>
  <c r="E134" i="20"/>
  <c r="D134" i="20"/>
  <c r="C134" i="20"/>
  <c r="B134" i="20"/>
  <c r="H133" i="20"/>
  <c r="G133" i="20"/>
  <c r="F133" i="20"/>
  <c r="E133" i="20"/>
  <c r="D133" i="20"/>
  <c r="C133" i="20"/>
  <c r="B133" i="20"/>
  <c r="H132" i="20"/>
  <c r="G132" i="20"/>
  <c r="F132" i="20"/>
  <c r="E132" i="20"/>
  <c r="D132" i="20"/>
  <c r="C132" i="20"/>
  <c r="B132" i="20"/>
  <c r="H131" i="20"/>
  <c r="G131" i="20"/>
  <c r="F131" i="20"/>
  <c r="E131" i="20"/>
  <c r="D131" i="20"/>
  <c r="C131" i="20"/>
  <c r="B131" i="20"/>
  <c r="C130" i="20"/>
  <c r="D130" i="20"/>
  <c r="E130" i="20"/>
  <c r="F130" i="20"/>
  <c r="G130" i="20"/>
  <c r="B130" i="20"/>
  <c r="F124" i="20"/>
  <c r="E124" i="20"/>
  <c r="D124" i="20"/>
  <c r="C124" i="20"/>
  <c r="G124" i="20" s="1"/>
  <c r="B124" i="20"/>
  <c r="F123" i="20"/>
  <c r="E123" i="20"/>
  <c r="D123" i="20"/>
  <c r="C123" i="20"/>
  <c r="B123" i="20"/>
  <c r="F122" i="20"/>
  <c r="E122" i="20"/>
  <c r="D122" i="20"/>
  <c r="C122" i="20"/>
  <c r="G122" i="20" s="1"/>
  <c r="B122" i="20"/>
  <c r="F121" i="20"/>
  <c r="E121" i="20"/>
  <c r="D121" i="20"/>
  <c r="C121" i="20"/>
  <c r="G121" i="20" s="1"/>
  <c r="B121" i="20"/>
  <c r="F120" i="20"/>
  <c r="E120" i="20"/>
  <c r="D120" i="20"/>
  <c r="C120" i="20"/>
  <c r="G120" i="20" s="1"/>
  <c r="B120" i="20"/>
  <c r="F119" i="20"/>
  <c r="E119" i="20"/>
  <c r="D119" i="20"/>
  <c r="C119" i="20"/>
  <c r="B119" i="20"/>
  <c r="F118" i="20"/>
  <c r="E118" i="20"/>
  <c r="D118" i="20"/>
  <c r="C118" i="20"/>
  <c r="G118" i="20" s="1"/>
  <c r="B118" i="20"/>
  <c r="F117" i="20"/>
  <c r="E117" i="20"/>
  <c r="D117" i="20"/>
  <c r="C117" i="20"/>
  <c r="G117" i="20" s="1"/>
  <c r="B117" i="20"/>
  <c r="F116" i="20"/>
  <c r="E116" i="20"/>
  <c r="D116" i="20"/>
  <c r="C116" i="20"/>
  <c r="G116" i="20" s="1"/>
  <c r="B116" i="20"/>
  <c r="F115" i="20"/>
  <c r="E115" i="20"/>
  <c r="D115" i="20"/>
  <c r="C115" i="20"/>
  <c r="B115" i="20"/>
  <c r="F114" i="20"/>
  <c r="E114" i="20"/>
  <c r="D114" i="20"/>
  <c r="C114" i="20"/>
  <c r="G114" i="20" s="1"/>
  <c r="B114" i="20"/>
  <c r="F113" i="20"/>
  <c r="E113" i="20"/>
  <c r="D113" i="20"/>
  <c r="C113" i="20"/>
  <c r="G113" i="20" s="1"/>
  <c r="B113" i="20"/>
  <c r="F112" i="20"/>
  <c r="E112" i="20"/>
  <c r="D112" i="20"/>
  <c r="C112" i="20"/>
  <c r="G112" i="20" s="1"/>
  <c r="B112" i="20"/>
  <c r="F111" i="20"/>
  <c r="E111" i="20"/>
  <c r="D111" i="20"/>
  <c r="C111" i="20"/>
  <c r="G111" i="20" s="1"/>
  <c r="B111" i="20"/>
  <c r="F110" i="20"/>
  <c r="E110" i="20"/>
  <c r="D110" i="20"/>
  <c r="C110" i="20"/>
  <c r="B110" i="20"/>
  <c r="G101" i="20"/>
  <c r="F101" i="20"/>
  <c r="E101" i="20"/>
  <c r="D101" i="20"/>
  <c r="C101" i="20"/>
  <c r="B101" i="20"/>
  <c r="G100" i="20"/>
  <c r="F100" i="20"/>
  <c r="E100" i="20"/>
  <c r="D100" i="20"/>
  <c r="C100" i="20"/>
  <c r="B100" i="20"/>
  <c r="G99" i="20"/>
  <c r="F99" i="20"/>
  <c r="E99" i="20"/>
  <c r="D99" i="20"/>
  <c r="C99" i="20"/>
  <c r="B99" i="20"/>
  <c r="G98" i="20"/>
  <c r="F98" i="20"/>
  <c r="E98" i="20"/>
  <c r="D98" i="20"/>
  <c r="C98" i="20"/>
  <c r="B98" i="20"/>
  <c r="G97" i="20"/>
  <c r="F97" i="20"/>
  <c r="E97" i="20"/>
  <c r="D97" i="20"/>
  <c r="C97" i="20"/>
  <c r="B97" i="20"/>
  <c r="G96" i="20"/>
  <c r="F96" i="20"/>
  <c r="E96" i="20"/>
  <c r="D96" i="20"/>
  <c r="C96" i="20"/>
  <c r="B96" i="20"/>
  <c r="G95" i="20"/>
  <c r="F95" i="20"/>
  <c r="E95" i="20"/>
  <c r="D95" i="20"/>
  <c r="C95" i="20"/>
  <c r="B95" i="20"/>
  <c r="G94" i="20"/>
  <c r="F94" i="20"/>
  <c r="E94" i="20"/>
  <c r="D94" i="20"/>
  <c r="C94" i="20"/>
  <c r="B94" i="20"/>
  <c r="G93" i="20"/>
  <c r="F93" i="20"/>
  <c r="E93" i="20"/>
  <c r="D93" i="20"/>
  <c r="C93" i="20"/>
  <c r="B93" i="20"/>
  <c r="G92" i="20"/>
  <c r="F92" i="20"/>
  <c r="E92" i="20"/>
  <c r="D92" i="20"/>
  <c r="C92" i="20"/>
  <c r="B92" i="20"/>
  <c r="G91" i="20"/>
  <c r="F91" i="20"/>
  <c r="E91" i="20"/>
  <c r="D91" i="20"/>
  <c r="C91" i="20"/>
  <c r="B91" i="20"/>
  <c r="G90" i="20"/>
  <c r="F90" i="20"/>
  <c r="E90" i="20"/>
  <c r="D90" i="20"/>
  <c r="C90" i="20"/>
  <c r="B90" i="20"/>
  <c r="G89" i="20"/>
  <c r="F89" i="20"/>
  <c r="E89" i="20"/>
  <c r="D89" i="20"/>
  <c r="C89" i="20"/>
  <c r="B89" i="20"/>
  <c r="G88" i="20"/>
  <c r="F88" i="20"/>
  <c r="E88" i="20"/>
  <c r="D88" i="20"/>
  <c r="C88" i="20"/>
  <c r="B88" i="20"/>
  <c r="G87" i="20"/>
  <c r="F87" i="20"/>
  <c r="E87" i="20"/>
  <c r="D87" i="20"/>
  <c r="C87" i="20"/>
  <c r="B87" i="20"/>
  <c r="G86" i="20"/>
  <c r="F86" i="20"/>
  <c r="E86" i="20"/>
  <c r="D86" i="20"/>
  <c r="C86" i="20"/>
  <c r="B86" i="20"/>
  <c r="F77" i="20"/>
  <c r="E77" i="20"/>
  <c r="D77" i="20"/>
  <c r="C77" i="20"/>
  <c r="G77" i="20" s="1"/>
  <c r="B77" i="20"/>
  <c r="F76" i="20"/>
  <c r="E76" i="20"/>
  <c r="D76" i="20"/>
  <c r="C76" i="20"/>
  <c r="G76" i="20" s="1"/>
  <c r="B76" i="20"/>
  <c r="F75" i="20"/>
  <c r="E75" i="20"/>
  <c r="D75" i="20"/>
  <c r="C75" i="20"/>
  <c r="B75" i="20"/>
  <c r="F74" i="20"/>
  <c r="E74" i="20"/>
  <c r="D74" i="20"/>
  <c r="C74" i="20"/>
  <c r="G74" i="20" s="1"/>
  <c r="B74" i="20"/>
  <c r="F73" i="20"/>
  <c r="E73" i="20"/>
  <c r="D73" i="20"/>
  <c r="C73" i="20"/>
  <c r="G73" i="20" s="1"/>
  <c r="B73" i="20"/>
  <c r="F72" i="20"/>
  <c r="E72" i="20"/>
  <c r="D72" i="20"/>
  <c r="C72" i="20"/>
  <c r="G72" i="20" s="1"/>
  <c r="B72" i="20"/>
  <c r="F71" i="20"/>
  <c r="E71" i="20"/>
  <c r="D71" i="20"/>
  <c r="C71" i="20"/>
  <c r="B71" i="20"/>
  <c r="F70" i="20"/>
  <c r="E70" i="20"/>
  <c r="D70" i="20"/>
  <c r="C70" i="20"/>
  <c r="G70" i="20" s="1"/>
  <c r="B70" i="20"/>
  <c r="F69" i="20"/>
  <c r="E69" i="20"/>
  <c r="D69" i="20"/>
  <c r="C69" i="20"/>
  <c r="B69" i="20"/>
  <c r="F68" i="20"/>
  <c r="E68" i="20"/>
  <c r="D68" i="20"/>
  <c r="C68" i="20"/>
  <c r="G68" i="20" s="1"/>
  <c r="B68" i="20"/>
  <c r="F67" i="20"/>
  <c r="E67" i="20"/>
  <c r="D67" i="20"/>
  <c r="C67" i="20"/>
  <c r="B67" i="20"/>
  <c r="F66" i="20"/>
  <c r="E66" i="20"/>
  <c r="D66" i="20"/>
  <c r="C66" i="20"/>
  <c r="G66" i="20" s="1"/>
  <c r="B66" i="20"/>
  <c r="F65" i="20"/>
  <c r="E65" i="20"/>
  <c r="D65" i="20"/>
  <c r="C65" i="20"/>
  <c r="G65" i="20" s="1"/>
  <c r="B65" i="20"/>
  <c r="F64" i="20"/>
  <c r="E64" i="20"/>
  <c r="D64" i="20"/>
  <c r="C64" i="20"/>
  <c r="G64" i="20" s="1"/>
  <c r="B64" i="20"/>
  <c r="F63" i="20"/>
  <c r="E63" i="20"/>
  <c r="D63" i="20"/>
  <c r="C63" i="20"/>
  <c r="B63" i="20"/>
  <c r="F62" i="20"/>
  <c r="E62" i="20"/>
  <c r="D62" i="20"/>
  <c r="C62" i="20"/>
  <c r="G62" i="20" s="1"/>
  <c r="B62" i="20"/>
  <c r="F61" i="20"/>
  <c r="E61" i="20"/>
  <c r="D61" i="20"/>
  <c r="C61" i="20"/>
  <c r="B61" i="20"/>
  <c r="F60" i="20"/>
  <c r="E60" i="20"/>
  <c r="D60" i="20"/>
  <c r="C60" i="20"/>
  <c r="G60" i="20" s="1"/>
  <c r="B60" i="20"/>
  <c r="H38" i="20"/>
  <c r="G38" i="20"/>
  <c r="F38" i="20"/>
  <c r="E38" i="20"/>
  <c r="D38" i="20"/>
  <c r="C38" i="20"/>
  <c r="B38" i="20"/>
  <c r="H37" i="20"/>
  <c r="G37" i="20"/>
  <c r="F37" i="20"/>
  <c r="E37" i="20"/>
  <c r="D37" i="20"/>
  <c r="C37" i="20"/>
  <c r="J37" i="20" s="1"/>
  <c r="B37" i="20"/>
  <c r="H36" i="20"/>
  <c r="G36" i="20"/>
  <c r="F36" i="20"/>
  <c r="E36" i="20"/>
  <c r="D36" i="20"/>
  <c r="C36" i="20"/>
  <c r="J36" i="20" s="1"/>
  <c r="B36" i="20"/>
  <c r="H35" i="20"/>
  <c r="G35" i="20"/>
  <c r="F35" i="20"/>
  <c r="E35" i="20"/>
  <c r="D35" i="20"/>
  <c r="C35" i="20"/>
  <c r="B35" i="20"/>
  <c r="H34" i="20"/>
  <c r="G34" i="20"/>
  <c r="F34" i="20"/>
  <c r="E34" i="20"/>
  <c r="D34" i="20"/>
  <c r="C34" i="20"/>
  <c r="B34" i="20"/>
  <c r="H33" i="20"/>
  <c r="G33" i="20"/>
  <c r="F33" i="20"/>
  <c r="E33" i="20"/>
  <c r="D33" i="20"/>
  <c r="C33" i="20"/>
  <c r="J33" i="20" s="1"/>
  <c r="B33" i="20"/>
  <c r="H32" i="20"/>
  <c r="G32" i="20"/>
  <c r="F32" i="20"/>
  <c r="E32" i="20"/>
  <c r="D32" i="20"/>
  <c r="C32" i="20"/>
  <c r="J32" i="20" s="1"/>
  <c r="B32" i="20"/>
  <c r="H31" i="20"/>
  <c r="G31" i="20"/>
  <c r="F31" i="20"/>
  <c r="E31" i="20"/>
  <c r="D31" i="20"/>
  <c r="C31" i="20"/>
  <c r="B31" i="20"/>
  <c r="H30" i="20"/>
  <c r="G30" i="20"/>
  <c r="F30" i="20"/>
  <c r="E30" i="20"/>
  <c r="D30" i="20"/>
  <c r="C30" i="20"/>
  <c r="B30" i="20"/>
  <c r="H29" i="20"/>
  <c r="G29" i="20"/>
  <c r="F29" i="20"/>
  <c r="E29" i="20"/>
  <c r="D29" i="20"/>
  <c r="C29" i="20"/>
  <c r="B29" i="20"/>
  <c r="H28" i="20"/>
  <c r="G28" i="20"/>
  <c r="F28" i="20"/>
  <c r="E28" i="20"/>
  <c r="D28" i="20"/>
  <c r="C28" i="20"/>
  <c r="J28" i="20" s="1"/>
  <c r="B28" i="20"/>
  <c r="H27" i="20"/>
  <c r="G27" i="20"/>
  <c r="F27" i="20"/>
  <c r="E27" i="20"/>
  <c r="D27" i="20"/>
  <c r="C27" i="20"/>
  <c r="B27" i="20"/>
  <c r="H26" i="20"/>
  <c r="G26" i="20"/>
  <c r="F26" i="20"/>
  <c r="E26" i="20"/>
  <c r="D26" i="20"/>
  <c r="C26" i="20"/>
  <c r="B26" i="20"/>
  <c r="H25" i="20"/>
  <c r="G25" i="20"/>
  <c r="F25" i="20"/>
  <c r="E25" i="20"/>
  <c r="D25" i="20"/>
  <c r="C25" i="20"/>
  <c r="B25" i="20"/>
  <c r="H24" i="20"/>
  <c r="G24" i="20"/>
  <c r="F24" i="20"/>
  <c r="E24" i="20"/>
  <c r="D24" i="20"/>
  <c r="C24" i="20"/>
  <c r="J24" i="20" s="1"/>
  <c r="B24" i="20"/>
  <c r="H23" i="20"/>
  <c r="G23" i="20"/>
  <c r="F23" i="20"/>
  <c r="E23" i="20"/>
  <c r="D23" i="20"/>
  <c r="C23" i="20"/>
  <c r="B23" i="20"/>
  <c r="H22" i="20"/>
  <c r="G22" i="20"/>
  <c r="F22" i="20"/>
  <c r="E22" i="20"/>
  <c r="D22" i="20"/>
  <c r="C22" i="20"/>
  <c r="B22" i="20"/>
  <c r="H21" i="20"/>
  <c r="G21" i="20"/>
  <c r="F21" i="20"/>
  <c r="E21" i="20"/>
  <c r="D21" i="20"/>
  <c r="C21" i="20"/>
  <c r="J21" i="20" s="1"/>
  <c r="B21" i="20"/>
  <c r="H20" i="20"/>
  <c r="G20" i="20"/>
  <c r="F20" i="20"/>
  <c r="E20" i="20"/>
  <c r="D20" i="20"/>
  <c r="C20" i="20"/>
  <c r="J20" i="20" s="1"/>
  <c r="B20" i="20"/>
  <c r="H19" i="20"/>
  <c r="G19" i="20"/>
  <c r="F19" i="20"/>
  <c r="E19" i="20"/>
  <c r="D19" i="20"/>
  <c r="C19" i="20"/>
  <c r="B19" i="20"/>
  <c r="H18" i="20"/>
  <c r="G18" i="20"/>
  <c r="F18" i="20"/>
  <c r="E18" i="20"/>
  <c r="D18" i="20"/>
  <c r="C18" i="20"/>
  <c r="B18" i="20"/>
  <c r="H17" i="20"/>
  <c r="G17" i="20"/>
  <c r="F17" i="20"/>
  <c r="E17" i="20"/>
  <c r="D17" i="20"/>
  <c r="C17" i="20"/>
  <c r="J17" i="20" s="1"/>
  <c r="B17" i="20"/>
  <c r="H16" i="20"/>
  <c r="G16" i="20"/>
  <c r="F16" i="20"/>
  <c r="E16" i="20"/>
  <c r="D16" i="20"/>
  <c r="C16" i="20"/>
  <c r="J16" i="20" s="1"/>
  <c r="B16" i="20"/>
  <c r="H15" i="20"/>
  <c r="G15" i="20"/>
  <c r="F15" i="20"/>
  <c r="E15" i="20"/>
  <c r="D15" i="20"/>
  <c r="C15" i="20"/>
  <c r="B15" i="20"/>
  <c r="H14" i="20"/>
  <c r="G14" i="20"/>
  <c r="F14" i="20"/>
  <c r="E14" i="20"/>
  <c r="D14" i="20"/>
  <c r="C14" i="20"/>
  <c r="B14" i="20"/>
  <c r="H13" i="20"/>
  <c r="G13" i="20"/>
  <c r="F13" i="20"/>
  <c r="E13" i="20"/>
  <c r="D13" i="20"/>
  <c r="C13" i="20"/>
  <c r="B13" i="20"/>
  <c r="H12" i="20"/>
  <c r="G12" i="20"/>
  <c r="F12" i="20"/>
  <c r="E12" i="20"/>
  <c r="D12" i="20"/>
  <c r="C12" i="20"/>
  <c r="J12" i="20" s="1"/>
  <c r="B12" i="20"/>
  <c r="H11" i="20"/>
  <c r="G11" i="20"/>
  <c r="F11" i="20"/>
  <c r="E11" i="20"/>
  <c r="D11" i="20"/>
  <c r="C11" i="20"/>
  <c r="B11" i="20"/>
  <c r="I112" i="20" l="1"/>
  <c r="H112" i="20" s="1"/>
  <c r="I120" i="20"/>
  <c r="H120" i="20" s="1"/>
  <c r="L13" i="20"/>
  <c r="K13" i="20" s="1"/>
  <c r="L29" i="20"/>
  <c r="N29" i="20" s="1"/>
  <c r="I110" i="20"/>
  <c r="H110" i="20" s="1"/>
  <c r="I113" i="20"/>
  <c r="H113" i="20" s="1"/>
  <c r="I117" i="20"/>
  <c r="H117" i="20" s="1"/>
  <c r="I121" i="20"/>
  <c r="H121" i="20" s="1"/>
  <c r="I111" i="20"/>
  <c r="H111" i="20" s="1"/>
  <c r="I115" i="20"/>
  <c r="H115" i="20" s="1"/>
  <c r="I119" i="20"/>
  <c r="H119" i="20" s="1"/>
  <c r="I123" i="20"/>
  <c r="H123" i="20" s="1"/>
  <c r="I116" i="20"/>
  <c r="H116" i="20" s="1"/>
  <c r="I124" i="20"/>
  <c r="H124" i="20" s="1"/>
  <c r="I114" i="20"/>
  <c r="H114" i="20" s="1"/>
  <c r="I118" i="20"/>
  <c r="H118" i="20" s="1"/>
  <c r="I122" i="20"/>
  <c r="H122" i="20" s="1"/>
  <c r="G115" i="20"/>
  <c r="G119" i="20"/>
  <c r="G123" i="20"/>
  <c r="G110" i="20"/>
  <c r="L12" i="20"/>
  <c r="K12" i="20" s="1"/>
  <c r="I12" i="20"/>
  <c r="L16" i="20"/>
  <c r="N16" i="20" s="1"/>
  <c r="I16" i="20"/>
  <c r="I74" i="20"/>
  <c r="H74" i="20" s="1"/>
  <c r="J29" i="20"/>
  <c r="I13" i="20"/>
  <c r="I17" i="20"/>
  <c r="I21" i="20"/>
  <c r="I25" i="20"/>
  <c r="I29" i="20"/>
  <c r="I33" i="20"/>
  <c r="I37" i="20"/>
  <c r="L17" i="20"/>
  <c r="K17" i="20" s="1"/>
  <c r="I61" i="20"/>
  <c r="H61" i="20" s="1"/>
  <c r="I64" i="20"/>
  <c r="H64" i="20" s="1"/>
  <c r="I72" i="20"/>
  <c r="H72" i="20" s="1"/>
  <c r="L14" i="20"/>
  <c r="K14" i="20" s="1"/>
  <c r="I14" i="20"/>
  <c r="L18" i="20"/>
  <c r="K18" i="20" s="1"/>
  <c r="I18" i="20"/>
  <c r="L22" i="20"/>
  <c r="N22" i="20" s="1"/>
  <c r="I22" i="20"/>
  <c r="L26" i="20"/>
  <c r="K26" i="20" s="1"/>
  <c r="I26" i="20"/>
  <c r="L30" i="20"/>
  <c r="K30" i="20" s="1"/>
  <c r="I30" i="20"/>
  <c r="L34" i="20"/>
  <c r="K34" i="20" s="1"/>
  <c r="I34" i="20"/>
  <c r="L38" i="20"/>
  <c r="N38" i="20" s="1"/>
  <c r="I38" i="20"/>
  <c r="I62" i="20"/>
  <c r="H62" i="20" s="1"/>
  <c r="I63" i="20"/>
  <c r="H63" i="20" s="1"/>
  <c r="I66" i="20"/>
  <c r="H66" i="20" s="1"/>
  <c r="I67" i="20"/>
  <c r="H67" i="20" s="1"/>
  <c r="I70" i="20"/>
  <c r="H70" i="20" s="1"/>
  <c r="I71" i="20"/>
  <c r="H71" i="20" s="1"/>
  <c r="I75" i="20"/>
  <c r="H75" i="20" s="1"/>
  <c r="L25" i="20"/>
  <c r="K25" i="20" s="1"/>
  <c r="J13" i="20"/>
  <c r="L33" i="20"/>
  <c r="K33" i="20" s="1"/>
  <c r="I65" i="20"/>
  <c r="H65" i="20" s="1"/>
  <c r="I69" i="20"/>
  <c r="H69" i="20" s="1"/>
  <c r="I73" i="20"/>
  <c r="H73" i="20" s="1"/>
  <c r="I77" i="20"/>
  <c r="H77" i="20" s="1"/>
  <c r="G61" i="20"/>
  <c r="I68" i="20"/>
  <c r="H68" i="20" s="1"/>
  <c r="I76" i="20"/>
  <c r="H76" i="20" s="1"/>
  <c r="C39" i="20"/>
  <c r="B8" i="19" s="1"/>
  <c r="G39" i="20"/>
  <c r="J8" i="19" s="1"/>
  <c r="L15" i="20"/>
  <c r="N15" i="20" s="1"/>
  <c r="I15" i="20"/>
  <c r="L19" i="20"/>
  <c r="N19" i="20" s="1"/>
  <c r="I19" i="20"/>
  <c r="L20" i="20"/>
  <c r="N20" i="20" s="1"/>
  <c r="I20" i="20"/>
  <c r="L23" i="20"/>
  <c r="N23" i="20" s="1"/>
  <c r="I23" i="20"/>
  <c r="L24" i="20"/>
  <c r="N24" i="20" s="1"/>
  <c r="I24" i="20"/>
  <c r="L27" i="20"/>
  <c r="N27" i="20" s="1"/>
  <c r="I27" i="20"/>
  <c r="L28" i="20"/>
  <c r="N28" i="20" s="1"/>
  <c r="I28" i="20"/>
  <c r="L31" i="20"/>
  <c r="N31" i="20" s="1"/>
  <c r="I31" i="20"/>
  <c r="L32" i="20"/>
  <c r="N32" i="20" s="1"/>
  <c r="I32" i="20"/>
  <c r="L35" i="20"/>
  <c r="N35" i="20" s="1"/>
  <c r="I35" i="20"/>
  <c r="L36" i="20"/>
  <c r="N36" i="20" s="1"/>
  <c r="I36" i="20"/>
  <c r="J25" i="20"/>
  <c r="G69" i="20"/>
  <c r="E39" i="20"/>
  <c r="D8" i="19" s="1"/>
  <c r="G75" i="20"/>
  <c r="L21" i="20"/>
  <c r="N21" i="20" s="1"/>
  <c r="L37" i="20"/>
  <c r="N37" i="20" s="1"/>
  <c r="I60" i="20"/>
  <c r="H60" i="20" s="1"/>
  <c r="H39" i="20"/>
  <c r="K8" i="19" s="1"/>
  <c r="G63" i="20"/>
  <c r="G67" i="20"/>
  <c r="G71" i="20"/>
  <c r="D39" i="20"/>
  <c r="C8" i="19" s="1"/>
  <c r="I11" i="20"/>
  <c r="N13" i="20"/>
  <c r="N25" i="20"/>
  <c r="J11" i="20"/>
  <c r="J15" i="20"/>
  <c r="J19" i="20"/>
  <c r="J23" i="20"/>
  <c r="J27" i="20"/>
  <c r="J31" i="20"/>
  <c r="J35" i="20"/>
  <c r="L11" i="20"/>
  <c r="K11" i="20" s="1"/>
  <c r="J14" i="20"/>
  <c r="J18" i="20"/>
  <c r="J22" i="20"/>
  <c r="J26" i="20"/>
  <c r="J30" i="20"/>
  <c r="J34" i="20"/>
  <c r="J38" i="20"/>
  <c r="E8" i="19"/>
  <c r="K70" i="31"/>
  <c r="K62" i="31"/>
  <c r="K54" i="31"/>
  <c r="J74" i="31"/>
  <c r="K74" i="31" s="1"/>
  <c r="I74" i="31"/>
  <c r="H74" i="31"/>
  <c r="G74" i="31"/>
  <c r="F74" i="31"/>
  <c r="J73" i="31"/>
  <c r="K73" i="31" s="1"/>
  <c r="I73" i="31"/>
  <c r="H73" i="31"/>
  <c r="G73" i="31"/>
  <c r="F73" i="31"/>
  <c r="J72" i="31"/>
  <c r="K72" i="31" s="1"/>
  <c r="I72" i="31"/>
  <c r="H72" i="31"/>
  <c r="G72" i="31"/>
  <c r="F72" i="31"/>
  <c r="J71" i="31"/>
  <c r="K71" i="31" s="1"/>
  <c r="I71" i="31"/>
  <c r="H71" i="31"/>
  <c r="G71" i="31"/>
  <c r="F71" i="31"/>
  <c r="J70" i="31"/>
  <c r="I70" i="31"/>
  <c r="H70" i="31"/>
  <c r="G70" i="31"/>
  <c r="F70" i="31"/>
  <c r="J69" i="31"/>
  <c r="K69" i="31" s="1"/>
  <c r="I69" i="31"/>
  <c r="H69" i="31"/>
  <c r="G69" i="31"/>
  <c r="F69" i="31"/>
  <c r="J68" i="31"/>
  <c r="K68" i="31" s="1"/>
  <c r="I68" i="31"/>
  <c r="H68" i="31"/>
  <c r="G68" i="31"/>
  <c r="F68" i="31"/>
  <c r="J67" i="31"/>
  <c r="K67" i="31" s="1"/>
  <c r="I67" i="31"/>
  <c r="H67" i="31"/>
  <c r="G67" i="31"/>
  <c r="F67" i="31"/>
  <c r="J66" i="31"/>
  <c r="K66" i="31" s="1"/>
  <c r="I66" i="31"/>
  <c r="H66" i="31"/>
  <c r="G66" i="31"/>
  <c r="F66" i="31"/>
  <c r="J65" i="31"/>
  <c r="K65" i="31" s="1"/>
  <c r="I65" i="31"/>
  <c r="H65" i="31"/>
  <c r="G65" i="31"/>
  <c r="F65" i="31"/>
  <c r="J64" i="31"/>
  <c r="K64" i="31" s="1"/>
  <c r="I64" i="31"/>
  <c r="H64" i="31"/>
  <c r="G64" i="31"/>
  <c r="F64" i="31"/>
  <c r="J63" i="31"/>
  <c r="K63" i="31" s="1"/>
  <c r="I63" i="31"/>
  <c r="H63" i="31"/>
  <c r="G63" i="31"/>
  <c r="F63" i="31"/>
  <c r="J62" i="31"/>
  <c r="I62" i="31"/>
  <c r="H62" i="31"/>
  <c r="G62" i="31"/>
  <c r="F62" i="31"/>
  <c r="J61" i="31"/>
  <c r="K61" i="31" s="1"/>
  <c r="I61" i="31"/>
  <c r="H61" i="31"/>
  <c r="G61" i="31"/>
  <c r="F61" i="31"/>
  <c r="J60" i="31"/>
  <c r="K60" i="31" s="1"/>
  <c r="I60" i="31"/>
  <c r="H60" i="31"/>
  <c r="G60" i="31"/>
  <c r="F60" i="31"/>
  <c r="J59" i="31"/>
  <c r="K59" i="31" s="1"/>
  <c r="I59" i="31"/>
  <c r="H59" i="31"/>
  <c r="G59" i="31"/>
  <c r="F59" i="31"/>
  <c r="J58" i="31"/>
  <c r="K58" i="31" s="1"/>
  <c r="I58" i="31"/>
  <c r="H58" i="31"/>
  <c r="G58" i="31"/>
  <c r="F58" i="31"/>
  <c r="J57" i="31"/>
  <c r="K57" i="31" s="1"/>
  <c r="I57" i="31"/>
  <c r="H57" i="31"/>
  <c r="G57" i="31"/>
  <c r="F57" i="31"/>
  <c r="J56" i="31"/>
  <c r="K56" i="31" s="1"/>
  <c r="I56" i="31"/>
  <c r="H56" i="31"/>
  <c r="G56" i="31"/>
  <c r="F56" i="31"/>
  <c r="J55" i="31"/>
  <c r="K55" i="31" s="1"/>
  <c r="I55" i="31"/>
  <c r="H55" i="31"/>
  <c r="G55" i="31"/>
  <c r="F55" i="31"/>
  <c r="J54" i="31"/>
  <c r="I54" i="31"/>
  <c r="H54" i="31"/>
  <c r="G54" i="31"/>
  <c r="F54" i="31"/>
  <c r="J53" i="31"/>
  <c r="K53" i="31" s="1"/>
  <c r="I53" i="31"/>
  <c r="H53" i="31"/>
  <c r="G53" i="31"/>
  <c r="F53" i="31"/>
  <c r="J52" i="31"/>
  <c r="K52" i="31" s="1"/>
  <c r="I52" i="31"/>
  <c r="H52" i="31"/>
  <c r="G52" i="31"/>
  <c r="F52" i="31"/>
  <c r="J51" i="31"/>
  <c r="K51" i="31" s="1"/>
  <c r="I51" i="31"/>
  <c r="H51" i="31"/>
  <c r="G51" i="31"/>
  <c r="F51" i="31"/>
  <c r="J50" i="31"/>
  <c r="K50" i="31" s="1"/>
  <c r="I50" i="31"/>
  <c r="H50" i="31"/>
  <c r="G50" i="31"/>
  <c r="F50" i="31"/>
  <c r="J49" i="31"/>
  <c r="K49" i="31" s="1"/>
  <c r="I49" i="31"/>
  <c r="H49" i="31"/>
  <c r="G49" i="31"/>
  <c r="F49" i="31"/>
  <c r="J48" i="31"/>
  <c r="I48" i="31"/>
  <c r="H48" i="31"/>
  <c r="G48" i="31"/>
  <c r="F48" i="31"/>
  <c r="D74" i="31"/>
  <c r="C74" i="31"/>
  <c r="B74" i="31"/>
  <c r="D73" i="31"/>
  <c r="C73" i="31"/>
  <c r="B73" i="31"/>
  <c r="D72" i="31"/>
  <c r="C72" i="31"/>
  <c r="B72" i="31"/>
  <c r="D71" i="31"/>
  <c r="C71" i="31"/>
  <c r="B71" i="31"/>
  <c r="D70" i="31"/>
  <c r="C70" i="31"/>
  <c r="B70" i="31"/>
  <c r="D69" i="31"/>
  <c r="C69" i="31"/>
  <c r="B69" i="31"/>
  <c r="D68" i="31"/>
  <c r="C68" i="31"/>
  <c r="B68" i="31"/>
  <c r="D67" i="31"/>
  <c r="C67" i="31"/>
  <c r="B67" i="31"/>
  <c r="D66" i="31"/>
  <c r="C66" i="31"/>
  <c r="B66" i="31"/>
  <c r="D65" i="31"/>
  <c r="C65" i="31"/>
  <c r="B65" i="31"/>
  <c r="D64" i="31"/>
  <c r="C64" i="31"/>
  <c r="B64" i="31"/>
  <c r="D63" i="31"/>
  <c r="C63" i="31"/>
  <c r="B63" i="31"/>
  <c r="D62" i="31"/>
  <c r="C62" i="31"/>
  <c r="B62" i="31"/>
  <c r="D61" i="31"/>
  <c r="C61" i="31"/>
  <c r="B61" i="31"/>
  <c r="D60" i="31"/>
  <c r="C60" i="31"/>
  <c r="B60" i="31"/>
  <c r="D59" i="31"/>
  <c r="C59" i="31"/>
  <c r="B59" i="31"/>
  <c r="D58" i="31"/>
  <c r="C58" i="31"/>
  <c r="B58" i="31"/>
  <c r="D57" i="31"/>
  <c r="C57" i="31"/>
  <c r="B57" i="31"/>
  <c r="D56" i="31"/>
  <c r="C56" i="31"/>
  <c r="B56" i="31"/>
  <c r="D55" i="31"/>
  <c r="C55" i="31"/>
  <c r="B55" i="31"/>
  <c r="D54" i="31"/>
  <c r="C54" i="31"/>
  <c r="B54" i="31"/>
  <c r="D53" i="31"/>
  <c r="C53" i="31"/>
  <c r="B53" i="31"/>
  <c r="D52" i="31"/>
  <c r="C52" i="31"/>
  <c r="B52" i="31"/>
  <c r="D51" i="31"/>
  <c r="C51" i="31"/>
  <c r="B51" i="31"/>
  <c r="D50" i="31"/>
  <c r="C50" i="31"/>
  <c r="B50" i="31"/>
  <c r="D49" i="31"/>
  <c r="C49" i="31"/>
  <c r="B49" i="31"/>
  <c r="D48" i="31"/>
  <c r="C48" i="31"/>
  <c r="B48" i="31"/>
  <c r="K29" i="20" l="1"/>
  <c r="K27" i="20"/>
  <c r="K31" i="20"/>
  <c r="K38" i="20"/>
  <c r="K23" i="20"/>
  <c r="K36" i="20"/>
  <c r="K35" i="20"/>
  <c r="N12" i="20"/>
  <c r="N34" i="20"/>
  <c r="K16" i="20"/>
  <c r="N26" i="20"/>
  <c r="N18" i="20"/>
  <c r="K19" i="20"/>
  <c r="K37" i="20"/>
  <c r="N17" i="20"/>
  <c r="N14" i="20"/>
  <c r="N33" i="20"/>
  <c r="K22" i="20"/>
  <c r="N30" i="20"/>
  <c r="J39" i="20"/>
  <c r="K20" i="20"/>
  <c r="F39" i="20"/>
  <c r="G8" i="19" s="1"/>
  <c r="I39" i="20"/>
  <c r="L8" i="19" s="1"/>
  <c r="K24" i="20"/>
  <c r="K32" i="20"/>
  <c r="K28" i="20"/>
  <c r="K15" i="20"/>
  <c r="N11" i="20"/>
  <c r="K21" i="20"/>
  <c r="L39" i="20"/>
  <c r="K39" i="20" s="1"/>
  <c r="H8" i="19" s="1"/>
  <c r="E75" i="31"/>
  <c r="K75" i="31" s="1"/>
  <c r="K48" i="31"/>
  <c r="I1103" i="24"/>
  <c r="H1103" i="24"/>
  <c r="I1102" i="24"/>
  <c r="H1102" i="24"/>
  <c r="I1101" i="24"/>
  <c r="H1101" i="24"/>
  <c r="I1100" i="24"/>
  <c r="H1100" i="24"/>
  <c r="I1099" i="24"/>
  <c r="H1099" i="24"/>
  <c r="I1098" i="24"/>
  <c r="H1098" i="24"/>
  <c r="I1097" i="24"/>
  <c r="H1097" i="24"/>
  <c r="I1096" i="24"/>
  <c r="H1096" i="24"/>
  <c r="I1095" i="24"/>
  <c r="H1095" i="24"/>
  <c r="I1094" i="24"/>
  <c r="H1094" i="24"/>
  <c r="I1093" i="24"/>
  <c r="H1093" i="24"/>
  <c r="I1092" i="24"/>
  <c r="H1092" i="24"/>
  <c r="I1091" i="24"/>
  <c r="H1091" i="24"/>
  <c r="I1090" i="24"/>
  <c r="H1090" i="24"/>
  <c r="I1089" i="24"/>
  <c r="H1089" i="24"/>
  <c r="I1088" i="24"/>
  <c r="H1088" i="24"/>
  <c r="I1087" i="24"/>
  <c r="H1087" i="24"/>
  <c r="I1086" i="24"/>
  <c r="H1086" i="24"/>
  <c r="I1085" i="24"/>
  <c r="H1085" i="24"/>
  <c r="I1084" i="24"/>
  <c r="H1084" i="24"/>
  <c r="I1083" i="24"/>
  <c r="H1083" i="24"/>
  <c r="I1082" i="24"/>
  <c r="H1082" i="24"/>
  <c r="I1081" i="24"/>
  <c r="H1081" i="24"/>
  <c r="I1080" i="24"/>
  <c r="H1080" i="24"/>
  <c r="I1079" i="24"/>
  <c r="H1079" i="24"/>
  <c r="I1078" i="24"/>
  <c r="H1078" i="24"/>
  <c r="I1077" i="24"/>
  <c r="H1077" i="24"/>
  <c r="I1076" i="24"/>
  <c r="H1076" i="24"/>
  <c r="I1075" i="24"/>
  <c r="H1075" i="24"/>
  <c r="I1074" i="24"/>
  <c r="H1074" i="24"/>
  <c r="I1073" i="24"/>
  <c r="H1073" i="24"/>
  <c r="I1072" i="24"/>
  <c r="H1072" i="24"/>
  <c r="I1071" i="24"/>
  <c r="H1071" i="24"/>
  <c r="I1070" i="24"/>
  <c r="H1070" i="24"/>
  <c r="I1069" i="24"/>
  <c r="H1069" i="24"/>
  <c r="I1068" i="24"/>
  <c r="H1068" i="24"/>
  <c r="I1067" i="24"/>
  <c r="H1067" i="24"/>
  <c r="I1066" i="24"/>
  <c r="H1066" i="24"/>
  <c r="I1065" i="24"/>
  <c r="H1065" i="24"/>
  <c r="I1064" i="24"/>
  <c r="H1064" i="24"/>
  <c r="I1063" i="24"/>
  <c r="H1063" i="24"/>
  <c r="I1062" i="24"/>
  <c r="H1062" i="24"/>
  <c r="I1061" i="24"/>
  <c r="H1061" i="24"/>
  <c r="I1060" i="24"/>
  <c r="H1060" i="24"/>
  <c r="I1059" i="24"/>
  <c r="H1059" i="24"/>
  <c r="I1058" i="24"/>
  <c r="H1058" i="24"/>
  <c r="I1057" i="24"/>
  <c r="H1057" i="24"/>
  <c r="I1056" i="24"/>
  <c r="H1056" i="24"/>
  <c r="I1055" i="24"/>
  <c r="H1055" i="24"/>
  <c r="I1054" i="24"/>
  <c r="H1054" i="24"/>
  <c r="I1053" i="24"/>
  <c r="H1053" i="24"/>
  <c r="I1052" i="24"/>
  <c r="H1052" i="24"/>
  <c r="I1051" i="24"/>
  <c r="H1051" i="24"/>
  <c r="I1050" i="24"/>
  <c r="H1050" i="24"/>
  <c r="I1049" i="24"/>
  <c r="H1049" i="24"/>
  <c r="I1048" i="24"/>
  <c r="H1048" i="24"/>
  <c r="I1047" i="24"/>
  <c r="H1047" i="24"/>
  <c r="I1046" i="24"/>
  <c r="H1046" i="24"/>
  <c r="I1045" i="24"/>
  <c r="H1045" i="24"/>
  <c r="I1044" i="24"/>
  <c r="H1044" i="24"/>
  <c r="I1043" i="24"/>
  <c r="H1043" i="24"/>
  <c r="I1042" i="24"/>
  <c r="H1042" i="24"/>
  <c r="I1041" i="24"/>
  <c r="H1041" i="24"/>
  <c r="I1040" i="24"/>
  <c r="H1040" i="24"/>
  <c r="I1039" i="24"/>
  <c r="H1039" i="24"/>
  <c r="I1038" i="24"/>
  <c r="H1038" i="24"/>
  <c r="I1037" i="24"/>
  <c r="H1037" i="24"/>
  <c r="I1036" i="24"/>
  <c r="H1036" i="24"/>
  <c r="I1035" i="24"/>
  <c r="H1035" i="24"/>
  <c r="I1034" i="24"/>
  <c r="H1034" i="24"/>
  <c r="I1033" i="24"/>
  <c r="H1033" i="24"/>
  <c r="I1032" i="24"/>
  <c r="H1032" i="24"/>
  <c r="I1031" i="24"/>
  <c r="H1031" i="24"/>
  <c r="I1030" i="24"/>
  <c r="H1030" i="24"/>
  <c r="I1029" i="24"/>
  <c r="H1029" i="24"/>
  <c r="I1028" i="24"/>
  <c r="H1028" i="24"/>
  <c r="I1027" i="24"/>
  <c r="H1027" i="24"/>
  <c r="I1026" i="24"/>
  <c r="H1026" i="24"/>
  <c r="I1025" i="24"/>
  <c r="H1025" i="24"/>
  <c r="I1024" i="24"/>
  <c r="H1024" i="24"/>
  <c r="I1023" i="24"/>
  <c r="H1023" i="24"/>
  <c r="I1022" i="24"/>
  <c r="H1022" i="24"/>
  <c r="I1021" i="24"/>
  <c r="H1021" i="24"/>
  <c r="I1020" i="24"/>
  <c r="H1020" i="24"/>
  <c r="I1019" i="24"/>
  <c r="H1019" i="24"/>
  <c r="I1018" i="24"/>
  <c r="H1018" i="24"/>
  <c r="I1017" i="24"/>
  <c r="H1017" i="24"/>
  <c r="I1016" i="24"/>
  <c r="H1016" i="24"/>
  <c r="I1015" i="24"/>
  <c r="H1015" i="24"/>
  <c r="I1014" i="24"/>
  <c r="H1014" i="24"/>
  <c r="I1013" i="24"/>
  <c r="H1013" i="24"/>
  <c r="I1012" i="24"/>
  <c r="H1012" i="24"/>
  <c r="I1011" i="24"/>
  <c r="H1011" i="24"/>
  <c r="I1010" i="24"/>
  <c r="H1010" i="24"/>
  <c r="I1009" i="24"/>
  <c r="H1009" i="24"/>
  <c r="I1008" i="24"/>
  <c r="H1008" i="24"/>
  <c r="I1007" i="24"/>
  <c r="H1007" i="24"/>
  <c r="I1006" i="24"/>
  <c r="H1006" i="24"/>
  <c r="I1005" i="24"/>
  <c r="H1005" i="24"/>
  <c r="I1004" i="24"/>
  <c r="H1004" i="24"/>
  <c r="I1003" i="24"/>
  <c r="H1003" i="24"/>
  <c r="I1002" i="24"/>
  <c r="H1002" i="24"/>
  <c r="I1001" i="24"/>
  <c r="H1001" i="24"/>
  <c r="I1000" i="24"/>
  <c r="H1000" i="24"/>
  <c r="I999" i="24"/>
  <c r="H999" i="24"/>
  <c r="I998" i="24"/>
  <c r="H998" i="24"/>
  <c r="I997" i="24"/>
  <c r="H997" i="24"/>
  <c r="I996" i="24"/>
  <c r="H996" i="24"/>
  <c r="I995" i="24"/>
  <c r="H995" i="24"/>
  <c r="I994" i="24"/>
  <c r="H994" i="24"/>
  <c r="I993" i="24"/>
  <c r="H993" i="24"/>
  <c r="I992" i="24"/>
  <c r="H992" i="24"/>
  <c r="I991" i="24"/>
  <c r="H991" i="24"/>
  <c r="I990" i="24"/>
  <c r="H990" i="24"/>
  <c r="I989" i="24"/>
  <c r="H989" i="24"/>
  <c r="I988" i="24"/>
  <c r="H988" i="24"/>
  <c r="I987" i="24"/>
  <c r="H987" i="24"/>
  <c r="I986" i="24"/>
  <c r="H986" i="24"/>
  <c r="I985" i="24"/>
  <c r="H985" i="24"/>
  <c r="I984" i="24"/>
  <c r="H984" i="24"/>
  <c r="I983" i="24"/>
  <c r="H983" i="24"/>
  <c r="I982" i="24"/>
  <c r="H982" i="24"/>
  <c r="I981" i="24"/>
  <c r="H981" i="24"/>
  <c r="I980" i="24"/>
  <c r="H980" i="24"/>
  <c r="I979" i="24"/>
  <c r="H979" i="24"/>
  <c r="I978" i="24"/>
  <c r="H978" i="24"/>
  <c r="I977" i="24"/>
  <c r="H977" i="24"/>
  <c r="I976" i="24"/>
  <c r="H976" i="24"/>
  <c r="I975" i="24"/>
  <c r="H975" i="24"/>
  <c r="I974" i="24"/>
  <c r="H974" i="24"/>
  <c r="I973" i="24"/>
  <c r="H973" i="24"/>
  <c r="I972" i="24"/>
  <c r="H972" i="24"/>
  <c r="I971" i="24"/>
  <c r="H971" i="24"/>
  <c r="I970" i="24"/>
  <c r="H970" i="24"/>
  <c r="I969" i="24"/>
  <c r="H969" i="24"/>
  <c r="I968" i="24"/>
  <c r="H968" i="24"/>
  <c r="I967" i="24"/>
  <c r="H967" i="24"/>
  <c r="I966" i="24"/>
  <c r="H966" i="24"/>
  <c r="I965" i="24"/>
  <c r="H965" i="24"/>
  <c r="I964" i="24"/>
  <c r="H964" i="24"/>
  <c r="I963" i="24"/>
  <c r="H963" i="24"/>
  <c r="I962" i="24"/>
  <c r="H962" i="24"/>
  <c r="I961" i="24"/>
  <c r="H961" i="24"/>
  <c r="I960" i="24"/>
  <c r="H960" i="24"/>
  <c r="I959" i="24"/>
  <c r="H959" i="24"/>
  <c r="I958" i="24"/>
  <c r="H958" i="24"/>
  <c r="I957" i="24"/>
  <c r="H957" i="24"/>
  <c r="I956" i="24"/>
  <c r="H956" i="24"/>
  <c r="I955" i="24"/>
  <c r="H955" i="24"/>
  <c r="I954" i="24"/>
  <c r="H954" i="24"/>
  <c r="I953" i="24"/>
  <c r="H953" i="24"/>
  <c r="I952" i="24"/>
  <c r="H952" i="24"/>
  <c r="I951" i="24"/>
  <c r="H951" i="24"/>
  <c r="I950" i="24"/>
  <c r="H950" i="24"/>
  <c r="I949" i="24"/>
  <c r="H949" i="24"/>
  <c r="I948" i="24"/>
  <c r="H948" i="24"/>
  <c r="I947" i="24"/>
  <c r="H947" i="24"/>
  <c r="I946" i="24"/>
  <c r="H946" i="24"/>
  <c r="I945" i="24"/>
  <c r="H945" i="24"/>
  <c r="I944" i="24"/>
  <c r="H944" i="24"/>
  <c r="I943" i="24"/>
  <c r="H943" i="24"/>
  <c r="I942" i="24"/>
  <c r="H942" i="24"/>
  <c r="I941" i="24"/>
  <c r="H941" i="24"/>
  <c r="I940" i="24"/>
  <c r="H940" i="24"/>
  <c r="I939" i="24"/>
  <c r="H939" i="24"/>
  <c r="I938" i="24"/>
  <c r="H938" i="24"/>
  <c r="I937" i="24"/>
  <c r="H937" i="24"/>
  <c r="I936" i="24"/>
  <c r="H936" i="24"/>
  <c r="I935" i="24"/>
  <c r="H935" i="24"/>
  <c r="I934" i="24"/>
  <c r="H934" i="24"/>
  <c r="I933" i="24"/>
  <c r="H933" i="24"/>
  <c r="I932" i="24"/>
  <c r="H932" i="24"/>
  <c r="I931" i="24"/>
  <c r="H931" i="24"/>
  <c r="I930" i="24"/>
  <c r="H930" i="24"/>
  <c r="I929" i="24"/>
  <c r="H929" i="24"/>
  <c r="I928" i="24"/>
  <c r="H928" i="24"/>
  <c r="I927" i="24"/>
  <c r="H927" i="24"/>
  <c r="I926" i="24"/>
  <c r="H926" i="24"/>
  <c r="I925" i="24"/>
  <c r="H925" i="24"/>
  <c r="I924" i="24"/>
  <c r="H924" i="24"/>
  <c r="I923" i="24"/>
  <c r="H923" i="24"/>
  <c r="I922" i="24"/>
  <c r="H922" i="24"/>
  <c r="I921" i="24"/>
  <c r="H921" i="24"/>
  <c r="I920" i="24"/>
  <c r="H920" i="24"/>
  <c r="I919" i="24"/>
  <c r="H919" i="24"/>
  <c r="I918" i="24"/>
  <c r="H918" i="24"/>
  <c r="I917" i="24"/>
  <c r="H917" i="24"/>
  <c r="I916" i="24"/>
  <c r="H916" i="24"/>
  <c r="I915" i="24"/>
  <c r="H915" i="24"/>
  <c r="I914" i="24"/>
  <c r="H914" i="24"/>
  <c r="I913" i="24"/>
  <c r="H913" i="24"/>
  <c r="I912" i="24"/>
  <c r="H912" i="24"/>
  <c r="I911" i="24"/>
  <c r="H911" i="24"/>
  <c r="I910" i="24"/>
  <c r="H910" i="24"/>
  <c r="I909" i="24"/>
  <c r="H909" i="24"/>
  <c r="I908" i="24"/>
  <c r="H908" i="24"/>
  <c r="I907" i="24"/>
  <c r="H907" i="24"/>
  <c r="I906" i="24"/>
  <c r="H906" i="24"/>
  <c r="I905" i="24"/>
  <c r="H905" i="24"/>
  <c r="I904" i="24"/>
  <c r="H904" i="24"/>
  <c r="I903" i="24"/>
  <c r="H903" i="24"/>
  <c r="I902" i="24"/>
  <c r="H902" i="24"/>
  <c r="I901" i="24"/>
  <c r="H901" i="24"/>
  <c r="I900" i="24"/>
  <c r="H900" i="24"/>
  <c r="I899" i="24"/>
  <c r="H899" i="24"/>
  <c r="I898" i="24"/>
  <c r="H898" i="24"/>
  <c r="I897" i="24"/>
  <c r="H897" i="24"/>
  <c r="I896" i="24"/>
  <c r="H896" i="24"/>
  <c r="I895" i="24"/>
  <c r="H895" i="24"/>
  <c r="I894" i="24"/>
  <c r="H894" i="24"/>
  <c r="I893" i="24"/>
  <c r="H893" i="24"/>
  <c r="I892" i="24"/>
  <c r="H892" i="24"/>
  <c r="I891" i="24"/>
  <c r="H891" i="24"/>
  <c r="I890" i="24"/>
  <c r="H890" i="24"/>
  <c r="I889" i="24"/>
  <c r="H889" i="24"/>
  <c r="I888" i="24"/>
  <c r="H888" i="24"/>
  <c r="I887" i="24"/>
  <c r="H887" i="24"/>
  <c r="I886" i="24"/>
  <c r="H886" i="24"/>
  <c r="I885" i="24"/>
  <c r="H885" i="24"/>
  <c r="I884" i="24"/>
  <c r="H884" i="24"/>
  <c r="I883" i="24"/>
  <c r="H883" i="24"/>
  <c r="I882" i="24"/>
  <c r="H882" i="24"/>
  <c r="I881" i="24"/>
  <c r="H881" i="24"/>
  <c r="I880" i="24"/>
  <c r="H880" i="24"/>
  <c r="I879" i="24"/>
  <c r="H879" i="24"/>
  <c r="I878" i="24"/>
  <c r="H878" i="24"/>
  <c r="I877" i="24"/>
  <c r="H877" i="24"/>
  <c r="I876" i="24"/>
  <c r="H876" i="24"/>
  <c r="I875" i="24"/>
  <c r="H875" i="24"/>
  <c r="I874" i="24"/>
  <c r="H874" i="24"/>
  <c r="I873" i="24"/>
  <c r="H873" i="24"/>
  <c r="I872" i="24"/>
  <c r="H872" i="24"/>
  <c r="I871" i="24"/>
  <c r="H871" i="24"/>
  <c r="I870" i="24"/>
  <c r="H870" i="24"/>
  <c r="I869" i="24"/>
  <c r="H869" i="24"/>
  <c r="I868" i="24"/>
  <c r="H868" i="24"/>
  <c r="I867" i="24"/>
  <c r="H867" i="24"/>
  <c r="I866" i="24"/>
  <c r="H866" i="24"/>
  <c r="I865" i="24"/>
  <c r="H865" i="24"/>
  <c r="I864" i="24"/>
  <c r="H864" i="24"/>
  <c r="I863" i="24"/>
  <c r="H863" i="24"/>
  <c r="I862" i="24"/>
  <c r="H862" i="24"/>
  <c r="I861" i="24"/>
  <c r="H861" i="24"/>
  <c r="I860" i="24"/>
  <c r="H860" i="24"/>
  <c r="I859" i="24"/>
  <c r="H859" i="24"/>
  <c r="I858" i="24"/>
  <c r="H858" i="24"/>
  <c r="I857" i="24"/>
  <c r="H857" i="24"/>
  <c r="I856" i="24"/>
  <c r="H856" i="24"/>
  <c r="I855" i="24"/>
  <c r="H855" i="24"/>
  <c r="I854" i="24"/>
  <c r="H854" i="24"/>
  <c r="I853" i="24"/>
  <c r="H853" i="24"/>
  <c r="I852" i="24"/>
  <c r="H852" i="24"/>
  <c r="I851" i="24"/>
  <c r="H851" i="24"/>
  <c r="I850" i="24"/>
  <c r="H850" i="24"/>
  <c r="I849" i="24"/>
  <c r="H849" i="24"/>
  <c r="I848" i="24"/>
  <c r="H848" i="24"/>
  <c r="I847" i="24"/>
  <c r="H847" i="24"/>
  <c r="I846" i="24"/>
  <c r="H846" i="24"/>
  <c r="I845" i="24"/>
  <c r="H845" i="24"/>
  <c r="I844" i="24"/>
  <c r="H844" i="24"/>
  <c r="I843" i="24"/>
  <c r="H843" i="24"/>
  <c r="I842" i="24"/>
  <c r="H842" i="24"/>
  <c r="I841" i="24"/>
  <c r="H841" i="24"/>
  <c r="I840" i="24"/>
  <c r="H840" i="24"/>
  <c r="I839" i="24"/>
  <c r="H839" i="24"/>
  <c r="I838" i="24"/>
  <c r="H838" i="24"/>
  <c r="I837" i="24"/>
  <c r="H837" i="24"/>
  <c r="I836" i="24"/>
  <c r="H836" i="24"/>
  <c r="I835" i="24"/>
  <c r="H835" i="24"/>
  <c r="I834" i="24"/>
  <c r="H834" i="24"/>
  <c r="I833" i="24"/>
  <c r="H833" i="24"/>
  <c r="I832" i="24"/>
  <c r="H832" i="24"/>
  <c r="I831" i="24"/>
  <c r="H831" i="24"/>
  <c r="I830" i="24"/>
  <c r="H830" i="24"/>
  <c r="I829" i="24"/>
  <c r="H829" i="24"/>
  <c r="I828" i="24"/>
  <c r="H828" i="24"/>
  <c r="I827" i="24"/>
  <c r="H827" i="24"/>
  <c r="I826" i="24"/>
  <c r="H826" i="24"/>
  <c r="I825" i="24"/>
  <c r="H825" i="24"/>
  <c r="I824" i="24"/>
  <c r="H824" i="24"/>
  <c r="I823" i="24"/>
  <c r="H823" i="24"/>
  <c r="I822" i="24"/>
  <c r="H822" i="24"/>
  <c r="I821" i="24"/>
  <c r="H821" i="24"/>
  <c r="I820" i="24"/>
  <c r="H820" i="24"/>
  <c r="I819" i="24"/>
  <c r="H819" i="24"/>
  <c r="I818" i="24"/>
  <c r="H818" i="24"/>
  <c r="I817" i="24"/>
  <c r="H817" i="24"/>
  <c r="I816" i="24"/>
  <c r="H816" i="24"/>
  <c r="I815" i="24"/>
  <c r="H815" i="24"/>
  <c r="I814" i="24"/>
  <c r="H814" i="24"/>
  <c r="I813" i="24"/>
  <c r="H813" i="24"/>
  <c r="I812" i="24"/>
  <c r="H812" i="24"/>
  <c r="I811" i="24"/>
  <c r="H811" i="24"/>
  <c r="I810" i="24"/>
  <c r="H810" i="24"/>
  <c r="I809" i="24"/>
  <c r="H809" i="24"/>
  <c r="I808" i="24"/>
  <c r="H808" i="24"/>
  <c r="I807" i="24"/>
  <c r="H807" i="24"/>
  <c r="I806" i="24"/>
  <c r="H806" i="24"/>
  <c r="I805" i="24"/>
  <c r="H805" i="24"/>
  <c r="I804" i="24"/>
  <c r="H804" i="24"/>
  <c r="I803" i="24"/>
  <c r="H803" i="24"/>
  <c r="I802" i="24"/>
  <c r="H802" i="24"/>
  <c r="I801" i="24"/>
  <c r="H801" i="24"/>
  <c r="I800" i="24"/>
  <c r="H800" i="24"/>
  <c r="I799" i="24"/>
  <c r="H799" i="24"/>
  <c r="I798" i="24"/>
  <c r="H798" i="24"/>
  <c r="I797" i="24"/>
  <c r="H797" i="24"/>
  <c r="I796" i="24"/>
  <c r="H796" i="24"/>
  <c r="I795" i="24"/>
  <c r="H795" i="24"/>
  <c r="I794" i="24"/>
  <c r="H794" i="24"/>
  <c r="I793" i="24"/>
  <c r="H793" i="24"/>
  <c r="I792" i="24"/>
  <c r="H792" i="24"/>
  <c r="I791" i="24"/>
  <c r="H791" i="24"/>
  <c r="I790" i="24"/>
  <c r="H790" i="24"/>
  <c r="I789" i="24"/>
  <c r="H789" i="24"/>
  <c r="I788" i="24"/>
  <c r="H788" i="24"/>
  <c r="I787" i="24"/>
  <c r="H787" i="24"/>
  <c r="I786" i="24"/>
  <c r="H786" i="24"/>
  <c r="I785" i="24"/>
  <c r="H785" i="24"/>
  <c r="I784" i="24"/>
  <c r="H784" i="24"/>
  <c r="I783" i="24"/>
  <c r="H783" i="24"/>
  <c r="I782" i="24"/>
  <c r="H782" i="24"/>
  <c r="I781" i="24"/>
  <c r="H781" i="24"/>
  <c r="I780" i="24"/>
  <c r="H780" i="24"/>
  <c r="I779" i="24"/>
  <c r="H779" i="24"/>
  <c r="I778" i="24"/>
  <c r="H778" i="24"/>
  <c r="I777" i="24"/>
  <c r="H777" i="24"/>
  <c r="I776" i="24"/>
  <c r="H776" i="24"/>
  <c r="I775" i="24"/>
  <c r="H775" i="24"/>
  <c r="I774" i="24"/>
  <c r="H774" i="24"/>
  <c r="I773" i="24"/>
  <c r="H773" i="24"/>
  <c r="I772" i="24"/>
  <c r="H772" i="24"/>
  <c r="I771" i="24"/>
  <c r="H771" i="24"/>
  <c r="I770" i="24"/>
  <c r="H770" i="24"/>
  <c r="I769" i="24"/>
  <c r="H769" i="24"/>
  <c r="I768" i="24"/>
  <c r="H768" i="24"/>
  <c r="I767" i="24"/>
  <c r="H767" i="24"/>
  <c r="I766" i="24"/>
  <c r="H766" i="24"/>
  <c r="I765" i="24"/>
  <c r="H765" i="24"/>
  <c r="I764" i="24"/>
  <c r="H764" i="24"/>
  <c r="I763" i="24"/>
  <c r="H763" i="24"/>
  <c r="I762" i="24"/>
  <c r="H762" i="24"/>
  <c r="I761" i="24"/>
  <c r="H761" i="24"/>
  <c r="I760" i="24"/>
  <c r="H760" i="24"/>
  <c r="I759" i="24"/>
  <c r="H759" i="24"/>
  <c r="I758" i="24"/>
  <c r="H758" i="24"/>
  <c r="I757" i="24"/>
  <c r="H757" i="24"/>
  <c r="I756" i="24"/>
  <c r="H756" i="24"/>
  <c r="I755" i="24"/>
  <c r="H755" i="24"/>
  <c r="I754" i="24"/>
  <c r="H754" i="24"/>
  <c r="I753" i="24"/>
  <c r="H753" i="24"/>
  <c r="I752" i="24"/>
  <c r="H752" i="24"/>
  <c r="I751" i="24"/>
  <c r="H751" i="24"/>
  <c r="I750" i="24"/>
  <c r="H750" i="24"/>
  <c r="I749" i="24"/>
  <c r="H749" i="24"/>
  <c r="I748" i="24"/>
  <c r="H748" i="24"/>
  <c r="I747" i="24"/>
  <c r="H747" i="24"/>
  <c r="I746" i="24"/>
  <c r="H746" i="24"/>
  <c r="I745" i="24"/>
  <c r="H745" i="24"/>
  <c r="I744" i="24"/>
  <c r="H744" i="24"/>
  <c r="I743" i="24"/>
  <c r="H743" i="24"/>
  <c r="I742" i="24"/>
  <c r="H742" i="24"/>
  <c r="I741" i="24"/>
  <c r="H741" i="24"/>
  <c r="I740" i="24"/>
  <c r="H740" i="24"/>
  <c r="I739" i="24"/>
  <c r="H739" i="24"/>
  <c r="I738" i="24"/>
  <c r="H738" i="24"/>
  <c r="I737" i="24"/>
  <c r="H737" i="24"/>
  <c r="I736" i="24"/>
  <c r="H736" i="24"/>
  <c r="I735" i="24"/>
  <c r="H735" i="24"/>
  <c r="I734" i="24"/>
  <c r="H734" i="24"/>
  <c r="I733" i="24"/>
  <c r="H733" i="24"/>
  <c r="I732" i="24"/>
  <c r="H732" i="24"/>
  <c r="I731" i="24"/>
  <c r="H731" i="24"/>
  <c r="I730" i="24"/>
  <c r="H730" i="24"/>
  <c r="I729" i="24"/>
  <c r="H729" i="24"/>
  <c r="I728" i="24"/>
  <c r="H728" i="24"/>
  <c r="I727" i="24"/>
  <c r="H727" i="24"/>
  <c r="I726" i="24"/>
  <c r="H726" i="24"/>
  <c r="I725" i="24"/>
  <c r="H725" i="24"/>
  <c r="I724" i="24"/>
  <c r="H724" i="24"/>
  <c r="I723" i="24"/>
  <c r="H723" i="24"/>
  <c r="I722" i="24"/>
  <c r="H722" i="24"/>
  <c r="I721" i="24"/>
  <c r="H721" i="24"/>
  <c r="I720" i="24"/>
  <c r="H720" i="24"/>
  <c r="I719" i="24"/>
  <c r="H719" i="24"/>
  <c r="I718" i="24"/>
  <c r="H718" i="24"/>
  <c r="I717" i="24"/>
  <c r="H717" i="24"/>
  <c r="I716" i="24"/>
  <c r="H716" i="24"/>
  <c r="I715" i="24"/>
  <c r="H715" i="24"/>
  <c r="I714" i="24"/>
  <c r="H714" i="24"/>
  <c r="I713" i="24"/>
  <c r="H713" i="24"/>
  <c r="I712" i="24"/>
  <c r="H712" i="24"/>
  <c r="I711" i="24"/>
  <c r="H711" i="24"/>
  <c r="I710" i="24"/>
  <c r="H710" i="24"/>
  <c r="I709" i="24"/>
  <c r="H709" i="24"/>
  <c r="I708" i="24"/>
  <c r="H708" i="24"/>
  <c r="I707" i="24"/>
  <c r="H707" i="24"/>
  <c r="I706" i="24"/>
  <c r="H706" i="24"/>
  <c r="I705" i="24"/>
  <c r="H705" i="24"/>
  <c r="I704" i="24"/>
  <c r="H704" i="24"/>
  <c r="I703" i="24"/>
  <c r="H703" i="24"/>
  <c r="I702" i="24"/>
  <c r="H702" i="24"/>
  <c r="I701" i="24"/>
  <c r="H701" i="24"/>
  <c r="I700" i="24"/>
  <c r="H700" i="24"/>
  <c r="I699" i="24"/>
  <c r="H699" i="24"/>
  <c r="I698" i="24"/>
  <c r="H698" i="24"/>
  <c r="I697" i="24"/>
  <c r="H697" i="24"/>
  <c r="I696" i="24"/>
  <c r="H696" i="24"/>
  <c r="I695" i="24"/>
  <c r="H695" i="24"/>
  <c r="I694" i="24"/>
  <c r="H694" i="24"/>
  <c r="I693" i="24"/>
  <c r="H693" i="24"/>
  <c r="I692" i="24"/>
  <c r="H692" i="24"/>
  <c r="I691" i="24"/>
  <c r="H691" i="24"/>
  <c r="I690" i="24"/>
  <c r="H690" i="24"/>
  <c r="I689" i="24"/>
  <c r="H689" i="24"/>
  <c r="I688" i="24"/>
  <c r="H688" i="24"/>
  <c r="I687" i="24"/>
  <c r="H687" i="24"/>
  <c r="I686" i="24"/>
  <c r="H686" i="24"/>
  <c r="I685" i="24"/>
  <c r="H685" i="24"/>
  <c r="I684" i="24"/>
  <c r="H684" i="24"/>
  <c r="I683" i="24"/>
  <c r="H683" i="24"/>
  <c r="I682" i="24"/>
  <c r="H682" i="24"/>
  <c r="I681" i="24"/>
  <c r="H681" i="24"/>
  <c r="I680" i="24"/>
  <c r="H680" i="24"/>
  <c r="I679" i="24"/>
  <c r="H679" i="24"/>
  <c r="I678" i="24"/>
  <c r="H678" i="24"/>
  <c r="I677" i="24"/>
  <c r="H677" i="24"/>
  <c r="I676" i="24"/>
  <c r="H676" i="24"/>
  <c r="I675" i="24"/>
  <c r="H675" i="24"/>
  <c r="I674" i="24"/>
  <c r="H674" i="24"/>
  <c r="I673" i="24"/>
  <c r="H673" i="24"/>
  <c r="I672" i="24"/>
  <c r="H672" i="24"/>
  <c r="I671" i="24"/>
  <c r="H671" i="24"/>
  <c r="I670" i="24"/>
  <c r="H670" i="24"/>
  <c r="I669" i="24"/>
  <c r="H669" i="24"/>
  <c r="I668" i="24"/>
  <c r="H668" i="24"/>
  <c r="I667" i="24"/>
  <c r="H667" i="24"/>
  <c r="I666" i="24"/>
  <c r="H666" i="24"/>
  <c r="I665" i="24"/>
  <c r="H665" i="24"/>
  <c r="I664" i="24"/>
  <c r="H664" i="24"/>
  <c r="I663" i="24"/>
  <c r="H663" i="24"/>
  <c r="I662" i="24"/>
  <c r="H662" i="24"/>
  <c r="I661" i="24"/>
  <c r="H661" i="24"/>
  <c r="I660" i="24"/>
  <c r="H660" i="24"/>
  <c r="I659" i="24"/>
  <c r="H659" i="24"/>
  <c r="I658" i="24"/>
  <c r="H658" i="24"/>
  <c r="I657" i="24"/>
  <c r="H657" i="24"/>
  <c r="I656" i="24"/>
  <c r="H656" i="24"/>
  <c r="I655" i="24"/>
  <c r="H655" i="24"/>
  <c r="I654" i="24"/>
  <c r="H654" i="24"/>
  <c r="I653" i="24"/>
  <c r="H653" i="24"/>
  <c r="I652" i="24"/>
  <c r="H652" i="24"/>
  <c r="I651" i="24"/>
  <c r="H651" i="24"/>
  <c r="I650" i="24"/>
  <c r="H650" i="24"/>
  <c r="I649" i="24"/>
  <c r="H649" i="24"/>
  <c r="I648" i="24"/>
  <c r="H648" i="24"/>
  <c r="I647" i="24"/>
  <c r="H647" i="24"/>
  <c r="I646" i="24"/>
  <c r="H646" i="24"/>
  <c r="I645" i="24"/>
  <c r="H645" i="24"/>
  <c r="I644" i="24"/>
  <c r="H644" i="24"/>
  <c r="I643" i="24"/>
  <c r="H643" i="24"/>
  <c r="I642" i="24"/>
  <c r="H642" i="24"/>
  <c r="I641" i="24"/>
  <c r="H641" i="24"/>
  <c r="I640" i="24"/>
  <c r="H640" i="24"/>
  <c r="I639" i="24"/>
  <c r="H639" i="24"/>
  <c r="I638" i="24"/>
  <c r="H638" i="24"/>
  <c r="I637" i="24"/>
  <c r="H637" i="24"/>
  <c r="I636" i="24"/>
  <c r="H636" i="24"/>
  <c r="I635" i="24"/>
  <c r="H635" i="24"/>
  <c r="I634" i="24"/>
  <c r="H634" i="24"/>
  <c r="I633" i="24"/>
  <c r="H633" i="24"/>
  <c r="I632" i="24"/>
  <c r="H632" i="24"/>
  <c r="I631" i="24"/>
  <c r="H631" i="24"/>
  <c r="I630" i="24"/>
  <c r="H630" i="24"/>
  <c r="I629" i="24"/>
  <c r="H629" i="24"/>
  <c r="I628" i="24"/>
  <c r="H628" i="24"/>
  <c r="I627" i="24"/>
  <c r="H627" i="24"/>
  <c r="I626" i="24"/>
  <c r="H626" i="24"/>
  <c r="I625" i="24"/>
  <c r="H625" i="24"/>
  <c r="I624" i="24"/>
  <c r="H624" i="24"/>
  <c r="I623" i="24"/>
  <c r="H623" i="24"/>
  <c r="I622" i="24"/>
  <c r="H622" i="24"/>
  <c r="I621" i="24"/>
  <c r="H621" i="24"/>
  <c r="I620" i="24"/>
  <c r="H620" i="24"/>
  <c r="I619" i="24"/>
  <c r="H619" i="24"/>
  <c r="I618" i="24"/>
  <c r="H618" i="24"/>
  <c r="I617" i="24"/>
  <c r="H617" i="24"/>
  <c r="I616" i="24"/>
  <c r="H616" i="24"/>
  <c r="I615" i="24"/>
  <c r="H615" i="24"/>
  <c r="I614" i="24"/>
  <c r="H614" i="24"/>
  <c r="I613" i="24"/>
  <c r="H613" i="24"/>
  <c r="I612" i="24"/>
  <c r="H612" i="24"/>
  <c r="I611" i="24"/>
  <c r="H611" i="24"/>
  <c r="I610" i="24"/>
  <c r="H610" i="24"/>
  <c r="I609" i="24"/>
  <c r="H609" i="24"/>
  <c r="I608" i="24"/>
  <c r="H608" i="24"/>
  <c r="I607" i="24"/>
  <c r="H607" i="24"/>
  <c r="I606" i="24"/>
  <c r="H606" i="24"/>
  <c r="I605" i="24"/>
  <c r="H605" i="24"/>
  <c r="I604" i="24"/>
  <c r="H604" i="24"/>
  <c r="I603" i="24"/>
  <c r="H603" i="24"/>
  <c r="I602" i="24"/>
  <c r="H602" i="24"/>
  <c r="I601" i="24"/>
  <c r="H601" i="24"/>
  <c r="I600" i="24"/>
  <c r="H600" i="24"/>
  <c r="I599" i="24"/>
  <c r="H599" i="24"/>
  <c r="I598" i="24"/>
  <c r="H598" i="24"/>
  <c r="I597" i="24"/>
  <c r="H597" i="24"/>
  <c r="I596" i="24"/>
  <c r="H596" i="24"/>
  <c r="I595" i="24"/>
  <c r="H595" i="24"/>
  <c r="I594" i="24"/>
  <c r="H594" i="24"/>
  <c r="I593" i="24"/>
  <c r="H593" i="24"/>
  <c r="I592" i="24"/>
  <c r="H592" i="24"/>
  <c r="I591" i="24"/>
  <c r="H591" i="24"/>
  <c r="I590" i="24"/>
  <c r="H590" i="24"/>
  <c r="I589" i="24"/>
  <c r="H589" i="24"/>
  <c r="I588" i="24"/>
  <c r="H588" i="24"/>
  <c r="I587" i="24"/>
  <c r="H587" i="24"/>
  <c r="I586" i="24"/>
  <c r="H586" i="24"/>
  <c r="I585" i="24"/>
  <c r="H585" i="24"/>
  <c r="I584" i="24"/>
  <c r="H584" i="24"/>
  <c r="I583" i="24"/>
  <c r="H583" i="24"/>
  <c r="I582" i="24"/>
  <c r="H582" i="24"/>
  <c r="I581" i="24"/>
  <c r="H581" i="24"/>
  <c r="I580" i="24"/>
  <c r="H580" i="24"/>
  <c r="I579" i="24"/>
  <c r="H579" i="24"/>
  <c r="I578" i="24"/>
  <c r="H578" i="24"/>
  <c r="I577" i="24"/>
  <c r="H577" i="24"/>
  <c r="I576" i="24"/>
  <c r="H576" i="24"/>
  <c r="I575" i="24"/>
  <c r="H575" i="24"/>
  <c r="I574" i="24"/>
  <c r="H574" i="24"/>
  <c r="I573" i="24"/>
  <c r="H573" i="24"/>
  <c r="I572" i="24"/>
  <c r="H572" i="24"/>
  <c r="I571" i="24"/>
  <c r="H571" i="24"/>
  <c r="I570" i="24"/>
  <c r="H570" i="24"/>
  <c r="I569" i="24"/>
  <c r="H569" i="24"/>
  <c r="I568" i="24"/>
  <c r="H568" i="24"/>
  <c r="I567" i="24"/>
  <c r="H567" i="24"/>
  <c r="I566" i="24"/>
  <c r="H566" i="24"/>
  <c r="I565" i="24"/>
  <c r="H565" i="24"/>
  <c r="I564" i="24"/>
  <c r="H564" i="24"/>
  <c r="I563" i="24"/>
  <c r="H563" i="24"/>
  <c r="I562" i="24"/>
  <c r="H562" i="24"/>
  <c r="I561" i="24"/>
  <c r="H561" i="24"/>
  <c r="I560" i="24"/>
  <c r="H560" i="24"/>
  <c r="I559" i="24"/>
  <c r="H559" i="24"/>
  <c r="I558" i="24"/>
  <c r="H558" i="24"/>
  <c r="I557" i="24"/>
  <c r="H557" i="24"/>
  <c r="I556" i="24"/>
  <c r="H556" i="24"/>
  <c r="I555" i="24"/>
  <c r="H555" i="24"/>
  <c r="I554" i="24"/>
  <c r="H554" i="24"/>
  <c r="I553" i="24"/>
  <c r="H553" i="24"/>
  <c r="I552" i="24"/>
  <c r="H552" i="24"/>
  <c r="I551" i="24"/>
  <c r="H551" i="24"/>
  <c r="I550" i="24"/>
  <c r="H550" i="24"/>
  <c r="I549" i="24"/>
  <c r="H549" i="24"/>
  <c r="I548" i="24"/>
  <c r="H548" i="24"/>
  <c r="I547" i="24"/>
  <c r="H547" i="24"/>
  <c r="I546" i="24"/>
  <c r="H546" i="24"/>
  <c r="I545" i="24"/>
  <c r="H545" i="24"/>
  <c r="I544" i="24"/>
  <c r="H544" i="24"/>
  <c r="I543" i="24"/>
  <c r="H543" i="24"/>
  <c r="I542" i="24"/>
  <c r="H542" i="24"/>
  <c r="I541" i="24"/>
  <c r="H541" i="24"/>
  <c r="I540" i="24"/>
  <c r="H540" i="24"/>
  <c r="I539" i="24"/>
  <c r="H539" i="24"/>
  <c r="I538" i="24"/>
  <c r="H538" i="24"/>
  <c r="I537" i="24"/>
  <c r="H537" i="24"/>
  <c r="I536" i="24"/>
  <c r="H536" i="24"/>
  <c r="I535" i="24"/>
  <c r="H535" i="24"/>
  <c r="I534" i="24"/>
  <c r="H534" i="24"/>
  <c r="I533" i="24"/>
  <c r="H533" i="24"/>
  <c r="I532" i="24"/>
  <c r="H532" i="24"/>
  <c r="I531" i="24"/>
  <c r="H531" i="24"/>
  <c r="I530" i="24"/>
  <c r="H530" i="24"/>
  <c r="I529" i="24"/>
  <c r="H529" i="24"/>
  <c r="I528" i="24"/>
  <c r="H528" i="24"/>
  <c r="I527" i="24"/>
  <c r="H527" i="24"/>
  <c r="I526" i="24"/>
  <c r="H526" i="24"/>
  <c r="I525" i="24"/>
  <c r="H525" i="24"/>
  <c r="I524" i="24"/>
  <c r="H524" i="24"/>
  <c r="I523" i="24"/>
  <c r="H523" i="24"/>
  <c r="I522" i="24"/>
  <c r="H522" i="24"/>
  <c r="I521" i="24"/>
  <c r="H521" i="24"/>
  <c r="I520" i="24"/>
  <c r="H520" i="24"/>
  <c r="I519" i="24"/>
  <c r="H519" i="24"/>
  <c r="I518" i="24"/>
  <c r="H518" i="24"/>
  <c r="I517" i="24"/>
  <c r="H517" i="24"/>
  <c r="I516" i="24"/>
  <c r="H516" i="24"/>
  <c r="I515" i="24"/>
  <c r="H515" i="24"/>
  <c r="I514" i="24"/>
  <c r="H514" i="24"/>
  <c r="I513" i="24"/>
  <c r="H513" i="24"/>
  <c r="I512" i="24"/>
  <c r="H512" i="24"/>
  <c r="I511" i="24"/>
  <c r="H511" i="24"/>
  <c r="I510" i="24"/>
  <c r="H510" i="24"/>
  <c r="I509" i="24"/>
  <c r="H509" i="24"/>
  <c r="I508" i="24"/>
  <c r="H508" i="24"/>
  <c r="I507" i="24"/>
  <c r="H507" i="24"/>
  <c r="I506" i="24"/>
  <c r="H506" i="24"/>
  <c r="I505" i="24"/>
  <c r="H505" i="24"/>
  <c r="I504" i="24"/>
  <c r="H504" i="24"/>
  <c r="I503" i="24"/>
  <c r="H503" i="24"/>
  <c r="I502" i="24"/>
  <c r="H502" i="24"/>
  <c r="I501" i="24"/>
  <c r="H501" i="24"/>
  <c r="I500" i="24"/>
  <c r="H500" i="24"/>
  <c r="I499" i="24"/>
  <c r="H499" i="24"/>
  <c r="I498" i="24"/>
  <c r="H498" i="24"/>
  <c r="I497" i="24"/>
  <c r="H497" i="24"/>
  <c r="I496" i="24"/>
  <c r="H496" i="24"/>
  <c r="I495" i="24"/>
  <c r="H495" i="24"/>
  <c r="I494" i="24"/>
  <c r="H494" i="24"/>
  <c r="I493" i="24"/>
  <c r="H493" i="24"/>
  <c r="I492" i="24"/>
  <c r="H492" i="24"/>
  <c r="I491" i="24"/>
  <c r="H491" i="24"/>
  <c r="I490" i="24"/>
  <c r="H490" i="24"/>
  <c r="I489" i="24"/>
  <c r="H489" i="24"/>
  <c r="I488" i="24"/>
  <c r="H488" i="24"/>
  <c r="I487" i="24"/>
  <c r="H487" i="24"/>
  <c r="I486" i="24"/>
  <c r="H486" i="24"/>
  <c r="I485" i="24"/>
  <c r="H485" i="24"/>
  <c r="I484" i="24"/>
  <c r="H484" i="24"/>
  <c r="I483" i="24"/>
  <c r="H483" i="24"/>
  <c r="I482" i="24"/>
  <c r="H482" i="24"/>
  <c r="I481" i="24"/>
  <c r="H481" i="24"/>
  <c r="I480" i="24"/>
  <c r="H480" i="24"/>
  <c r="I479" i="24"/>
  <c r="H479" i="24"/>
  <c r="I478" i="24"/>
  <c r="H478" i="24"/>
  <c r="I477" i="24"/>
  <c r="H477" i="24"/>
  <c r="I476" i="24"/>
  <c r="H476" i="24"/>
  <c r="I475" i="24"/>
  <c r="H475" i="24"/>
  <c r="I474" i="24"/>
  <c r="H474" i="24"/>
  <c r="I473" i="24"/>
  <c r="H473" i="24"/>
  <c r="I472" i="24"/>
  <c r="H472" i="24"/>
  <c r="I471" i="24"/>
  <c r="H471" i="24"/>
  <c r="I470" i="24"/>
  <c r="H470" i="24"/>
  <c r="I469" i="24"/>
  <c r="H469" i="24"/>
  <c r="I468" i="24"/>
  <c r="H468" i="24"/>
  <c r="I467" i="24"/>
  <c r="H467" i="24"/>
  <c r="I466" i="24"/>
  <c r="H466" i="24"/>
  <c r="I465" i="24"/>
  <c r="H465" i="24"/>
  <c r="I464" i="24"/>
  <c r="H464" i="24"/>
  <c r="I463" i="24"/>
  <c r="H463" i="24"/>
  <c r="I462" i="24"/>
  <c r="H462" i="24"/>
  <c r="I461" i="24"/>
  <c r="H461" i="24"/>
  <c r="I460" i="24"/>
  <c r="H460" i="24"/>
  <c r="I459" i="24"/>
  <c r="H459" i="24"/>
  <c r="I458" i="24"/>
  <c r="H458" i="24"/>
  <c r="I457" i="24"/>
  <c r="H457" i="24"/>
  <c r="I456" i="24"/>
  <c r="H456" i="24"/>
  <c r="I455" i="24"/>
  <c r="H455" i="24"/>
  <c r="I454" i="24"/>
  <c r="H454" i="24"/>
  <c r="I453" i="24"/>
  <c r="H453" i="24"/>
  <c r="I452" i="24"/>
  <c r="H452" i="24"/>
  <c r="I451" i="24"/>
  <c r="H451" i="24"/>
  <c r="I450" i="24"/>
  <c r="H450" i="24"/>
  <c r="I449" i="24"/>
  <c r="H449" i="24"/>
  <c r="I448" i="24"/>
  <c r="H448" i="24"/>
  <c r="I447" i="24"/>
  <c r="H447" i="24"/>
  <c r="I446" i="24"/>
  <c r="H446" i="24"/>
  <c r="I445" i="24"/>
  <c r="H445" i="24"/>
  <c r="I444" i="24"/>
  <c r="H444" i="24"/>
  <c r="I443" i="24"/>
  <c r="H443" i="24"/>
  <c r="I442" i="24"/>
  <c r="H442" i="24"/>
  <c r="I441" i="24"/>
  <c r="H441" i="24"/>
  <c r="I440" i="24"/>
  <c r="H440" i="24"/>
  <c r="I439" i="24"/>
  <c r="H439" i="24"/>
  <c r="I438" i="24"/>
  <c r="H438" i="24"/>
  <c r="I437" i="24"/>
  <c r="H437" i="24"/>
  <c r="I436" i="24"/>
  <c r="H436" i="24"/>
  <c r="I435" i="24"/>
  <c r="H435" i="24"/>
  <c r="I434" i="24"/>
  <c r="H434" i="24"/>
  <c r="I433" i="24"/>
  <c r="H433" i="24"/>
  <c r="I432" i="24"/>
  <c r="H432" i="24"/>
  <c r="I431" i="24"/>
  <c r="H431" i="24"/>
  <c r="I430" i="24"/>
  <c r="H430" i="24"/>
  <c r="I429" i="24"/>
  <c r="H429" i="24"/>
  <c r="I428" i="24"/>
  <c r="H428" i="24"/>
  <c r="I427" i="24"/>
  <c r="H427" i="24"/>
  <c r="I426" i="24"/>
  <c r="H426" i="24"/>
  <c r="I425" i="24"/>
  <c r="H425" i="24"/>
  <c r="I424" i="24"/>
  <c r="H424" i="24"/>
  <c r="I423" i="24"/>
  <c r="H423" i="24"/>
  <c r="I422" i="24"/>
  <c r="H422" i="24"/>
  <c r="I421" i="24"/>
  <c r="H421" i="24"/>
  <c r="I420" i="24"/>
  <c r="H420" i="24"/>
  <c r="I419" i="24"/>
  <c r="H419" i="24"/>
  <c r="I418" i="24"/>
  <c r="H418" i="24"/>
  <c r="I417" i="24"/>
  <c r="H417" i="24"/>
  <c r="I416" i="24"/>
  <c r="H416" i="24"/>
  <c r="I415" i="24"/>
  <c r="H415" i="24"/>
  <c r="I414" i="24"/>
  <c r="H414" i="24"/>
  <c r="I413" i="24"/>
  <c r="H413" i="24"/>
  <c r="I412" i="24"/>
  <c r="H412" i="24"/>
  <c r="I411" i="24"/>
  <c r="H411" i="24"/>
  <c r="I410" i="24"/>
  <c r="H410" i="24"/>
  <c r="I409" i="24"/>
  <c r="H409" i="24"/>
  <c r="I408" i="24"/>
  <c r="H408" i="24"/>
  <c r="I407" i="24"/>
  <c r="H407" i="24"/>
  <c r="I406" i="24"/>
  <c r="H406" i="24"/>
  <c r="I405" i="24"/>
  <c r="H405" i="24"/>
  <c r="I404" i="24"/>
  <c r="H404" i="24"/>
  <c r="I403" i="24"/>
  <c r="H403" i="24"/>
  <c r="I402" i="24"/>
  <c r="H402" i="24"/>
  <c r="I401" i="24"/>
  <c r="H401" i="24"/>
  <c r="I400" i="24"/>
  <c r="H400" i="24"/>
  <c r="I399" i="24"/>
  <c r="H399" i="24"/>
  <c r="I398" i="24"/>
  <c r="H398" i="24"/>
  <c r="I397" i="24"/>
  <c r="H397" i="24"/>
  <c r="I396" i="24"/>
  <c r="H396" i="24"/>
  <c r="I395" i="24"/>
  <c r="H395" i="24"/>
  <c r="I394" i="24"/>
  <c r="H394" i="24"/>
  <c r="I393" i="24"/>
  <c r="H393" i="24"/>
  <c r="I392" i="24"/>
  <c r="H392" i="24"/>
  <c r="I391" i="24"/>
  <c r="H391" i="24"/>
  <c r="I390" i="24"/>
  <c r="H390" i="24"/>
  <c r="I389" i="24"/>
  <c r="H389" i="24"/>
  <c r="I388" i="24"/>
  <c r="H388" i="24"/>
  <c r="I387" i="24"/>
  <c r="H387" i="24"/>
  <c r="I386" i="24"/>
  <c r="H386" i="24"/>
  <c r="I385" i="24"/>
  <c r="H385" i="24"/>
  <c r="I384" i="24"/>
  <c r="H384" i="24"/>
  <c r="I383" i="24"/>
  <c r="H383" i="24"/>
  <c r="I382" i="24"/>
  <c r="H382" i="24"/>
  <c r="I381" i="24"/>
  <c r="H381" i="24"/>
  <c r="I380" i="24"/>
  <c r="H380" i="24"/>
  <c r="I379" i="24"/>
  <c r="H379" i="24"/>
  <c r="I378" i="24"/>
  <c r="H378" i="24"/>
  <c r="I377" i="24"/>
  <c r="H377" i="24"/>
  <c r="I376" i="24"/>
  <c r="H376" i="24"/>
  <c r="I375" i="24"/>
  <c r="H375" i="24"/>
  <c r="I374" i="24"/>
  <c r="H374" i="24"/>
  <c r="I373" i="24"/>
  <c r="H373" i="24"/>
  <c r="I372" i="24"/>
  <c r="H372" i="24"/>
  <c r="I371" i="24"/>
  <c r="H371" i="24"/>
  <c r="I370" i="24"/>
  <c r="H370" i="24"/>
  <c r="I369" i="24"/>
  <c r="H369" i="24"/>
  <c r="I368" i="24"/>
  <c r="H368" i="24"/>
  <c r="I367" i="24"/>
  <c r="H367" i="24"/>
  <c r="I366" i="24"/>
  <c r="H366" i="24"/>
  <c r="I365" i="24"/>
  <c r="H365" i="24"/>
  <c r="I364" i="24"/>
  <c r="H364" i="24"/>
  <c r="I363" i="24"/>
  <c r="H363" i="24"/>
  <c r="I362" i="24"/>
  <c r="H362" i="24"/>
  <c r="I361" i="24"/>
  <c r="H361" i="24"/>
  <c r="I360" i="24"/>
  <c r="H360" i="24"/>
  <c r="I359" i="24"/>
  <c r="H359" i="24"/>
  <c r="I358" i="24"/>
  <c r="H358" i="24"/>
  <c r="I357" i="24"/>
  <c r="H357" i="24"/>
  <c r="I356" i="24"/>
  <c r="H356" i="24"/>
  <c r="I355" i="24"/>
  <c r="H355" i="24"/>
  <c r="I354" i="24"/>
  <c r="H354" i="24"/>
  <c r="I353" i="24"/>
  <c r="H353" i="24"/>
  <c r="I352" i="24"/>
  <c r="H352" i="24"/>
  <c r="I351" i="24"/>
  <c r="H351" i="24"/>
  <c r="I350" i="24"/>
  <c r="H350" i="24"/>
  <c r="I349" i="24"/>
  <c r="H349" i="24"/>
  <c r="I348" i="24"/>
  <c r="H348" i="24"/>
  <c r="I347" i="24"/>
  <c r="H347" i="24"/>
  <c r="I346" i="24"/>
  <c r="H346" i="24"/>
  <c r="I345" i="24"/>
  <c r="H345" i="24"/>
  <c r="I344" i="24"/>
  <c r="H344" i="24"/>
  <c r="I343" i="24"/>
  <c r="H343" i="24"/>
  <c r="I342" i="24"/>
  <c r="H342" i="24"/>
  <c r="I341" i="24"/>
  <c r="H341" i="24"/>
  <c r="I340" i="24"/>
  <c r="H340" i="24"/>
  <c r="I339" i="24"/>
  <c r="H339" i="24"/>
  <c r="I338" i="24"/>
  <c r="H338" i="24"/>
  <c r="I337" i="24"/>
  <c r="H337" i="24"/>
  <c r="I336" i="24"/>
  <c r="H336" i="24"/>
  <c r="I335" i="24"/>
  <c r="H335" i="24"/>
  <c r="I334" i="24"/>
  <c r="H334" i="24"/>
  <c r="I333" i="24"/>
  <c r="H333" i="24"/>
  <c r="I332" i="24"/>
  <c r="H332" i="24"/>
  <c r="I331" i="24"/>
  <c r="H331" i="24"/>
  <c r="I330" i="24"/>
  <c r="H330" i="24"/>
  <c r="I329" i="24"/>
  <c r="H329" i="24"/>
  <c r="I328" i="24"/>
  <c r="H328" i="24"/>
  <c r="I327" i="24"/>
  <c r="H327" i="24"/>
  <c r="I326" i="24"/>
  <c r="H326" i="24"/>
  <c r="I325" i="24"/>
  <c r="H325" i="24"/>
  <c r="I324" i="24"/>
  <c r="H324" i="24"/>
  <c r="I323" i="24"/>
  <c r="H323" i="24"/>
  <c r="I322" i="24"/>
  <c r="H322" i="24"/>
  <c r="I321" i="24"/>
  <c r="H321" i="24"/>
  <c r="I320" i="24"/>
  <c r="H320" i="24"/>
  <c r="I319" i="24"/>
  <c r="H319" i="24"/>
  <c r="I318" i="24"/>
  <c r="H318" i="24"/>
  <c r="I317" i="24"/>
  <c r="H317" i="24"/>
  <c r="I316" i="24"/>
  <c r="H316" i="24"/>
  <c r="I315" i="24"/>
  <c r="H315" i="24"/>
  <c r="I314" i="24"/>
  <c r="H314" i="24"/>
  <c r="I313" i="24"/>
  <c r="H313" i="24"/>
  <c r="I312" i="24"/>
  <c r="H312" i="24"/>
  <c r="I311" i="24"/>
  <c r="H311" i="24"/>
  <c r="I310" i="24"/>
  <c r="H310" i="24"/>
  <c r="I309" i="24"/>
  <c r="H309" i="24"/>
  <c r="I308" i="24"/>
  <c r="H308" i="24"/>
  <c r="I307" i="24"/>
  <c r="H307" i="24"/>
  <c r="I306" i="24"/>
  <c r="H306" i="24"/>
  <c r="I305" i="24"/>
  <c r="H305" i="24"/>
  <c r="I304" i="24"/>
  <c r="H304" i="24"/>
  <c r="I303" i="24"/>
  <c r="H303" i="24"/>
  <c r="I302" i="24"/>
  <c r="H302" i="24"/>
  <c r="I301" i="24"/>
  <c r="H301" i="24"/>
  <c r="I300" i="24"/>
  <c r="H300" i="24"/>
  <c r="I299" i="24"/>
  <c r="H299" i="24"/>
  <c r="I298" i="24"/>
  <c r="H298" i="24"/>
  <c r="I297" i="24"/>
  <c r="H297" i="24"/>
  <c r="I296" i="24"/>
  <c r="H296" i="24"/>
  <c r="I295" i="24"/>
  <c r="H295" i="24"/>
  <c r="I294" i="24"/>
  <c r="H294" i="24"/>
  <c r="I293" i="24"/>
  <c r="H293" i="24"/>
  <c r="I292" i="24"/>
  <c r="H292" i="24"/>
  <c r="I291" i="24"/>
  <c r="H291" i="24"/>
  <c r="I290" i="24"/>
  <c r="H290" i="24"/>
  <c r="I289" i="24"/>
  <c r="H289" i="24"/>
  <c r="I288" i="24"/>
  <c r="H288" i="24"/>
  <c r="I287" i="24"/>
  <c r="H287" i="24"/>
  <c r="I286" i="24"/>
  <c r="H286" i="24"/>
  <c r="I285" i="24"/>
  <c r="H285" i="24"/>
  <c r="I284" i="24"/>
  <c r="H284" i="24"/>
  <c r="I283" i="24"/>
  <c r="H283" i="24"/>
  <c r="I282" i="24"/>
  <c r="H282" i="24"/>
  <c r="I281" i="24"/>
  <c r="H281" i="24"/>
  <c r="I280" i="24"/>
  <c r="H280" i="24"/>
  <c r="I279" i="24"/>
  <c r="H279" i="24"/>
  <c r="I278" i="24"/>
  <c r="H278" i="24"/>
  <c r="I277" i="24"/>
  <c r="H277" i="24"/>
  <c r="I276" i="24"/>
  <c r="H276" i="24"/>
  <c r="I275" i="24"/>
  <c r="H275" i="24"/>
  <c r="I274" i="24"/>
  <c r="H274" i="24"/>
  <c r="I273" i="24"/>
  <c r="H273" i="24"/>
  <c r="I272" i="24"/>
  <c r="H272" i="24"/>
  <c r="I271" i="24"/>
  <c r="H271" i="24"/>
  <c r="I270" i="24"/>
  <c r="H270" i="24"/>
  <c r="I269" i="24"/>
  <c r="H269" i="24"/>
  <c r="I268" i="24"/>
  <c r="H268" i="24"/>
  <c r="I267" i="24"/>
  <c r="H267" i="24"/>
  <c r="I266" i="24"/>
  <c r="H266" i="24"/>
  <c r="I265" i="24"/>
  <c r="H265" i="24"/>
  <c r="I264" i="24"/>
  <c r="H264" i="24"/>
  <c r="I263" i="24"/>
  <c r="H263" i="24"/>
  <c r="I262" i="24"/>
  <c r="H262" i="24"/>
  <c r="I261" i="24"/>
  <c r="H261" i="24"/>
  <c r="I260" i="24"/>
  <c r="H260" i="24"/>
  <c r="I259" i="24"/>
  <c r="H259" i="24"/>
  <c r="I258" i="24"/>
  <c r="H258" i="24"/>
  <c r="I257" i="24"/>
  <c r="H257" i="24"/>
  <c r="I256" i="24"/>
  <c r="H256" i="24"/>
  <c r="I255" i="24"/>
  <c r="H255" i="24"/>
  <c r="I254" i="24"/>
  <c r="H254" i="24"/>
  <c r="I253" i="24"/>
  <c r="H253" i="24"/>
  <c r="I252" i="24"/>
  <c r="H252" i="24"/>
  <c r="I251" i="24"/>
  <c r="H251" i="24"/>
  <c r="I250" i="24"/>
  <c r="H250" i="24"/>
  <c r="I249" i="24"/>
  <c r="H249" i="24"/>
  <c r="I248" i="24"/>
  <c r="H248" i="24"/>
  <c r="I247" i="24"/>
  <c r="H247" i="24"/>
  <c r="I246" i="24"/>
  <c r="H246" i="24"/>
  <c r="I245" i="24"/>
  <c r="H245" i="24"/>
  <c r="I244" i="24"/>
  <c r="H244" i="24"/>
  <c r="I243" i="24"/>
  <c r="H243" i="24"/>
  <c r="I242" i="24"/>
  <c r="H242" i="24"/>
  <c r="I241" i="24"/>
  <c r="H241" i="24"/>
  <c r="I240" i="24"/>
  <c r="H240" i="24"/>
  <c r="I239" i="24"/>
  <c r="H239" i="24"/>
  <c r="I238" i="24"/>
  <c r="H238" i="24"/>
  <c r="I237" i="24"/>
  <c r="H237" i="24"/>
  <c r="I236" i="24"/>
  <c r="H236" i="24"/>
  <c r="I235" i="24"/>
  <c r="H235" i="24"/>
  <c r="I234" i="24"/>
  <c r="H234" i="24"/>
  <c r="I233" i="24"/>
  <c r="H233" i="24"/>
  <c r="I232" i="24"/>
  <c r="H232" i="24"/>
  <c r="I231" i="24"/>
  <c r="H231" i="24"/>
  <c r="I230" i="24"/>
  <c r="H230" i="24"/>
  <c r="I229" i="24"/>
  <c r="H229" i="24"/>
  <c r="I228" i="24"/>
  <c r="H228" i="24"/>
  <c r="I227" i="24"/>
  <c r="H227" i="24"/>
  <c r="I226" i="24"/>
  <c r="H226" i="24"/>
  <c r="I225" i="24"/>
  <c r="H225" i="24"/>
  <c r="I224" i="24"/>
  <c r="H224" i="24"/>
  <c r="I223" i="24"/>
  <c r="H223" i="24"/>
  <c r="I222" i="24"/>
  <c r="H222" i="24"/>
  <c r="I221" i="24"/>
  <c r="H221" i="24"/>
  <c r="I220" i="24"/>
  <c r="H220" i="24"/>
  <c r="I219" i="24"/>
  <c r="H219" i="24"/>
  <c r="I218" i="24"/>
  <c r="H218" i="24"/>
  <c r="I217" i="24"/>
  <c r="H217" i="24"/>
  <c r="I216" i="24"/>
  <c r="H216" i="24"/>
  <c r="I215" i="24"/>
  <c r="H215" i="24"/>
  <c r="I214" i="24"/>
  <c r="H214" i="24"/>
  <c r="I213" i="24"/>
  <c r="H213" i="24"/>
  <c r="I212" i="24"/>
  <c r="H212" i="24"/>
  <c r="I211" i="24"/>
  <c r="H211" i="24"/>
  <c r="I210" i="24"/>
  <c r="H210" i="24"/>
  <c r="I209" i="24"/>
  <c r="H209" i="24"/>
  <c r="I208" i="24"/>
  <c r="H208" i="24"/>
  <c r="I207" i="24"/>
  <c r="H207" i="24"/>
  <c r="I206" i="24"/>
  <c r="H206" i="24"/>
  <c r="I205" i="24"/>
  <c r="H205" i="24"/>
  <c r="I204" i="24"/>
  <c r="H204" i="24"/>
  <c r="I203" i="24"/>
  <c r="H203" i="24"/>
  <c r="I202" i="24"/>
  <c r="H202" i="24"/>
  <c r="I201" i="24"/>
  <c r="H201" i="24"/>
  <c r="I200" i="24"/>
  <c r="H200" i="24"/>
  <c r="I199" i="24"/>
  <c r="H199" i="24"/>
  <c r="I198" i="24"/>
  <c r="H198" i="24"/>
  <c r="I197" i="24"/>
  <c r="H197" i="24"/>
  <c r="I196" i="24"/>
  <c r="H196" i="24"/>
  <c r="I195" i="24"/>
  <c r="H195" i="24"/>
  <c r="I194" i="24"/>
  <c r="H194" i="24"/>
  <c r="I193" i="24"/>
  <c r="H193" i="24"/>
  <c r="I192" i="24"/>
  <c r="H192" i="24"/>
  <c r="I191" i="24"/>
  <c r="H191" i="24"/>
  <c r="I190" i="24"/>
  <c r="H190" i="24"/>
  <c r="I189" i="24"/>
  <c r="H189" i="24"/>
  <c r="I188" i="24"/>
  <c r="H188" i="24"/>
  <c r="I187" i="24"/>
  <c r="H187" i="24"/>
  <c r="I186" i="24"/>
  <c r="H186" i="24"/>
  <c r="I185" i="24"/>
  <c r="H185" i="24"/>
  <c r="I184" i="24"/>
  <c r="H184" i="24"/>
  <c r="I183" i="24"/>
  <c r="H183" i="24"/>
  <c r="I182" i="24"/>
  <c r="H182" i="24"/>
  <c r="I181" i="24"/>
  <c r="H181" i="24"/>
  <c r="I180" i="24"/>
  <c r="H180" i="24"/>
  <c r="I179" i="24"/>
  <c r="H179" i="24"/>
  <c r="I178" i="24"/>
  <c r="H178" i="24"/>
  <c r="I177" i="24"/>
  <c r="H177" i="24"/>
  <c r="I176" i="24"/>
  <c r="H176" i="24"/>
  <c r="I175" i="24"/>
  <c r="H175" i="24"/>
  <c r="I174" i="24"/>
  <c r="H174" i="24"/>
  <c r="I173" i="24"/>
  <c r="H173" i="24"/>
  <c r="I172" i="24"/>
  <c r="H172" i="24"/>
  <c r="I171" i="24"/>
  <c r="H171" i="24"/>
  <c r="I170" i="24"/>
  <c r="H170" i="24"/>
  <c r="I169" i="24"/>
  <c r="H169" i="24"/>
  <c r="I168" i="24"/>
  <c r="H168" i="24"/>
  <c r="I167" i="24"/>
  <c r="H167" i="24"/>
  <c r="I166" i="24"/>
  <c r="H166" i="24"/>
  <c r="I165" i="24"/>
  <c r="H165" i="24"/>
  <c r="I164" i="24"/>
  <c r="H164" i="24"/>
  <c r="I163" i="24"/>
  <c r="H163" i="24"/>
  <c r="I162" i="24"/>
  <c r="H162" i="24"/>
  <c r="I161" i="24"/>
  <c r="H161" i="24"/>
  <c r="I160" i="24"/>
  <c r="H160" i="24"/>
  <c r="I159" i="24"/>
  <c r="H159" i="24"/>
  <c r="I158" i="24"/>
  <c r="H158" i="24"/>
  <c r="I157" i="24"/>
  <c r="H157" i="24"/>
  <c r="I156" i="24"/>
  <c r="H156" i="24"/>
  <c r="I155" i="24"/>
  <c r="H155" i="24"/>
  <c r="I154" i="24"/>
  <c r="H154" i="24"/>
  <c r="I153" i="24"/>
  <c r="H153" i="24"/>
  <c r="I152" i="24"/>
  <c r="H152" i="24"/>
  <c r="I151" i="24"/>
  <c r="H151" i="24"/>
  <c r="I150" i="24"/>
  <c r="H150" i="24"/>
  <c r="I149" i="24"/>
  <c r="H149" i="24"/>
  <c r="I148" i="24"/>
  <c r="H148" i="24"/>
  <c r="I147" i="24"/>
  <c r="H147" i="24"/>
  <c r="I146" i="24"/>
  <c r="H146" i="24"/>
  <c r="I145" i="24"/>
  <c r="H145" i="24"/>
  <c r="I144" i="24"/>
  <c r="H144" i="24"/>
  <c r="I143" i="24"/>
  <c r="H143" i="24"/>
  <c r="I142" i="24"/>
  <c r="H142" i="24"/>
  <c r="I141" i="24"/>
  <c r="H141" i="24"/>
  <c r="I140" i="24"/>
  <c r="H140" i="24"/>
  <c r="I139" i="24"/>
  <c r="H139" i="24"/>
  <c r="I138" i="24"/>
  <c r="H138" i="24"/>
  <c r="I137" i="24"/>
  <c r="H137" i="24"/>
  <c r="I136" i="24"/>
  <c r="H136" i="24"/>
  <c r="I135" i="24"/>
  <c r="H135" i="24"/>
  <c r="I134" i="24"/>
  <c r="H134" i="24"/>
  <c r="I133" i="24"/>
  <c r="H133" i="24"/>
  <c r="I132" i="24"/>
  <c r="H132" i="24"/>
  <c r="I131" i="24"/>
  <c r="H131" i="24"/>
  <c r="I130" i="24"/>
  <c r="H130" i="24"/>
  <c r="I129" i="24"/>
  <c r="H129" i="24"/>
  <c r="I128" i="24"/>
  <c r="H128" i="24"/>
  <c r="I127" i="24"/>
  <c r="H127" i="24"/>
  <c r="I126" i="24"/>
  <c r="H126" i="24"/>
  <c r="I125" i="24"/>
  <c r="H125" i="24"/>
  <c r="I124" i="24"/>
  <c r="H124" i="24"/>
  <c r="I123" i="24"/>
  <c r="H123" i="24"/>
  <c r="I122" i="24"/>
  <c r="H122" i="24"/>
  <c r="I121" i="24"/>
  <c r="H121" i="24"/>
  <c r="I120" i="24"/>
  <c r="H120" i="24"/>
  <c r="I119" i="24"/>
  <c r="H119" i="24"/>
  <c r="I118" i="24"/>
  <c r="H118" i="24"/>
  <c r="I117" i="24"/>
  <c r="H117" i="24"/>
  <c r="I116" i="24"/>
  <c r="H116" i="24"/>
  <c r="I115" i="24"/>
  <c r="H115" i="24"/>
  <c r="I114" i="24"/>
  <c r="H114" i="24"/>
  <c r="I113" i="24"/>
  <c r="H113" i="24"/>
  <c r="I112" i="24"/>
  <c r="H112" i="24"/>
  <c r="I111" i="24"/>
  <c r="H111" i="24"/>
  <c r="I110" i="24"/>
  <c r="H110" i="24"/>
  <c r="I109" i="24"/>
  <c r="H109" i="24"/>
  <c r="I108" i="24"/>
  <c r="H108" i="24"/>
  <c r="I107" i="24"/>
  <c r="H107" i="24"/>
  <c r="I106" i="24"/>
  <c r="H106" i="24"/>
  <c r="I105" i="24"/>
  <c r="H105" i="24"/>
  <c r="I104" i="24"/>
  <c r="H104" i="24"/>
  <c r="I103" i="24"/>
  <c r="H103" i="24"/>
  <c r="I102" i="24"/>
  <c r="H102" i="24"/>
  <c r="I101" i="24"/>
  <c r="H101" i="24"/>
  <c r="I100" i="24"/>
  <c r="H100" i="24"/>
  <c r="I99" i="24"/>
  <c r="H99" i="24"/>
  <c r="I98" i="24"/>
  <c r="H98" i="24"/>
  <c r="I97" i="24"/>
  <c r="H97" i="24"/>
  <c r="I96" i="24"/>
  <c r="H96" i="24"/>
  <c r="I95" i="24"/>
  <c r="H95" i="24"/>
  <c r="I94" i="24"/>
  <c r="H94" i="24"/>
  <c r="I93" i="24"/>
  <c r="H93" i="24"/>
  <c r="I92" i="24"/>
  <c r="H92" i="24"/>
  <c r="I91" i="24"/>
  <c r="H91" i="24"/>
  <c r="I90" i="24"/>
  <c r="H90" i="24"/>
  <c r="I89" i="24"/>
  <c r="H89" i="24"/>
  <c r="I88" i="24"/>
  <c r="H88" i="24"/>
  <c r="I87" i="24"/>
  <c r="H87" i="24"/>
  <c r="I86" i="24"/>
  <c r="H86" i="24"/>
  <c r="I85" i="24"/>
  <c r="H85" i="24"/>
  <c r="I84" i="24"/>
  <c r="H84" i="24"/>
  <c r="I83" i="24"/>
  <c r="H83" i="24"/>
  <c r="I82" i="24"/>
  <c r="H82" i="24"/>
  <c r="I81" i="24"/>
  <c r="H81" i="24"/>
  <c r="I80" i="24"/>
  <c r="H80" i="24"/>
  <c r="I79" i="24"/>
  <c r="H79" i="24"/>
  <c r="I78" i="24"/>
  <c r="H78" i="24"/>
  <c r="I77" i="24"/>
  <c r="H77" i="24"/>
  <c r="I76" i="24"/>
  <c r="H76" i="24"/>
  <c r="I75" i="24"/>
  <c r="H75" i="24"/>
  <c r="I74" i="24"/>
  <c r="H74" i="24"/>
  <c r="I73" i="24"/>
  <c r="H73" i="24"/>
  <c r="I72" i="24"/>
  <c r="H72" i="24"/>
  <c r="I71" i="24"/>
  <c r="H71" i="24"/>
  <c r="I70" i="24"/>
  <c r="H70" i="24"/>
  <c r="I69" i="24"/>
  <c r="H69" i="24"/>
  <c r="I68" i="24"/>
  <c r="H68" i="24"/>
  <c r="I67" i="24"/>
  <c r="H67" i="24"/>
  <c r="I66" i="24"/>
  <c r="H66" i="24"/>
  <c r="I65" i="24"/>
  <c r="H65" i="24"/>
  <c r="I64" i="24"/>
  <c r="H64" i="24"/>
  <c r="I63" i="24"/>
  <c r="H63" i="24"/>
  <c r="I62" i="24"/>
  <c r="H62" i="24"/>
  <c r="I61" i="24"/>
  <c r="H61" i="24"/>
  <c r="I60" i="24"/>
  <c r="H60" i="24"/>
  <c r="I59" i="24"/>
  <c r="H59" i="24"/>
  <c r="I58" i="24"/>
  <c r="H58" i="24"/>
  <c r="I57" i="24"/>
  <c r="H57" i="24"/>
  <c r="I56" i="24"/>
  <c r="H56" i="24"/>
  <c r="I55" i="24"/>
  <c r="H55" i="24"/>
  <c r="I54" i="24"/>
  <c r="H54" i="24"/>
  <c r="I53" i="24"/>
  <c r="H53" i="24"/>
  <c r="I52" i="24"/>
  <c r="H52" i="24"/>
  <c r="I51" i="24"/>
  <c r="H51" i="24"/>
  <c r="I50" i="24"/>
  <c r="H50" i="24"/>
  <c r="I49" i="24"/>
  <c r="H49" i="24"/>
  <c r="I48" i="24"/>
  <c r="H48" i="24"/>
  <c r="I47" i="24"/>
  <c r="H47" i="24"/>
  <c r="I46" i="24"/>
  <c r="H46" i="24"/>
  <c r="I45" i="24"/>
  <c r="H45" i="24"/>
  <c r="I44" i="24"/>
  <c r="H44" i="24"/>
  <c r="I43" i="24"/>
  <c r="H43" i="24"/>
  <c r="I42" i="24"/>
  <c r="H42" i="24"/>
  <c r="I41" i="24"/>
  <c r="H41" i="24"/>
  <c r="I40" i="24"/>
  <c r="H40" i="24"/>
  <c r="I39" i="24"/>
  <c r="H39" i="24"/>
  <c r="I38" i="24"/>
  <c r="H38" i="24"/>
  <c r="I37" i="24"/>
  <c r="H37" i="24"/>
  <c r="I36" i="24"/>
  <c r="H36" i="24"/>
  <c r="I35" i="24"/>
  <c r="H35" i="24"/>
  <c r="I34" i="24"/>
  <c r="H34" i="24"/>
  <c r="I33" i="24"/>
  <c r="H33" i="24"/>
  <c r="I32" i="24"/>
  <c r="H32" i="24"/>
  <c r="I31" i="24"/>
  <c r="H31" i="24"/>
  <c r="I30" i="24"/>
  <c r="H30" i="24"/>
  <c r="I29" i="24"/>
  <c r="H29" i="24"/>
  <c r="I28" i="24"/>
  <c r="H28" i="24"/>
  <c r="I27" i="24"/>
  <c r="H27" i="24"/>
  <c r="I26" i="24"/>
  <c r="H26" i="24"/>
  <c r="I25" i="24"/>
  <c r="H25" i="24"/>
  <c r="I24" i="24"/>
  <c r="H24" i="24"/>
  <c r="I23" i="24"/>
  <c r="H23" i="24"/>
  <c r="I22" i="24"/>
  <c r="H22" i="24"/>
  <c r="I21" i="24"/>
  <c r="H21" i="24"/>
  <c r="I20" i="24"/>
  <c r="H20" i="24"/>
  <c r="I19" i="24"/>
  <c r="H19" i="24"/>
  <c r="I18" i="24"/>
  <c r="H18" i="24"/>
  <c r="I17" i="24"/>
  <c r="H17" i="24"/>
  <c r="I16" i="24"/>
  <c r="H16" i="24"/>
  <c r="I15" i="24"/>
  <c r="H15" i="24"/>
  <c r="I14" i="24"/>
  <c r="H14" i="24"/>
  <c r="I13" i="24"/>
  <c r="H13" i="24"/>
  <c r="I12" i="24"/>
  <c r="H12" i="24"/>
  <c r="I11" i="24"/>
  <c r="H11" i="24"/>
  <c r="I10" i="24"/>
  <c r="H10" i="24"/>
  <c r="I9" i="24"/>
  <c r="H9" i="24"/>
  <c r="I8" i="24"/>
  <c r="H8" i="24"/>
  <c r="I7" i="24"/>
  <c r="H7" i="24"/>
  <c r="I6" i="24"/>
  <c r="H6" i="24"/>
  <c r="I5" i="24"/>
  <c r="H5" i="24"/>
  <c r="I4" i="24"/>
  <c r="H4" i="24"/>
  <c r="I3" i="24"/>
  <c r="H3" i="24"/>
  <c r="I2" i="24"/>
  <c r="H2" i="24"/>
  <c r="F33" i="31"/>
  <c r="F43" i="20" l="1"/>
  <c r="N39" i="20"/>
  <c r="E1" i="28"/>
  <c r="J5" i="25" l="1"/>
  <c r="J4" i="25"/>
  <c r="I5" i="23"/>
  <c r="I4" i="23"/>
  <c r="I5" i="28"/>
  <c r="I4" i="28"/>
  <c r="J5" i="20"/>
  <c r="J4" i="20"/>
  <c r="A1" i="20" l="1"/>
  <c r="C1" i="20" l="1"/>
  <c r="D1" i="20"/>
  <c r="A1" i="25"/>
  <c r="G11" i="25" s="1"/>
  <c r="A1" i="23"/>
  <c r="A1" i="28"/>
  <c r="D1" i="28" l="1"/>
  <c r="I8" i="19"/>
  <c r="C1" i="23"/>
  <c r="C1" i="28"/>
  <c r="G15" i="25"/>
</calcChain>
</file>

<file path=xl/sharedStrings.xml><?xml version="1.0" encoding="utf-8"?>
<sst xmlns="http://schemas.openxmlformats.org/spreadsheetml/2006/main" count="19005" uniqueCount="629">
  <si>
    <t>Clicks</t>
  </si>
  <si>
    <t>Grand Total</t>
  </si>
  <si>
    <t>Total</t>
  </si>
  <si>
    <t>Site Name</t>
  </si>
  <si>
    <t>Unique Impressions</t>
  </si>
  <si>
    <t>Unique Clicks</t>
  </si>
  <si>
    <t>Booked Impressions</t>
  </si>
  <si>
    <t>Impressions Delivered</t>
  </si>
  <si>
    <t>Clicks Delivered</t>
  </si>
  <si>
    <t>Delivered Goals</t>
  </si>
  <si>
    <t xml:space="preserve">Over the Period of </t>
  </si>
  <si>
    <t>CTR to Date</t>
  </si>
  <si>
    <t>Delivery %</t>
  </si>
  <si>
    <t>Campaign Overview</t>
  </si>
  <si>
    <t>Delivered Impressions</t>
  </si>
  <si>
    <t>Ad Unit</t>
  </si>
  <si>
    <t>Unique Reach</t>
  </si>
  <si>
    <t>Unique CTR %</t>
  </si>
  <si>
    <t>Display Summary</t>
  </si>
  <si>
    <t>Ad Unit Performance</t>
  </si>
  <si>
    <t>Creative Performance by Site</t>
  </si>
  <si>
    <t>Impressive CTR% for the campaign</t>
  </si>
  <si>
    <t>Highest CTR%</t>
  </si>
  <si>
    <t>Overall CTR to date:</t>
  </si>
  <si>
    <t>Campaign: Villa Promotion</t>
  </si>
  <si>
    <t xml:space="preserve">Start date - </t>
  </si>
  <si>
    <t>End Date -</t>
  </si>
  <si>
    <t>Client: The Ritz</t>
  </si>
  <si>
    <t>Advertiser</t>
  </si>
  <si>
    <t>Campaign</t>
  </si>
  <si>
    <t>Site (DFA)</t>
  </si>
  <si>
    <t>Impression Reach</t>
  </si>
  <si>
    <t>Click Reach</t>
  </si>
  <si>
    <t>Impressions</t>
  </si>
  <si>
    <t>Ford</t>
  </si>
  <si>
    <t>Yousef Way Vs. Ford Way_Phase 2_July2013</t>
  </si>
  <si>
    <t>D1G</t>
  </si>
  <si>
    <t>IKOO Network</t>
  </si>
  <si>
    <t>Kooora</t>
  </si>
  <si>
    <t>Yahoo Maktoob!</t>
  </si>
  <si>
    <t>Performance by Language</t>
  </si>
  <si>
    <t>Placement</t>
  </si>
  <si>
    <t>Creative</t>
  </si>
  <si>
    <t>Creative Pixel Size</t>
  </si>
  <si>
    <t>300x250</t>
  </si>
  <si>
    <t>728x90</t>
  </si>
  <si>
    <t>300x250Vid Gas AR</t>
  </si>
  <si>
    <t>300x250Vid NoGo AR</t>
  </si>
  <si>
    <t>DO NOT USE</t>
  </si>
  <si>
    <t>970x66</t>
  </si>
  <si>
    <t>300x250Vid Gas EN</t>
  </si>
  <si>
    <t>300x250Vid NoGo EN</t>
  </si>
  <si>
    <t>Language</t>
  </si>
  <si>
    <t>(Impressions)</t>
  </si>
  <si>
    <t>(Clicks)</t>
  </si>
  <si>
    <t>(Impressions Reach)</t>
  </si>
  <si>
    <t>(Clicks Reach)</t>
  </si>
  <si>
    <t>(Sachin to input below field)</t>
  </si>
  <si>
    <t>DFA (Site)</t>
  </si>
  <si>
    <t>(Sachin to Input)</t>
  </si>
  <si>
    <t xml:space="preserve">Client: </t>
  </si>
  <si>
    <t xml:space="preserve">Campaign: </t>
  </si>
  <si>
    <t>Country</t>
  </si>
  <si>
    <t>Kuwait</t>
  </si>
  <si>
    <t>Top Level Summary Pivots</t>
  </si>
  <si>
    <t>Data</t>
  </si>
  <si>
    <t xml:space="preserve">CTR </t>
  </si>
  <si>
    <t>Creative &amp; Lang Summary Pivots</t>
  </si>
  <si>
    <t>Sum of Clicks</t>
  </si>
  <si>
    <t xml:space="preserve">Impressions </t>
  </si>
  <si>
    <t xml:space="preserve">Clicks </t>
  </si>
  <si>
    <t>GEO</t>
  </si>
  <si>
    <t>Row Labels</t>
  </si>
  <si>
    <t>Sum of CTR</t>
  </si>
  <si>
    <t xml:space="preserve">Booked Impressions </t>
  </si>
  <si>
    <t xml:space="preserve">Unique CTR </t>
  </si>
  <si>
    <t>Counrty Performance</t>
  </si>
  <si>
    <t>B</t>
  </si>
  <si>
    <t>Total Amount</t>
  </si>
  <si>
    <t>Primary Brand_Yousef_Phase 1_June 2013</t>
  </si>
  <si>
    <t>DotMena.com</t>
  </si>
  <si>
    <t>Mobile</t>
  </si>
  <si>
    <t>InMobi</t>
  </si>
  <si>
    <t>-</t>
  </si>
  <si>
    <t>Yahoo Mobile</t>
  </si>
  <si>
    <t>Emailer</t>
  </si>
  <si>
    <t>EmailCiti</t>
  </si>
  <si>
    <t>Arabian Business</t>
  </si>
  <si>
    <t>GDN</t>
  </si>
  <si>
    <t>Google Display Network</t>
  </si>
  <si>
    <t>Google Search</t>
  </si>
  <si>
    <t>Search</t>
  </si>
  <si>
    <t xml:space="preserve">Total Amount </t>
  </si>
  <si>
    <t xml:space="preserve">Orginal CPM </t>
  </si>
  <si>
    <t xml:space="preserve">Amount Spend </t>
  </si>
  <si>
    <t xml:space="preserve">Effective CPM </t>
  </si>
  <si>
    <t xml:space="preserve">eCPC </t>
  </si>
  <si>
    <t>Mobile Summary</t>
  </si>
  <si>
    <t>(formula)</t>
  </si>
  <si>
    <t>(Sachin to update)</t>
  </si>
  <si>
    <t>Emailer Summary</t>
  </si>
  <si>
    <t>GDN Summary</t>
  </si>
  <si>
    <t>Search Summary</t>
  </si>
  <si>
    <t>Booked Clicks</t>
  </si>
  <si>
    <t>Delivered Clicks</t>
  </si>
  <si>
    <t xml:space="preserve">Original CPC </t>
  </si>
  <si>
    <t>No of Opens</t>
  </si>
  <si>
    <t xml:space="preserve">Open Rate </t>
  </si>
  <si>
    <t>Rich Media - Video banner performance</t>
  </si>
  <si>
    <t>(Data will be referred from "Video RAW" tab)</t>
  </si>
  <si>
    <t>(If data is not presentin the RAW tab, table will be auto hidden)</t>
  </si>
  <si>
    <t>(Site (DFA)</t>
  </si>
  <si>
    <t>Video Plays</t>
  </si>
  <si>
    <t>Video Completions</t>
  </si>
  <si>
    <t>Total Interactions</t>
  </si>
  <si>
    <t>Rich Media Expandable Performance</t>
  </si>
  <si>
    <t>(Please find the data from "Expandable Summary RAW")</t>
  </si>
  <si>
    <t>(All table fields are same as RAW data fileds)</t>
  </si>
  <si>
    <t>Expansions</t>
  </si>
  <si>
    <t>Expansion Time</t>
  </si>
  <si>
    <t>Video Midpoints</t>
  </si>
  <si>
    <t>Video Replays</t>
  </si>
  <si>
    <t>Ad Type</t>
  </si>
  <si>
    <t>Creative Type</t>
  </si>
  <si>
    <t>Click Rate</t>
  </si>
  <si>
    <t>CNN Arabic</t>
  </si>
  <si>
    <t>Tech,World,Ent._300x250_Vid_ARE_AR</t>
  </si>
  <si>
    <t>Standard</t>
  </si>
  <si>
    <t>Rich Media In-Page Flash</t>
  </si>
  <si>
    <t>Tech,World,Ent._300x250_Vid_BHR_AR</t>
  </si>
  <si>
    <t>Tech,World,Ent._300x250_Vid_KSA_AR</t>
  </si>
  <si>
    <t>Tech,World,Ent._300x250_Vid_OMN_AR</t>
  </si>
  <si>
    <t>CNN.com</t>
  </si>
  <si>
    <t>Tech,World,Ent._728x270_Vid_QAT_EN</t>
  </si>
  <si>
    <t>Rich Media Expandable</t>
  </si>
  <si>
    <t>Dubizzle</t>
  </si>
  <si>
    <t>Dubizzle_300x250_UAE_AR</t>
  </si>
  <si>
    <t>Flash In-Page</t>
  </si>
  <si>
    <t>Dubizzle_300x250_UAE_EN</t>
  </si>
  <si>
    <t>Dubizzle_728x90_BHR_AR</t>
  </si>
  <si>
    <t>Dubizzle_728x90_BHR_EN</t>
  </si>
  <si>
    <t>Dubizzle_728x90_KSA_AR</t>
  </si>
  <si>
    <t>Dubizzle_728x90_KSA_EN</t>
  </si>
  <si>
    <t>Dubizzle_728x90_KWT_AR</t>
  </si>
  <si>
    <t>Dubizzle_728x90_KWT_EN</t>
  </si>
  <si>
    <t>Dubizzle_728x90_OMN_AR</t>
  </si>
  <si>
    <t>Dubizzle_728x90_OMN_EN</t>
  </si>
  <si>
    <t>Dubizzle_728x90_QAT_AR</t>
  </si>
  <si>
    <t>Dubizzle_728x90_QAT_EN</t>
  </si>
  <si>
    <t>Ikoo_Auto_Channels_300x250_KSA_AR</t>
  </si>
  <si>
    <t>Default</t>
  </si>
  <si>
    <t>Gif</t>
  </si>
  <si>
    <t>Ikoo_Automotive_300x250_BHR_AR</t>
  </si>
  <si>
    <t>Ikoo_Automotive_300x250_KSA_AR</t>
  </si>
  <si>
    <t>Ikoo_Automotive_300x250_KWT_AR</t>
  </si>
  <si>
    <t>Ikoo_Automotive_300x250_OMN_AR</t>
  </si>
  <si>
    <t>Ikoo_Automotive_300x250_QAT_AR</t>
  </si>
  <si>
    <t>Ikoo_Automotive_300x250_UAE_AR</t>
  </si>
  <si>
    <t>Ikoo_Automotive_728x90_BHR_AR</t>
  </si>
  <si>
    <t>Ikoo_Automotive_728x90_KSA_AR</t>
  </si>
  <si>
    <t>Ikoo_Automotive_728x90_KWT_AR</t>
  </si>
  <si>
    <t>Ikoo_Automotive_728x90_OMN_AR</t>
  </si>
  <si>
    <t>Ikoo_Automotive_728x90_QAT_AR</t>
  </si>
  <si>
    <t>Ikoo_Automotive_728x90_UAE_AR</t>
  </si>
  <si>
    <t>Ikoo_Fun&amp;Ent_300x250Vid_Torque_KSA_AR</t>
  </si>
  <si>
    <t>Jeeran</t>
  </si>
  <si>
    <t>Jeeran_Motors_Powertrain_728x90Exp_SAU_AR</t>
  </si>
  <si>
    <t>Koora</t>
  </si>
  <si>
    <t>Kooora_300x250_BHR_AR</t>
  </si>
  <si>
    <t>Kooora_300x250_KSA_AR</t>
  </si>
  <si>
    <t>Kooora_300x250_KWT_AR</t>
  </si>
  <si>
    <t>Kooora_300x250_OMN_AR</t>
  </si>
  <si>
    <t>Kooora_300x250_QAT_AR</t>
  </si>
  <si>
    <t>Kooora_300x250_UAE_AR</t>
  </si>
  <si>
    <t>Kooora_728x90_BHR_AR</t>
  </si>
  <si>
    <t>Kooora_728x90_KSA_AR</t>
  </si>
  <si>
    <t>Kooora_728x90_KWT_AR</t>
  </si>
  <si>
    <t>Kooora_728x90_OMN_AR</t>
  </si>
  <si>
    <t>Kooora_728x90_QAT_AR</t>
  </si>
  <si>
    <t>Kooora_728x90_UAE_AR</t>
  </si>
  <si>
    <t>Koora_ROS_300x250_AR</t>
  </si>
  <si>
    <t>Koora_ROS_728x90_AR</t>
  </si>
  <si>
    <t>MBC.Net</t>
  </si>
  <si>
    <t>MBC-300x250_Microsite</t>
  </si>
  <si>
    <t>MBC-728x90-Microsite</t>
  </si>
  <si>
    <t>Sahmy 1</t>
  </si>
  <si>
    <t>Ikoo_Shamy_728x90_SAU_AR</t>
  </si>
  <si>
    <t>Souq.com</t>
  </si>
  <si>
    <t>Souq_Motors_300x250_BHR_EN</t>
  </si>
  <si>
    <t>Souq_Motors_300x250_KSA_EN</t>
  </si>
  <si>
    <t>Souq_Motors_300x250_KWT_EN</t>
  </si>
  <si>
    <t>Souq_Motors_300x250_OMN_EN</t>
  </si>
  <si>
    <t>Souq_Motors_300x250_QAT_EN</t>
  </si>
  <si>
    <t>Souq_Motors_300x250_UAE_EN</t>
  </si>
  <si>
    <t>Souq_Motors_728x90_BHR_EN</t>
  </si>
  <si>
    <t>Souq_Motors_728x90_KSA_EN</t>
  </si>
  <si>
    <t>Souq_Motors_728x90_KWT_EN</t>
  </si>
  <si>
    <t>Souq_Motors_728x90_QAT_EN</t>
  </si>
  <si>
    <t>Souq_Motors_728x90_UAE_EN</t>
  </si>
  <si>
    <t>Teleauto.tv</t>
  </si>
  <si>
    <t>FrancoisHabchi_EN_BAH_Tech_Blis_b468x60</t>
  </si>
  <si>
    <t>468x60</t>
  </si>
  <si>
    <t>FrancoisHabchi_EN_KSA_Tech_Blis_b468x60</t>
  </si>
  <si>
    <t>FrancoisHabchi_EN_KWT_Tech_Blis_b468x60</t>
  </si>
  <si>
    <t>FrancoisHabchi_EN_OMN_Tech_Blis_b468x60</t>
  </si>
  <si>
    <t>FrancoisHabchi_EN_QAT_Tech_Blis_b468x60</t>
  </si>
  <si>
    <t>FrancoisHabchi_EN_UAE_Tech_Blis_b468x60</t>
  </si>
  <si>
    <t>Tribal Fusion EN</t>
  </si>
  <si>
    <t>Tech,Family,Lifestyle_16x600_Exp_KSA_EN</t>
  </si>
  <si>
    <t>160x600</t>
  </si>
  <si>
    <t>TribalFusion_728x90_BHR_AR</t>
  </si>
  <si>
    <t>TribalFusion_728x90_KSA_AR</t>
  </si>
  <si>
    <t>TribalFusion_728x90_KWT_AR</t>
  </si>
  <si>
    <t>TribalFusion_728x90_UAE_AR</t>
  </si>
  <si>
    <t>adzouk.com</t>
  </si>
  <si>
    <t>Adzouk_300x250_KSA_AR</t>
  </si>
  <si>
    <t>Adzouk_300x250_KSA_EN</t>
  </si>
  <si>
    <t>Adzouk_300x250_UAE_AR</t>
  </si>
  <si>
    <t>Adzouk_300x250_UAE_EN</t>
  </si>
  <si>
    <t>Adzouk_728x90_KSA_AR</t>
  </si>
  <si>
    <t>Adzouk_728x90_KSA_EN</t>
  </si>
  <si>
    <t>Adzouk_728x90_UAE_AR</t>
  </si>
  <si>
    <t>Adzouk_728x90_UAE_EN</t>
  </si>
  <si>
    <t>Adzouk_Autos_300x250_BHR_EN</t>
  </si>
  <si>
    <t>Adzouk_Autos_300x250_KSA_AR</t>
  </si>
  <si>
    <t>Adzouk_Autos_300x250_KSA_EN</t>
  </si>
  <si>
    <t>Adzouk_Autos_300x250_KWT_AR</t>
  </si>
  <si>
    <t>Adzouk_Autos_300x250_KWT_EN</t>
  </si>
  <si>
    <t>Adzouk_Autos_300x250_OMN_EN</t>
  </si>
  <si>
    <t>Adzouk_Autos_300x250_QAT_EN</t>
  </si>
  <si>
    <t>Adzouk_Autos_300x250_UAE_AR</t>
  </si>
  <si>
    <t>Adzouk_Autos_300x250_UAE_EN</t>
  </si>
  <si>
    <t>Adzouk_Autos_728x90_BHR_AR</t>
  </si>
  <si>
    <t>Adzouk_Autos_728x90_BHR_EN</t>
  </si>
  <si>
    <t>Adzouk_Autos_728x90_KSA_AR</t>
  </si>
  <si>
    <t>Adzouk_Autos_728x90_KSA_EN</t>
  </si>
  <si>
    <t>Adzouk_Autos_728x90_KWT_AR</t>
  </si>
  <si>
    <t>Adzouk_Autos_728x90_OMN_AR</t>
  </si>
  <si>
    <t>Adzouk_Autos_728x90_OMN_EN</t>
  </si>
  <si>
    <t>Adzouk_Autos_728x90_QAT_AR</t>
  </si>
  <si>
    <t>Adzouk_Autos_728x90_QAT_EN</t>
  </si>
  <si>
    <t>Adzouk_Autos_728x90_UAE_AR</t>
  </si>
  <si>
    <t>Adzouk_Autos_728x90_UAE_EN</t>
  </si>
  <si>
    <t>aleqt.com</t>
  </si>
  <si>
    <t>Aleqtishdiah_ROS_300x250_KSA_AR</t>
  </si>
  <si>
    <t>Aleqtishdiah_ROS_728x270_KSA_AR</t>
  </si>
  <si>
    <t>ameinfo.com</t>
  </si>
  <si>
    <t>AMEinfo_HP_300x250_BHR_EN</t>
  </si>
  <si>
    <t>AMEinfo_HP_300x250_KSA_AR</t>
  </si>
  <si>
    <t>AMEinfo_HP_300x250_KSA_EN</t>
  </si>
  <si>
    <t>AMEinfo_HP_300x250_KWT_EN</t>
  </si>
  <si>
    <t>AMEinfo_HP_300x250_OMN_EN</t>
  </si>
  <si>
    <t>AMEinfo_HP_300x250_QAT_EN</t>
  </si>
  <si>
    <t>AMEinfo_HP_300x250_UAE_EN</t>
  </si>
  <si>
    <t>AMEinfo_HP_728x270_BHR_AR</t>
  </si>
  <si>
    <t>AMEinfo_HP_728x270_KSA_AR</t>
  </si>
  <si>
    <t>AMEinfo_HP_728x270_KWT_AR</t>
  </si>
  <si>
    <t>AMEinfo_HP_728x270_OMN_AR</t>
  </si>
  <si>
    <t>AMEinfo_HP_728x270_QAT_AR</t>
  </si>
  <si>
    <t>AMEinfo_HP_728x270_UAE_AR</t>
  </si>
  <si>
    <t>arabia.com</t>
  </si>
  <si>
    <t>Arabia_TECH_728x90_KSA_AR</t>
  </si>
  <si>
    <t>Arabia_TECH_Video_300x250_KSA_AR</t>
  </si>
  <si>
    <t>borsaat.com</t>
  </si>
  <si>
    <t>Ikoo_Borasaat_300x250_SAU_AR</t>
  </si>
  <si>
    <t>carsandspeed.com</t>
  </si>
  <si>
    <t>Auto_300x250_Exp_ARE_AR</t>
  </si>
  <si>
    <t>Auto_300x250_Exp_ARE_EN</t>
  </si>
  <si>
    <t>Auto_300x250_Exp_BHR_AR</t>
  </si>
  <si>
    <t>Auto_300x250_Exp_BHR_EN</t>
  </si>
  <si>
    <t>Auto_300x250_Exp_KSA_AR</t>
  </si>
  <si>
    <t>Auto_300x250_Exp_KSA_EN</t>
  </si>
  <si>
    <t>Auto_300x250_Exp_KWT_AR</t>
  </si>
  <si>
    <t>Auto_300x250_Exp_KWT_EN</t>
  </si>
  <si>
    <t>Auto_300x250_Exp_OMN_AR</t>
  </si>
  <si>
    <t>Auto_300x250_Exp_OMN_EN</t>
  </si>
  <si>
    <t>Auto_300x250_Exp_QAT_AR</t>
  </si>
  <si>
    <t>Auto_300x250_Exp_QAT_EN</t>
  </si>
  <si>
    <t>d1g.com</t>
  </si>
  <si>
    <t>D1G_ROS_Capability_300x250Ex_SAU_AR</t>
  </si>
  <si>
    <t>dotmena.com</t>
  </si>
  <si>
    <t>Dotmena_728x90_KSA_EN</t>
  </si>
  <si>
    <t>Dotmena_Business_300x250Vid_KSA_AR</t>
  </si>
  <si>
    <t>Dotmena_Business_300x250Vid_UAE_AR</t>
  </si>
  <si>
    <t>Dotmena_Business_300x250Vid_UAE_EN</t>
  </si>
  <si>
    <t>Dotmena_Business_728x270_KSA_AR</t>
  </si>
  <si>
    <t>Dotmena_Business_728x270_UAE_AR</t>
  </si>
  <si>
    <t>Dotmena_Business_728x270_UAE_EN</t>
  </si>
  <si>
    <t>Tech_Ent_728x270_Vid_ARE_AR</t>
  </si>
  <si>
    <t>Tech_Ent_728x270_Vid_KSA_AR</t>
  </si>
  <si>
    <t>hawamer.com</t>
  </si>
  <si>
    <t>Ikoo_Hawamer_300x250_SAU_AR</t>
  </si>
  <si>
    <t>Ikoo_Hawamer_728x90_SAU_AR</t>
  </si>
  <si>
    <t>ifurat.com</t>
  </si>
  <si>
    <t>iFurat-300x250-AR</t>
  </si>
  <si>
    <t>maktoob.yahoo.com</t>
  </si>
  <si>
    <t>Maktoob_Business_300x250_SAU_EN</t>
  </si>
  <si>
    <t>Yahoo_BT_Auto_KSA_300x250_AR</t>
  </si>
  <si>
    <t>Yahoo_BT_Auto_KSA_300x250_EN</t>
  </si>
  <si>
    <t>Yahoo_BT_Auto_KWT_300x600_AR</t>
  </si>
  <si>
    <t>300x600</t>
  </si>
  <si>
    <t>Yahoo_BT_Auto_OMN_728x90_AR</t>
  </si>
  <si>
    <t>Yahoo_BT_Auto_QAT_300x250_AR</t>
  </si>
  <si>
    <t>Yahoo_BT_Auto_UAE_300x250_AR</t>
  </si>
  <si>
    <t>Yahoo_BT_Auto_UAE_300x600_EN</t>
  </si>
  <si>
    <t>Yahoo_BT_Auto_UAE_728x90_AR</t>
  </si>
  <si>
    <t>Yahoo_BT_FocusST_300x250_KWT_AR</t>
  </si>
  <si>
    <t>Yahoo_BT_FocusST_300x250_OMN_AR</t>
  </si>
  <si>
    <t>Yahoo_BT_FocusST_728x270_KSA_EN</t>
  </si>
  <si>
    <t>Yahoo_BT_FocusST_728x270_OMN_AR</t>
  </si>
  <si>
    <t>Yahoo_BT_FocusST_728x270_UAE_AR</t>
  </si>
  <si>
    <t>Yahoo_BT_Focus_300x250DualZoneAC_QAT_EN</t>
  </si>
  <si>
    <t>Yahoo_BT_Focus_728x270Exp_APA_UAE_AR</t>
  </si>
  <si>
    <t>Yahoo_BT_TECH_Exp_728x270_BHR_AR</t>
  </si>
  <si>
    <t>Yahoo_BT_TECH_Exp_728x270_BHR_EN</t>
  </si>
  <si>
    <t>Yahoo_BT_TECH_Exp_728x270_KSA_AR</t>
  </si>
  <si>
    <t>Yahoo_BT_TECH_Exp_728x270_KSA_EN</t>
  </si>
  <si>
    <t>Yahoo_BT_TECH_Exp_728x270_KWT_AR</t>
  </si>
  <si>
    <t>Yahoo_BT_TECH_Exp_728x270_KWT_EN</t>
  </si>
  <si>
    <t>Yahoo_BT_TECH_Exp_728x270_OMN_AR</t>
  </si>
  <si>
    <t>Yahoo_BT_TECH_Exp_728x270_OMN_EN</t>
  </si>
  <si>
    <t>Yahoo_BT_TECH_Exp_728x270_QAT_AR</t>
  </si>
  <si>
    <t>Yahoo_BT_TECH_Exp_728x270_QAT_EN</t>
  </si>
  <si>
    <t>Yahoo_BT_TECH_Exp_728x270_UAE_EN</t>
  </si>
  <si>
    <t>Yahoo_BT_TECH_Video_300x250_BHR_AR</t>
  </si>
  <si>
    <t>Yahoo_BT_TECH_Video_300x250_BHR_EN</t>
  </si>
  <si>
    <t>Yahoo_BT_TECH_Video_300x250_KSA_AR</t>
  </si>
  <si>
    <t>Yahoo_BT_TECH_Video_300x250_KSA_EN</t>
  </si>
  <si>
    <t>Yahoo_BT_TECH_Video_300x250_KWT_AR</t>
  </si>
  <si>
    <t>Yahoo_BT_TECH_Video_300x250_KWT_EN</t>
  </si>
  <si>
    <t>Yahoo_BT_TECH_Video_300x250_OMN_AR</t>
  </si>
  <si>
    <t>Yahoo_BT_TECH_Video_300x250_OMN_EN</t>
  </si>
  <si>
    <t>Yahoo_BT_TECH_Video_300x250_QAT_AR</t>
  </si>
  <si>
    <t>Yahoo_BT_TECH_Video_300x250_QAT_EN</t>
  </si>
  <si>
    <t>Yahoo_BT_TECH_Video_300x250_UAE_AR</t>
  </si>
  <si>
    <t>Yahoo_BT_TECH_Video_300x250_UAE_EN</t>
  </si>
  <si>
    <t>Yahoo_Business_300x250_BHR_AR</t>
  </si>
  <si>
    <t>Yahoo_Business_300x250_BHR_EN</t>
  </si>
  <si>
    <t>Yahoo_Business_300x250_KSA_AR</t>
  </si>
  <si>
    <t>Yahoo_Business_300x250_KSA_EN</t>
  </si>
  <si>
    <t>Yahoo_Business_300x250_KWT_AR</t>
  </si>
  <si>
    <t>Yahoo_Business_300x250_KWT_EN</t>
  </si>
  <si>
    <t>Yahoo_Business_300x250_OMN_AR</t>
  </si>
  <si>
    <t>Yahoo_Business_300x250_OMN_EN</t>
  </si>
  <si>
    <t>Yahoo_Business_300x250_QAT_AR</t>
  </si>
  <si>
    <t>Yahoo_Business_300x250_QAT_EN</t>
  </si>
  <si>
    <t>Yahoo_Business_300x250_UAE_AR</t>
  </si>
  <si>
    <t>Yahoo_Business_300x250_UAE_EN</t>
  </si>
  <si>
    <t>Yahoo_Business_728x270_BHR_AR</t>
  </si>
  <si>
    <t>Yahoo_Business_728x270_BHR_EN</t>
  </si>
  <si>
    <t>Yahoo_Business_728x270_KSA_AR</t>
  </si>
  <si>
    <t>Yahoo_Business_728x270_KSA_EN</t>
  </si>
  <si>
    <t>Yahoo_Business_728x270_KWT_AR</t>
  </si>
  <si>
    <t>Yahoo_Business_728x270_KWT_EN</t>
  </si>
  <si>
    <t>Yahoo_Business_728x270_OMN_AR</t>
  </si>
  <si>
    <t>Yahoo_Business_728x270_OMN_EN</t>
  </si>
  <si>
    <t>Yahoo_Business_728x270_QAT_AR</t>
  </si>
  <si>
    <t>Yahoo_Business_728x270_QAT_EN</t>
  </si>
  <si>
    <t>Yahoo_Business_728x270_UAE_AR</t>
  </si>
  <si>
    <t>Yahoo_Business_728x270_UAE_EN</t>
  </si>
  <si>
    <t>maktoob.yahoo.com 1</t>
  </si>
  <si>
    <t>YahooMaktoob_BT_MaleLifestyle_300x250Video_KSA_AR</t>
  </si>
  <si>
    <t>YahooMaktoob_BT_MaleLifestyle_300x250Video_UAE_EN</t>
  </si>
  <si>
    <t>ra2ed.com</t>
  </si>
  <si>
    <t>Ra2ed_300x250_KSA_AR</t>
  </si>
  <si>
    <t>Ra2ed_300x250_UAE_AR</t>
  </si>
  <si>
    <t>Ra2ed_728x90_KSA_AR</t>
  </si>
  <si>
    <t>Ra2ed_728x90_UAE_AR</t>
  </si>
  <si>
    <t>Ra2ed_Video_300x250_OMN_AR</t>
  </si>
  <si>
    <t>sabq.org</t>
  </si>
  <si>
    <t>Sabq_HP_300x250_KSA_AR</t>
  </si>
  <si>
    <t>Sabq_HP_728x270_KSA_AR</t>
  </si>
  <si>
    <t>AR</t>
  </si>
  <si>
    <t>EN</t>
  </si>
  <si>
    <t>te</t>
  </si>
  <si>
    <t>60</t>
  </si>
  <si>
    <t>Video Mutes</t>
  </si>
  <si>
    <t>Video Average View Time</t>
  </si>
  <si>
    <t>Campaign ID</t>
  </si>
  <si>
    <t>Ad</t>
  </si>
  <si>
    <t>Interaction Rate</t>
  </si>
  <si>
    <t>Yousef Garage_Phase  3_August 2013</t>
  </si>
  <si>
    <t>7831736</t>
  </si>
  <si>
    <t>Homepage &amp; Sport - Page Push Down - AR - BH</t>
  </si>
  <si>
    <t>D1G - Push Down - AR - BH</t>
  </si>
  <si>
    <t>D1G_Pushdown_AR</t>
  </si>
  <si>
    <t>Homepage &amp; Sport - Page Push Down - AR - KSA</t>
  </si>
  <si>
    <t>D1G - Push Down - AR - KSA</t>
  </si>
  <si>
    <t>Homepage &amp; Sport - Page Push Down - AR - KWT</t>
  </si>
  <si>
    <t>D1G - Push Down - AR - KWT</t>
  </si>
  <si>
    <t>Homepage &amp; Sport - Page Push Down - AR - Oman</t>
  </si>
  <si>
    <t>D1G - Push Down - AR - Oman</t>
  </si>
  <si>
    <t>Homepage &amp; Sport - Page Push Down - AR - QTR</t>
  </si>
  <si>
    <t>D1G - Push Down - AR - QTR</t>
  </si>
  <si>
    <t>Homepage &amp; Sport - Page Push Down - AR - UAE</t>
  </si>
  <si>
    <t>D1G - Push Down - AR - UAE</t>
  </si>
  <si>
    <t>Homepage &amp; Sport - Vid 300x250 - AR - BH</t>
  </si>
  <si>
    <t>D1G - Vid 300x250 - AR - BH</t>
  </si>
  <si>
    <t>FME_PrimaryBrandPhase3_300x250_AR.swf</t>
  </si>
  <si>
    <t>FME_PrimaryBrandPhase3_300x250_Contest_AR.swf</t>
  </si>
  <si>
    <t>FME_PrimaryBrandPhase3_300x250_Simulator_AR.swf</t>
  </si>
  <si>
    <t>Homepage &amp; Sport - Vid 300x250 - AR - KSA</t>
  </si>
  <si>
    <t>D1G - Vid 300x250 - AR - KSA</t>
  </si>
  <si>
    <t>Homepage &amp; Sport - Vid 300x250 - AR - KWT</t>
  </si>
  <si>
    <t>D1G - Vid 300x250 - AR - KWT</t>
  </si>
  <si>
    <t>Homepage &amp; Sport - Vid 300x250 - AR - Oman</t>
  </si>
  <si>
    <t>D1G - Vid 300x250 - AR - Oman</t>
  </si>
  <si>
    <t>Homepage &amp; Sport - Vid 300x250 - AR - QTR</t>
  </si>
  <si>
    <t>D1G - Vid 300x250 - AR - QTR</t>
  </si>
  <si>
    <t>Homepage &amp; Sport - Vid 300x250 - AR - UAE</t>
  </si>
  <si>
    <t>D1G - Vid 300x250 - AR - UAE</t>
  </si>
  <si>
    <t>RON - 728x90 - AR - BH</t>
  </si>
  <si>
    <t>Ikoo - 728x90 - AR - BH</t>
  </si>
  <si>
    <t>FME_PrimaryBrandPhase3_728x90_AR.jpg</t>
  </si>
  <si>
    <t>RON - 728x90 - AR - KSA</t>
  </si>
  <si>
    <t>Ikoo - 728x90 - AR - KSA</t>
  </si>
  <si>
    <t>RON - 728x90 - AR - KWT</t>
  </si>
  <si>
    <t>Ikoo - 728x90 - AR - KWT</t>
  </si>
  <si>
    <t>RON - 728x90 - AR - Oman</t>
  </si>
  <si>
    <t>Ikoo - 728x90 - AR - Oman</t>
  </si>
  <si>
    <t>RON - 728x90 - AR - QTR</t>
  </si>
  <si>
    <t>Ikoo - 728x90 - AR - QTR</t>
  </si>
  <si>
    <t>RON - 728x90 - AR - UAE</t>
  </si>
  <si>
    <t>Ikoo - 728x90 - AR - UAE</t>
  </si>
  <si>
    <t>RON - Video 300x250 - AR - BH</t>
  </si>
  <si>
    <t>Ikoo - Vid 300x250 - AR - BH</t>
  </si>
  <si>
    <t>RON - Video 300x250 - AR - KSA</t>
  </si>
  <si>
    <t>Ikoo - Vid 300x250 - AR - KSA</t>
  </si>
  <si>
    <t>RON - Video 300x250 - AR - KWT</t>
  </si>
  <si>
    <t>Ikoo - Vid 300x250 - AR - KWT</t>
  </si>
  <si>
    <t>RON - Video 300x250 - AR - Oman</t>
  </si>
  <si>
    <t>Ikoo - Vid 300x250 - AR - Oman</t>
  </si>
  <si>
    <t>RON - Video 300x250 - AR - QTR</t>
  </si>
  <si>
    <t>Ikoo - Vid 300x250 - AR - QTR</t>
  </si>
  <si>
    <t>RON - Video 300x250 - AR - UAE</t>
  </si>
  <si>
    <t>Ikoo - Vid 300x250 - AR - UAE</t>
  </si>
  <si>
    <t>Champions League - Push Down 970x66 - AR - BH</t>
  </si>
  <si>
    <t>Kooora - Push Down - AR - BH</t>
  </si>
  <si>
    <t>Kooora_Pushdown_AR</t>
  </si>
  <si>
    <t>Champions League - Push Down 970x66 - AR - KSA</t>
  </si>
  <si>
    <t>Kooora - Push Down - AR - KSA</t>
  </si>
  <si>
    <t>Champions League - Push Down 970x66 - AR - KWT</t>
  </si>
  <si>
    <t>Kooora - Push Down - AR - KWT</t>
  </si>
  <si>
    <t>Champions League - Push Down 970x66 - AR - Oman</t>
  </si>
  <si>
    <t>Kooora - Push Down - AR - Oman</t>
  </si>
  <si>
    <t>Champions League - Push Down 970x66 - AR - QTR</t>
  </si>
  <si>
    <t>Kooora - Push Down - AR - QTR</t>
  </si>
  <si>
    <t>Champions League - Push Down 970x66 - AR - UAE</t>
  </si>
  <si>
    <t>Kooora - Push Down - AR - UAE</t>
  </si>
  <si>
    <t>Champions League - Vid 300x250 - AR - BH</t>
  </si>
  <si>
    <t>Kooora - Vid 300x250 - AR - BH</t>
  </si>
  <si>
    <t>Champions League - Vid 300x250 - AR - KSA</t>
  </si>
  <si>
    <t>Kooora - Vid 300x250 - AR - KSA</t>
  </si>
  <si>
    <t>Champions League - Vid 300x250 - AR - KWT</t>
  </si>
  <si>
    <t>Kooora - Vid 300x250 - AR - KWT</t>
  </si>
  <si>
    <t>Champions League - Vid 300x250 - AR - Oman</t>
  </si>
  <si>
    <t>Kooora - Vid 300x250 - AR - Oman</t>
  </si>
  <si>
    <t>Champions League - Vid 300x250 - AR - QTR</t>
  </si>
  <si>
    <t>Kooora - Vid 300x250 - AR - QTR</t>
  </si>
  <si>
    <t>Champions League - Vid 300x250 - AR - UAE</t>
  </si>
  <si>
    <t>Kooora - Vid 300x250 - AR - UAE</t>
  </si>
  <si>
    <t>Behavioural Targeting - 120x600 - AR - KSA</t>
  </si>
  <si>
    <t>Yahoo - BT - 120x600 - AR - KSA</t>
  </si>
  <si>
    <t>REVISED_FME_Phase3_120x600_AR.swf</t>
  </si>
  <si>
    <t>Behavioural Targeting - 120x600 - AR - KWT</t>
  </si>
  <si>
    <t>Yahoo - BT - 120x600 - AR - KWT</t>
  </si>
  <si>
    <t>Behavioural Targeting - 120x600 - AR - QTR</t>
  </si>
  <si>
    <t>Yahoo - BT - 120x600 - AR - QTR</t>
  </si>
  <si>
    <t>FME_PrimaryBrandPhase3_120x600_AR.jpg</t>
  </si>
  <si>
    <t>Behavioural Targeting - 120x600 - AR - UAE</t>
  </si>
  <si>
    <t>Yahoo - BT - 120x600 - AR - UAE</t>
  </si>
  <si>
    <t>Behavioural Targeting - 120x600 - EN - BHR</t>
  </si>
  <si>
    <t>120 x 600 Default Ad</t>
  </si>
  <si>
    <t>FME_PrimaryBrandPhase3_120x600_EN.jpg</t>
  </si>
  <si>
    <t>Behavioural Targeting - 120x600 - EN - KSA</t>
  </si>
  <si>
    <t>Yahoo - BT - 120x600 - EN - BH</t>
  </si>
  <si>
    <t>REVISED_FME_Phase3_120x600_EN.swf</t>
  </si>
  <si>
    <t>Yahoo - BT - 120x600 - EN - KSA</t>
  </si>
  <si>
    <t>Behavioural Targeting - 120x600 - EN - KWT</t>
  </si>
  <si>
    <t>Yahoo - BT - 120x600 - EN - KWT</t>
  </si>
  <si>
    <t>Behavioural Targeting - 120x600 - EN - Oman</t>
  </si>
  <si>
    <t>Yahoo - BT - 120x600 - EN - Oman</t>
  </si>
  <si>
    <t>Behavioural Targeting - 120x600 - EN - QTR</t>
  </si>
  <si>
    <t>Yahoo - BT - 120x600 - EN - QTR</t>
  </si>
  <si>
    <t>Behavioural Targeting - 120x600 - EN - UAE</t>
  </si>
  <si>
    <t>Yahoo - BT - 120x600 - EN - UAE</t>
  </si>
  <si>
    <t>Behavioural Targeting - 728x90 - AR - BHR</t>
  </si>
  <si>
    <t>Yahoo - BT - 728x90 - AR - BH</t>
  </si>
  <si>
    <t>Behavioural Targeting - 728x90 - AR - KSA</t>
  </si>
  <si>
    <t>Yahoo - BT - 728x90 - AR - KSA</t>
  </si>
  <si>
    <t>Behavioural Targeting - 728x90 - AR - Oman</t>
  </si>
  <si>
    <t>Yahoo - BT - 728x90 - AR - Oman</t>
  </si>
  <si>
    <t>Behavioural Targeting - 728x90 - AR - QTR</t>
  </si>
  <si>
    <t>Yahoo - BT - 728x90 - AR - QTR</t>
  </si>
  <si>
    <t>Behavioural Targeting - 728x90 - AR - UAE</t>
  </si>
  <si>
    <t>Yahoo - BT - 728x90 - AR - UAE</t>
  </si>
  <si>
    <t>Behavioural Targeting - 728x90 - EN - BHR</t>
  </si>
  <si>
    <t>Yahoo - BT - 728x90 - EN - BH</t>
  </si>
  <si>
    <t>FME_PrimaryBrandPhase3_728x90_EN.jpg</t>
  </si>
  <si>
    <t>Behavioural Targeting - 728x90 - EN - KSA</t>
  </si>
  <si>
    <t>Yahoo - BT - 728x90 - EN - KSA</t>
  </si>
  <si>
    <t>Behavioural Targeting - 728x90 - EN - KWT</t>
  </si>
  <si>
    <t>Yahoo - BT - 728x90 - EN - KWT</t>
  </si>
  <si>
    <t>Behavioural Targeting - 728x90 - EN - Oman</t>
  </si>
  <si>
    <t>Yahoo - BT - 728x90 - EN - Oman</t>
  </si>
  <si>
    <t>Behavioural Targeting - 728x90 - EN - QTR</t>
  </si>
  <si>
    <t>Yahoo - BT - 728x90 - EN - QTR</t>
  </si>
  <si>
    <t>Behavioural Targeting - 728x90 - EN - UAE</t>
  </si>
  <si>
    <t>Yahoo - BT - 728x90 - EN - UAE</t>
  </si>
  <si>
    <t>Behavioural Targeting - Video 300x250 - AR - BHR</t>
  </si>
  <si>
    <t>Yahoo - BT - Vid 300x250 - AR - BH</t>
  </si>
  <si>
    <t>Behavioural Targeting - Video 300x250 - AR - KSA</t>
  </si>
  <si>
    <t>300 x 250 Default Ad</t>
  </si>
  <si>
    <t>FME_PrimaryBrandPhase3_300x250_AR.jpg</t>
  </si>
  <si>
    <t>Yahoo - BT - Vid 300x250 - AR - KSA</t>
  </si>
  <si>
    <t>Behavioural Targeting - Video 300x250 - AR - KWT</t>
  </si>
  <si>
    <t>Yahoo - BT - Vid 300x250 - AR - KWT</t>
  </si>
  <si>
    <t>Behavioural Targeting - Video 300x250 - AR - Oman</t>
  </si>
  <si>
    <t>Yahoo - BT - Vid 300x250 - AR - Oman</t>
  </si>
  <si>
    <t>Behavioural Targeting - Video 300x250 - AR - QTR</t>
  </si>
  <si>
    <t>Yahoo - BT - Vid 300x250 - AR - QTR</t>
  </si>
  <si>
    <t>Behavioural Targeting - Video 300x250 - AR - UAE</t>
  </si>
  <si>
    <t>Yahoo - BT - Vid 300x250 - AR - UAE</t>
  </si>
  <si>
    <t>Behavioural Targeting - Video 300x250 - EN - KSA</t>
  </si>
  <si>
    <t>Yahoo - BT - Vid 300x250 - EN - KSA</t>
  </si>
  <si>
    <t>FME_PrimaryBrandPhase3_300x250_Contest_EN.swf</t>
  </si>
  <si>
    <t>FME_PrimaryBrandPhase3_300x250_EN.swf</t>
  </si>
  <si>
    <t>FME_PrimaryBrandPhase3_300x250_Simulator_EN.swf</t>
  </si>
  <si>
    <t>Behavioural Targeting - Video 300x250 - EN - KWT</t>
  </si>
  <si>
    <t>Yahoo - BT - Vid 300x250 - EN - KWT</t>
  </si>
  <si>
    <t>Behavioural Targeting - Video 300x250 - EN - Oman</t>
  </si>
  <si>
    <t>Yahoo - BT - Vid 300x250 - EN - Oman</t>
  </si>
  <si>
    <t>Behavioural Targeting - Video 300x250 - EN - QTR</t>
  </si>
  <si>
    <t>Yahoo - BT - Vid 300x250 - EN - QTR</t>
  </si>
  <si>
    <t>Behavioural Targeting - Video 300x250 - EN - UAE</t>
  </si>
  <si>
    <t>Yahoo - BT - Vid 300x250 - EN - UAE</t>
  </si>
  <si>
    <t>Grand Total:</t>
  </si>
  <si>
    <t>---</t>
  </si>
  <si>
    <t>Video Average View Time (Seconds)</t>
  </si>
  <si>
    <t xml:space="preserve">Video Plays </t>
  </si>
  <si>
    <t xml:space="preserve">Video Midpoints </t>
  </si>
  <si>
    <t xml:space="preserve">Video Completions </t>
  </si>
  <si>
    <t xml:space="preserve">Total Interactions </t>
  </si>
  <si>
    <t xml:space="preserve">Interaction Rate </t>
  </si>
  <si>
    <t xml:space="preserve">Expansions </t>
  </si>
  <si>
    <t xml:space="preserve">Expansion Time </t>
  </si>
  <si>
    <t>Planned Display Goals</t>
  </si>
  <si>
    <t>Avg. Display eCPM</t>
  </si>
  <si>
    <t xml:space="preserve">Start date -  </t>
  </si>
  <si>
    <t>Campaign:</t>
  </si>
  <si>
    <t xml:space="preserve">End Date - </t>
  </si>
  <si>
    <t>Saudi Arabia</t>
  </si>
  <si>
    <t>United Arab Emirates</t>
  </si>
  <si>
    <t>Qatar</t>
  </si>
  <si>
    <t>Conversion Summary</t>
  </si>
  <si>
    <t>Conversion Rate</t>
  </si>
  <si>
    <t>Click-through Conversions</t>
  </si>
  <si>
    <t>View-through Conversions</t>
  </si>
  <si>
    <t>Total Conversions</t>
  </si>
  <si>
    <t>GulfNews.com</t>
  </si>
  <si>
    <t>ManoramaOnline</t>
  </si>
  <si>
    <t>Times of India</t>
  </si>
  <si>
    <t>Conversion Rate% to date:</t>
  </si>
  <si>
    <t>of conversion rate has been achieved on the campaign</t>
  </si>
  <si>
    <t>Detailed Performance</t>
  </si>
  <si>
    <t>(Site (DFA))</t>
  </si>
  <si>
    <t>(Formula)</t>
  </si>
  <si>
    <t xml:space="preserve"> Clicks</t>
  </si>
  <si>
    <t>Cost</t>
  </si>
  <si>
    <t>Click-through Revenue</t>
  </si>
  <si>
    <t>View-through Revenue</t>
  </si>
  <si>
    <t>Total Revenue</t>
  </si>
  <si>
    <t>ROI</t>
  </si>
  <si>
    <t>Date</t>
  </si>
  <si>
    <t>Hour</t>
  </si>
  <si>
    <t>Abu Dhabi Duty Free</t>
  </si>
  <si>
    <t>Mega Big Ticket_August 2013</t>
  </si>
  <si>
    <t>Entertainment &amp; Lifestyle Sections - 300x250 - EN - UAE</t>
  </si>
  <si>
    <t>2013-08-07</t>
  </si>
  <si>
    <t>15</t>
  </si>
  <si>
    <t>2013-08-11</t>
  </si>
  <si>
    <t>08</t>
  </si>
  <si>
    <t>09</t>
  </si>
  <si>
    <t>10</t>
  </si>
  <si>
    <t>11</t>
  </si>
  <si>
    <t>12</t>
  </si>
  <si>
    <t>13</t>
  </si>
  <si>
    <t>14</t>
  </si>
  <si>
    <t>16</t>
  </si>
  <si>
    <t>17</t>
  </si>
  <si>
    <t>18</t>
  </si>
  <si>
    <t>19</t>
  </si>
  <si>
    <t>20</t>
  </si>
  <si>
    <t>21</t>
  </si>
  <si>
    <t>22</t>
  </si>
  <si>
    <t>23</t>
  </si>
  <si>
    <t>2013-08-12</t>
  </si>
  <si>
    <t>00</t>
  </si>
  <si>
    <t>01</t>
  </si>
  <si>
    <t>02</t>
  </si>
  <si>
    <t>03</t>
  </si>
  <si>
    <t>04</t>
  </si>
  <si>
    <t>05</t>
  </si>
  <si>
    <t>06</t>
  </si>
  <si>
    <t>07</t>
  </si>
  <si>
    <t>2013-08-13</t>
  </si>
  <si>
    <t>2013-08-14</t>
  </si>
  <si>
    <t>2013-08-15</t>
  </si>
  <si>
    <t>2013-08-16</t>
  </si>
  <si>
    <t>2013-08-17</t>
  </si>
  <si>
    <t>2013-08-18</t>
  </si>
  <si>
    <t>2013-08-19</t>
  </si>
  <si>
    <t>2013-08-20</t>
  </si>
  <si>
    <t>2013-08-21</t>
  </si>
  <si>
    <t>2013-08-22</t>
  </si>
  <si>
    <t>2013-08-23</t>
  </si>
  <si>
    <t>2013-08-24</t>
  </si>
  <si>
    <t>2013-08-25</t>
  </si>
  <si>
    <t>Entertainment &amp; Lifestyle Sections - 728x90 - EN - UAE</t>
  </si>
  <si>
    <t>2013-08-10</t>
  </si>
  <si>
    <t>2013-08-08</t>
  </si>
  <si>
    <t xml:space="preserve">Click-through Conversions </t>
  </si>
  <si>
    <t xml:space="preserve">View-through Conversions </t>
  </si>
  <si>
    <t xml:space="preserve">Total Conversions </t>
  </si>
  <si>
    <t>Video Summary Pivot</t>
  </si>
  <si>
    <t>Sum of Click-through Revenue</t>
  </si>
  <si>
    <t>Sum of View-through Revenue</t>
  </si>
  <si>
    <t>Sum of Total Revenue</t>
  </si>
  <si>
    <t xml:space="preserve">Grand 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</si>
</sst>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$-409]#,##0.00"/>
    <numFmt numFmtId="165" formatCode="&quot;$&quot;#,##0"/>
    <numFmt numFmtId="166" formatCode="&quot;$&quot;#,##0.00"/>
  </numFmts>
  <fonts count="36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name val="Corbel"/>
      <family val="2"/>
    </font>
    <font>
      <b/>
      <sz val="12"/>
      <name val="Corbel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0"/>
      <color theme="0"/>
      <name val="Corbel"/>
      <family val="2"/>
    </font>
    <font>
      <sz val="10"/>
      <color theme="0"/>
      <name val="Corbel"/>
      <family val="2"/>
    </font>
    <font>
      <sz val="11"/>
      <color theme="1"/>
      <name val="Corbel"/>
      <family val="2"/>
    </font>
    <font>
      <b/>
      <sz val="14"/>
      <color rgb="FF00B050"/>
      <name val="Corbel"/>
      <family val="2"/>
    </font>
    <font>
      <b/>
      <sz val="28"/>
      <color rgb="FF00B050"/>
      <name val="Corbel"/>
      <family val="2"/>
    </font>
    <font>
      <b/>
      <sz val="10"/>
      <color theme="1"/>
      <name val="Corbel"/>
      <family val="2"/>
    </font>
    <font>
      <b/>
      <sz val="11"/>
      <color theme="1"/>
      <name val="Corbel"/>
      <family val="2"/>
    </font>
    <font>
      <sz val="10"/>
      <color theme="1"/>
      <name val="Corbel"/>
      <family val="2"/>
    </font>
    <font>
      <b/>
      <sz val="10"/>
      <color rgb="FFFFFFFF"/>
      <name val="Corbel"/>
      <family val="2"/>
    </font>
    <font>
      <sz val="10"/>
      <color rgb="FFFFFFFF"/>
      <name val="Corbel"/>
      <family val="2"/>
    </font>
    <font>
      <b/>
      <sz val="14"/>
      <color theme="0"/>
      <name val="Corbel"/>
      <family val="2"/>
    </font>
    <font>
      <sz val="10"/>
      <color rgb="FF000000"/>
      <name val="Corbel"/>
      <family val="2"/>
    </font>
    <font>
      <sz val="11"/>
      <color theme="0"/>
      <name val="Corbel"/>
      <family val="2"/>
    </font>
    <font>
      <b/>
      <sz val="11"/>
      <color theme="0"/>
      <name val="Corbel"/>
      <family val="2"/>
    </font>
    <font>
      <b/>
      <sz val="28"/>
      <color theme="6" tint="-0.499984740745262"/>
      <name val="Corbel"/>
      <family val="2"/>
    </font>
    <font>
      <b/>
      <sz val="11"/>
      <name val="Corbel"/>
      <family val="2"/>
    </font>
    <font>
      <b/>
      <sz val="11"/>
      <color rgb="FF000000"/>
      <name val="Corbel"/>
      <family val="2"/>
    </font>
    <font>
      <b/>
      <sz val="36"/>
      <color theme="6" tint="-0.499984740745262"/>
      <name val="Cambria"/>
      <family val="1"/>
    </font>
    <font>
      <b/>
      <sz val="28"/>
      <color theme="6" tint="-0.499984740745262"/>
      <name val="Cambria"/>
      <family val="1"/>
    </font>
    <font>
      <b/>
      <sz val="28"/>
      <color rgb="FF4F6228"/>
      <name val="Cambria"/>
      <family val="1"/>
    </font>
    <font>
      <sz val="12.5"/>
      <color theme="0"/>
      <name val="Corbel"/>
      <family val="2"/>
    </font>
    <font>
      <sz val="13"/>
      <color rgb="FFFF0000"/>
      <name val="Corbel"/>
      <family val="2"/>
    </font>
    <font>
      <sz val="13"/>
      <color theme="0"/>
      <name val="Corbel"/>
      <family val="2"/>
    </font>
    <font>
      <sz val="10"/>
      <color theme="1"/>
      <name val="Corbel"/>
      <family val="2"/>
    </font>
    <font>
      <sz val="10"/>
      <name val="Corbel"/>
      <family val="2"/>
    </font>
    <font>
      <sz val="14"/>
      <color theme="0"/>
      <name val="Corbel"/>
      <family val="2"/>
    </font>
    <font>
      <b/>
      <sz val="10"/>
      <color theme="0"/>
      <name val="Corbel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lightUp">
        <bgColor theme="6" tint="0.39994506668294322"/>
      </patternFill>
    </fill>
    <fill>
      <patternFill patternType="solid">
        <fgColor rgb="FFC0C0C0"/>
      </patternFill>
    </fill>
    <fill>
      <patternFill patternType="solid">
        <fgColor rgb="FFD8D8D8"/>
      </patternFill>
    </fill>
    <fill>
      <patternFill patternType="solid">
        <fgColor rgb="FF00B05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A8E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BECF6"/>
      </patternFill>
    </fill>
    <fill>
      <patternFill patternType="solid">
        <fgColor rgb="FFC4D77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/>
      </left>
      <right/>
      <top/>
      <bottom/>
      <diagonal/>
    </border>
  </borders>
  <cellStyleXfs count="8">
    <xf numFmtId="0" fontId="0" fillId="0" borderId="0"/>
    <xf numFmtId="43" fontId="7" fillId="0" borderId="0" applyFont="0" applyFill="0" applyBorder="0" applyAlignment="0" applyProtection="0"/>
    <xf numFmtId="0" fontId="1" fillId="0" borderId="0"/>
    <xf numFmtId="0" fontId="3" fillId="0" borderId="0"/>
    <xf numFmtId="0" fontId="2" fillId="0" borderId="0"/>
    <xf numFmtId="0" fontId="8" fillId="0" borderId="0" applyNumberForma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</cellStyleXfs>
  <cellXfs count="186">
    <xf numFmtId="0" fontId="0" fillId="0" borderId="0" xfId="0"/>
    <xf numFmtId="0" fontId="9" fillId="2" borderId="1" xfId="0" applyFont="1" applyFill="1" applyBorder="1"/>
    <xf numFmtId="0" fontId="10" fillId="2" borderId="2" xfId="0" applyFont="1" applyFill="1" applyBorder="1"/>
    <xf numFmtId="0" fontId="9" fillId="2" borderId="2" xfId="0" applyFont="1" applyFill="1" applyBorder="1"/>
    <xf numFmtId="0" fontId="9" fillId="2" borderId="3" xfId="0" applyFont="1" applyFill="1" applyBorder="1" applyAlignment="1">
      <alignment horizontal="left" vertical="top"/>
    </xf>
    <xf numFmtId="0" fontId="10" fillId="2" borderId="4" xfId="0" applyFont="1" applyFill="1" applyBorder="1"/>
    <xf numFmtId="0" fontId="9" fillId="2" borderId="4" xfId="0" applyFont="1" applyFill="1" applyBorder="1"/>
    <xf numFmtId="0" fontId="9" fillId="2" borderId="5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11" fillId="0" borderId="0" xfId="0" applyFont="1"/>
    <xf numFmtId="37" fontId="12" fillId="0" borderId="0" xfId="1" applyNumberFormat="1" applyFont="1" applyFill="1" applyBorder="1" applyAlignment="1">
      <alignment horizontal="center"/>
    </xf>
    <xf numFmtId="10" fontId="12" fillId="0" borderId="0" xfId="1" applyNumberFormat="1" applyFont="1" applyFill="1" applyBorder="1" applyAlignment="1">
      <alignment horizontal="center"/>
    </xf>
    <xf numFmtId="10" fontId="13" fillId="0" borderId="0" xfId="1" applyNumberFormat="1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8" fontId="12" fillId="0" borderId="0" xfId="1" applyNumberFormat="1" applyFont="1" applyFill="1" applyBorder="1" applyAlignment="1">
      <alignment horizontal="center"/>
    </xf>
    <xf numFmtId="9" fontId="12" fillId="0" borderId="0" xfId="1" applyNumberFormat="1" applyFont="1" applyFill="1" applyBorder="1" applyAlignment="1">
      <alignment horizontal="center"/>
    </xf>
    <xf numFmtId="37" fontId="12" fillId="0" borderId="7" xfId="1" applyNumberFormat="1" applyFont="1" applyFill="1" applyBorder="1" applyAlignment="1">
      <alignment horizontal="center" vertical="center"/>
    </xf>
    <xf numFmtId="10" fontId="12" fillId="0" borderId="7" xfId="1" applyNumberFormat="1" applyFont="1" applyFill="1" applyBorder="1" applyAlignment="1">
      <alignment horizontal="center" vertical="center"/>
    </xf>
    <xf numFmtId="9" fontId="12" fillId="0" borderId="7" xfId="1" applyNumberFormat="1" applyFont="1" applyFill="1" applyBorder="1" applyAlignment="1">
      <alignment horizontal="center" vertical="center"/>
    </xf>
    <xf numFmtId="10" fontId="12" fillId="0" borderId="8" xfId="1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5" fillId="0" borderId="0" xfId="5" applyFont="1"/>
    <xf numFmtId="0" fontId="15" fillId="0" borderId="0" xfId="0" applyFont="1" applyAlignment="1">
      <alignment horizontal="center"/>
    </xf>
    <xf numFmtId="37" fontId="12" fillId="0" borderId="7" xfId="1" applyNumberFormat="1" applyFont="1" applyFill="1" applyBorder="1" applyAlignment="1">
      <alignment horizontal="center" vertical="center"/>
    </xf>
    <xf numFmtId="0" fontId="11" fillId="0" borderId="0" xfId="0" applyFont="1" applyAlignment="1">
      <alignment wrapText="1"/>
    </xf>
    <xf numFmtId="0" fontId="16" fillId="0" borderId="0" xfId="0" applyFont="1"/>
    <xf numFmtId="0" fontId="6" fillId="4" borderId="7" xfId="0" applyFont="1" applyFill="1" applyBorder="1" applyAlignment="1">
      <alignment wrapText="1"/>
    </xf>
    <xf numFmtId="0" fontId="0" fillId="5" borderId="7" xfId="0" applyFill="1" applyBorder="1"/>
    <xf numFmtId="0" fontId="0" fillId="0" borderId="7" xfId="0" applyBorder="1"/>
    <xf numFmtId="0" fontId="6" fillId="4" borderId="9" xfId="0" applyFont="1" applyFill="1" applyBorder="1" applyAlignment="1">
      <alignment wrapText="1"/>
    </xf>
    <xf numFmtId="0" fontId="17" fillId="6" borderId="1" xfId="0" applyFont="1" applyFill="1" applyBorder="1"/>
    <xf numFmtId="0" fontId="18" fillId="6" borderId="2" xfId="0" applyFont="1" applyFill="1" applyBorder="1"/>
    <xf numFmtId="0" fontId="17" fillId="6" borderId="5" xfId="0" applyFont="1" applyFill="1" applyBorder="1" applyAlignment="1">
      <alignment horizontal="center"/>
    </xf>
    <xf numFmtId="0" fontId="17" fillId="6" borderId="3" xfId="0" applyFont="1" applyFill="1" applyBorder="1" applyAlignment="1">
      <alignment horizontal="left" vertical="top"/>
    </xf>
    <xf numFmtId="0" fontId="18" fillId="6" borderId="4" xfId="0" applyFont="1" applyFill="1" applyBorder="1"/>
    <xf numFmtId="0" fontId="17" fillId="6" borderId="6" xfId="0" applyFont="1" applyFill="1" applyBorder="1" applyAlignment="1">
      <alignment horizontal="center"/>
    </xf>
    <xf numFmtId="0" fontId="0" fillId="7" borderId="0" xfId="0" applyFill="1"/>
    <xf numFmtId="3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0" xfId="0" pivotButton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13" xfId="0" applyNumberFormat="1" applyBorder="1"/>
    <xf numFmtId="0" fontId="0" fillId="0" borderId="15" xfId="0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NumberFormat="1" applyBorder="1"/>
    <xf numFmtId="10" fontId="0" fillId="0" borderId="15" xfId="0" applyNumberFormat="1" applyBorder="1"/>
    <xf numFmtId="10" fontId="0" fillId="0" borderId="16" xfId="0" applyNumberFormat="1" applyBorder="1"/>
    <xf numFmtId="10" fontId="0" fillId="0" borderId="17" xfId="0" applyNumberFormat="1" applyBorder="1"/>
    <xf numFmtId="10" fontId="0" fillId="0" borderId="14" xfId="0" applyNumberFormat="1" applyBorder="1"/>
    <xf numFmtId="10" fontId="0" fillId="0" borderId="18" xfId="0" applyNumberFormat="1" applyBorder="1"/>
    <xf numFmtId="10" fontId="0" fillId="0" borderId="19" xfId="0" applyNumberForma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3" xfId="0" applyNumberFormat="1" applyBorder="1"/>
    <xf numFmtId="0" fontId="0" fillId="0" borderId="0" xfId="0" applyNumberFormat="1"/>
    <xf numFmtId="0" fontId="0" fillId="0" borderId="24" xfId="0" applyNumberFormat="1" applyBorder="1"/>
    <xf numFmtId="0" fontId="0" fillId="0" borderId="0" xfId="0" pivotButton="1"/>
    <xf numFmtId="10" fontId="0" fillId="0" borderId="0" xfId="0" applyNumberFormat="1"/>
    <xf numFmtId="0" fontId="0" fillId="0" borderId="0" xfId="0" applyAlignment="1"/>
    <xf numFmtId="0" fontId="0" fillId="0" borderId="0" xfId="0" applyAlignment="1">
      <alignment horizontal="centerContinuous"/>
    </xf>
    <xf numFmtId="0" fontId="0" fillId="0" borderId="0" xfId="0" applyAlignment="1">
      <alignment horizontal="left"/>
    </xf>
    <xf numFmtId="0" fontId="4" fillId="0" borderId="0" xfId="5" applyFont="1"/>
    <xf numFmtId="0" fontId="16" fillId="3" borderId="0" xfId="0" applyFont="1" applyFill="1"/>
    <xf numFmtId="0" fontId="20" fillId="0" borderId="0" xfId="0" applyFont="1" applyBorder="1"/>
    <xf numFmtId="0" fontId="11" fillId="0" borderId="0" xfId="0" applyFont="1" applyAlignment="1">
      <alignment horizontal="centerContinuous"/>
    </xf>
    <xf numFmtId="0" fontId="15" fillId="0" borderId="0" xfId="0" applyFont="1" applyAlignment="1">
      <alignment horizontal="centerContinuous"/>
    </xf>
    <xf numFmtId="0" fontId="10" fillId="0" borderId="0" xfId="0" applyFont="1"/>
    <xf numFmtId="0" fontId="21" fillId="0" borderId="0" xfId="0" applyFont="1"/>
    <xf numFmtId="0" fontId="10" fillId="0" borderId="0" xfId="0" applyFont="1" applyBorder="1"/>
    <xf numFmtId="9" fontId="23" fillId="0" borderId="0" xfId="5" applyNumberFormat="1" applyFont="1" applyAlignment="1">
      <alignment vertical="center"/>
    </xf>
    <xf numFmtId="0" fontId="24" fillId="0" borderId="0" xfId="5" applyFont="1"/>
    <xf numFmtId="0" fontId="24" fillId="0" borderId="0" xfId="5" applyFont="1" applyBorder="1"/>
    <xf numFmtId="0" fontId="25" fillId="0" borderId="0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9" fillId="2" borderId="2" xfId="0" applyFont="1" applyFill="1" applyBorder="1" applyAlignment="1">
      <alignment horizontal="right"/>
    </xf>
    <xf numFmtId="15" fontId="9" fillId="2" borderId="2" xfId="0" applyNumberFormat="1" applyFont="1" applyFill="1" applyBorder="1" applyAlignment="1">
      <alignment horizontal="left"/>
    </xf>
    <xf numFmtId="0" fontId="9" fillId="2" borderId="4" xfId="0" applyFont="1" applyFill="1" applyBorder="1" applyAlignment="1">
      <alignment horizontal="right"/>
    </xf>
    <xf numFmtId="15" fontId="9" fillId="2" borderId="4" xfId="0" applyNumberFormat="1" applyFont="1" applyFill="1" applyBorder="1" applyAlignment="1">
      <alignment horizontal="left"/>
    </xf>
    <xf numFmtId="0" fontId="16" fillId="0" borderId="0" xfId="0" applyFont="1" applyAlignment="1"/>
    <xf numFmtId="0" fontId="11" fillId="0" borderId="0" xfId="0" applyFont="1" applyAlignment="1">
      <alignment horizontal="left"/>
    </xf>
    <xf numFmtId="0" fontId="20" fillId="0" borderId="0" xfId="0" applyFont="1" applyBorder="1" applyAlignment="1">
      <alignment horizontal="left"/>
    </xf>
    <xf numFmtId="0" fontId="9" fillId="0" borderId="0" xfId="0" applyFont="1" applyFill="1" applyBorder="1" applyAlignment="1">
      <alignment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/>
    </xf>
    <xf numFmtId="3" fontId="16" fillId="0" borderId="0" xfId="0" applyNumberFormat="1" applyFont="1" applyAlignment="1">
      <alignment horizontal="center"/>
    </xf>
    <xf numFmtId="10" fontId="16" fillId="0" borderId="0" xfId="0" applyNumberFormat="1" applyFont="1" applyAlignment="1">
      <alignment horizontal="center"/>
    </xf>
    <xf numFmtId="0" fontId="29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31" fillId="0" borderId="0" xfId="0" applyFont="1" applyAlignment="1">
      <alignment wrapText="1"/>
    </xf>
    <xf numFmtId="0" fontId="31" fillId="0" borderId="0" xfId="0" applyFont="1" applyAlignment="1"/>
    <xf numFmtId="0" fontId="31" fillId="0" borderId="0" xfId="0" applyFont="1" applyBorder="1" applyAlignment="1">
      <alignment wrapText="1"/>
    </xf>
    <xf numFmtId="0" fontId="4" fillId="0" borderId="7" xfId="0" applyFont="1" applyFill="1" applyBorder="1" applyAlignment="1">
      <alignment horizontal="center"/>
    </xf>
    <xf numFmtId="0" fontId="0" fillId="8" borderId="7" xfId="0" applyFill="1" applyBorder="1"/>
    <xf numFmtId="0" fontId="0" fillId="0" borderId="7" xfId="0" applyBorder="1" applyAlignment="1">
      <alignment horizontal="center"/>
    </xf>
    <xf numFmtId="3" fontId="9" fillId="2" borderId="26" xfId="0" applyNumberFormat="1" applyFont="1" applyFill="1" applyBorder="1" applyAlignment="1">
      <alignment horizontal="center"/>
    </xf>
    <xf numFmtId="0" fontId="9" fillId="2" borderId="26" xfId="0" applyFont="1" applyFill="1" applyBorder="1" applyAlignment="1">
      <alignment horizontal="left"/>
    </xf>
    <xf numFmtId="3" fontId="32" fillId="0" borderId="0" xfId="0" applyNumberFormat="1" applyFont="1" applyAlignment="1">
      <alignment horizontal="center"/>
    </xf>
    <xf numFmtId="10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center"/>
    </xf>
    <xf numFmtId="0" fontId="32" fillId="0" borderId="0" xfId="0" applyNumberFormat="1" applyFont="1" applyAlignment="1">
      <alignment horizontal="center"/>
    </xf>
    <xf numFmtId="0" fontId="9" fillId="2" borderId="26" xfId="0" applyFont="1" applyFill="1" applyBorder="1" applyAlignment="1">
      <alignment horizontal="center"/>
    </xf>
    <xf numFmtId="0" fontId="11" fillId="3" borderId="0" xfId="0" applyFont="1" applyFill="1"/>
    <xf numFmtId="3" fontId="33" fillId="9" borderId="27" xfId="0" applyNumberFormat="1" applyFont="1" applyFill="1" applyBorder="1" applyAlignment="1">
      <alignment horizontal="center" vertical="center"/>
    </xf>
    <xf numFmtId="3" fontId="33" fillId="10" borderId="27" xfId="0" applyNumberFormat="1" applyFont="1" applyFill="1" applyBorder="1" applyAlignment="1">
      <alignment horizontal="center" vertical="center"/>
    </xf>
    <xf numFmtId="0" fontId="6" fillId="4" borderId="7" xfId="2" applyFont="1" applyFill="1" applyBorder="1" applyAlignment="1">
      <alignment wrapText="1"/>
    </xf>
    <xf numFmtId="0" fontId="1" fillId="5" borderId="7" xfId="2" applyFill="1" applyBorder="1"/>
    <xf numFmtId="0" fontId="1" fillId="0" borderId="7" xfId="2" applyBorder="1"/>
    <xf numFmtId="10" fontId="1" fillId="0" borderId="7" xfId="2" applyNumberFormat="1" applyBorder="1" applyAlignment="1">
      <alignment horizontal="center"/>
    </xf>
    <xf numFmtId="0" fontId="1" fillId="5" borderId="7" xfId="2" applyFont="1" applyFill="1" applyBorder="1"/>
    <xf numFmtId="0" fontId="24" fillId="4" borderId="7" xfId="0" applyFont="1" applyFill="1" applyBorder="1" applyAlignment="1">
      <alignment wrapText="1"/>
    </xf>
    <xf numFmtId="0" fontId="24" fillId="11" borderId="7" xfId="0" applyFont="1" applyFill="1" applyBorder="1"/>
    <xf numFmtId="39" fontId="12" fillId="0" borderId="7" xfId="1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3" fontId="33" fillId="9" borderId="27" xfId="0" applyNumberFormat="1" applyFont="1" applyFill="1" applyBorder="1" applyAlignment="1">
      <alignment vertical="center"/>
    </xf>
    <xf numFmtId="0" fontId="33" fillId="10" borderId="27" xfId="0" applyFont="1" applyFill="1" applyBorder="1" applyAlignment="1">
      <alignment vertical="center"/>
    </xf>
    <xf numFmtId="165" fontId="33" fillId="9" borderId="27" xfId="0" applyNumberFormat="1" applyFont="1" applyFill="1" applyBorder="1" applyAlignment="1">
      <alignment horizontal="center" vertical="center"/>
    </xf>
    <xf numFmtId="9" fontId="33" fillId="9" borderId="27" xfId="0" applyNumberFormat="1" applyFont="1" applyFill="1" applyBorder="1" applyAlignment="1">
      <alignment horizontal="center" vertical="center"/>
    </xf>
    <xf numFmtId="165" fontId="33" fillId="10" borderId="27" xfId="0" applyNumberFormat="1" applyFont="1" applyFill="1" applyBorder="1" applyAlignment="1">
      <alignment horizontal="center" vertical="center"/>
    </xf>
    <xf numFmtId="9" fontId="33" fillId="10" borderId="27" xfId="0" applyNumberFormat="1" applyFont="1" applyFill="1" applyBorder="1" applyAlignment="1">
      <alignment horizontal="center" vertical="center"/>
    </xf>
    <xf numFmtId="165" fontId="9" fillId="2" borderId="26" xfId="0" applyNumberFormat="1" applyFont="1" applyFill="1" applyBorder="1" applyAlignment="1">
      <alignment horizontal="center"/>
    </xf>
    <xf numFmtId="9" fontId="9" fillId="2" borderId="26" xfId="0" applyNumberFormat="1" applyFont="1" applyFill="1" applyBorder="1" applyAlignment="1">
      <alignment horizontal="center"/>
    </xf>
    <xf numFmtId="0" fontId="15" fillId="0" borderId="29" xfId="0" applyFont="1" applyBorder="1" applyAlignment="1">
      <alignment wrapText="1"/>
    </xf>
    <xf numFmtId="0" fontId="15" fillId="0" borderId="0" xfId="0" applyFont="1" applyAlignment="1">
      <alignment wrapText="1"/>
    </xf>
    <xf numFmtId="0" fontId="15" fillId="0" borderId="0" xfId="0" applyFont="1" applyBorder="1" applyAlignment="1">
      <alignment wrapText="1"/>
    </xf>
    <xf numFmtId="0" fontId="34" fillId="0" borderId="0" xfId="0" applyFont="1" applyBorder="1" applyAlignment="1">
      <alignment wrapText="1"/>
    </xf>
    <xf numFmtId="0" fontId="32" fillId="0" borderId="0" xfId="0" applyFont="1"/>
    <xf numFmtId="0" fontId="32" fillId="0" borderId="0" xfId="0" pivotButton="1" applyFont="1"/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0" xfId="0" pivotButton="1" applyFont="1" applyAlignment="1">
      <alignment horizontal="left" vertical="center"/>
    </xf>
    <xf numFmtId="0" fontId="32" fillId="0" borderId="0" xfId="0" pivotButton="1" applyFont="1" applyAlignment="1">
      <alignment vertical="center"/>
    </xf>
    <xf numFmtId="0" fontId="32" fillId="0" borderId="0" xfId="0" pivotButton="1" applyFont="1" applyAlignment="1">
      <alignment horizontal="center" vertical="center"/>
    </xf>
    <xf numFmtId="0" fontId="32" fillId="0" borderId="0" xfId="0" applyFont="1" applyAlignment="1"/>
    <xf numFmtId="0" fontId="32" fillId="0" borderId="0" xfId="0" pivotButton="1" applyFont="1" applyAlignment="1">
      <alignment horizontal="left" vertical="center" wrapText="1"/>
    </xf>
    <xf numFmtId="0" fontId="32" fillId="0" borderId="0" xfId="0" pivotButton="1" applyFont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35" fillId="2" borderId="26" xfId="0" applyFont="1" applyFill="1" applyBorder="1"/>
    <xf numFmtId="0" fontId="35" fillId="2" borderId="26" xfId="0" applyFont="1" applyFill="1" applyBorder="1" applyAlignment="1">
      <alignment horizontal="center" vertical="center"/>
    </xf>
    <xf numFmtId="0" fontId="32" fillId="9" borderId="26" xfId="0" applyFont="1" applyFill="1" applyBorder="1" applyAlignment="1">
      <alignment horizontal="left"/>
    </xf>
    <xf numFmtId="3" fontId="32" fillId="9" borderId="26" xfId="0" applyNumberFormat="1" applyFont="1" applyFill="1" applyBorder="1" applyAlignment="1">
      <alignment horizontal="center"/>
    </xf>
    <xf numFmtId="10" fontId="32" fillId="9" borderId="26" xfId="0" applyNumberFormat="1" applyFont="1" applyFill="1" applyBorder="1" applyAlignment="1">
      <alignment horizontal="center"/>
    </xf>
    <xf numFmtId="164" fontId="32" fillId="9" borderId="26" xfId="0" applyNumberFormat="1" applyFont="1" applyFill="1" applyBorder="1" applyAlignment="1">
      <alignment horizontal="center"/>
    </xf>
    <xf numFmtId="0" fontId="32" fillId="12" borderId="26" xfId="0" applyFont="1" applyFill="1" applyBorder="1" applyAlignment="1">
      <alignment horizontal="left"/>
    </xf>
    <xf numFmtId="3" fontId="32" fillId="12" borderId="26" xfId="0" applyNumberFormat="1" applyFont="1" applyFill="1" applyBorder="1" applyAlignment="1">
      <alignment horizontal="center"/>
    </xf>
    <xf numFmtId="10" fontId="32" fillId="12" borderId="26" xfId="0" applyNumberFormat="1" applyFont="1" applyFill="1" applyBorder="1" applyAlignment="1">
      <alignment horizontal="center"/>
    </xf>
    <xf numFmtId="164" fontId="32" fillId="12" borderId="26" xfId="0" applyNumberFormat="1" applyFont="1" applyFill="1" applyBorder="1" applyAlignment="1">
      <alignment horizontal="center"/>
    </xf>
    <xf numFmtId="0" fontId="35" fillId="2" borderId="26" xfId="0" applyFont="1" applyFill="1" applyBorder="1" applyAlignment="1">
      <alignment horizontal="left"/>
    </xf>
    <xf numFmtId="3" fontId="35" fillId="2" borderId="26" xfId="0" applyNumberFormat="1" applyFont="1" applyFill="1" applyBorder="1" applyAlignment="1">
      <alignment horizontal="center"/>
    </xf>
    <xf numFmtId="10" fontId="35" fillId="2" borderId="26" xfId="0" applyNumberFormat="1" applyFont="1" applyFill="1" applyBorder="1" applyAlignment="1">
      <alignment horizontal="center"/>
    </xf>
    <xf numFmtId="164" fontId="35" fillId="2" borderId="26" xfId="0" applyNumberFormat="1" applyFont="1" applyFill="1" applyBorder="1" applyAlignment="1">
      <alignment horizontal="center"/>
    </xf>
    <xf numFmtId="0" fontId="32" fillId="9" borderId="26" xfId="0" applyNumberFormat="1" applyFont="1" applyFill="1" applyBorder="1" applyAlignment="1">
      <alignment horizontal="center"/>
    </xf>
    <xf numFmtId="0" fontId="35" fillId="2" borderId="26" xfId="0" applyNumberFormat="1" applyFont="1" applyFill="1" applyBorder="1" applyAlignment="1">
      <alignment horizontal="center"/>
    </xf>
    <xf numFmtId="0" fontId="35" fillId="2" borderId="26" xfId="0" applyFont="1" applyFill="1" applyBorder="1" applyAlignment="1">
      <alignment horizontal="left" vertical="center"/>
    </xf>
    <xf numFmtId="0" fontId="32" fillId="9" borderId="26" xfId="0" applyFont="1" applyFill="1" applyBorder="1" applyAlignment="1">
      <alignment horizontal="center"/>
    </xf>
    <xf numFmtId="0" fontId="32" fillId="12" borderId="26" xfId="0" applyFont="1" applyFill="1" applyBorder="1" applyAlignment="1">
      <alignment horizontal="center"/>
    </xf>
    <xf numFmtId="166" fontId="33" fillId="9" borderId="27" xfId="0" applyNumberFormat="1" applyFont="1" applyFill="1" applyBorder="1" applyAlignment="1">
      <alignment horizontal="center" vertical="center"/>
    </xf>
    <xf numFmtId="0" fontId="35" fillId="2" borderId="26" xfId="0" applyFont="1" applyFill="1" applyBorder="1" applyAlignment="1">
      <alignment horizontal="center"/>
    </xf>
    <xf numFmtId="166" fontId="32" fillId="12" borderId="26" xfId="0" applyNumberFormat="1" applyFont="1" applyFill="1" applyBorder="1" applyAlignment="1">
      <alignment horizontal="center"/>
    </xf>
    <xf numFmtId="166" fontId="32" fillId="9" borderId="26" xfId="0" applyNumberFormat="1" applyFont="1" applyFill="1" applyBorder="1" applyAlignment="1">
      <alignment horizontal="center"/>
    </xf>
    <xf numFmtId="166" fontId="32" fillId="12" borderId="26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37" fontId="12" fillId="0" borderId="25" xfId="1" applyNumberFormat="1" applyFont="1" applyFill="1" applyBorder="1" applyAlignment="1">
      <alignment horizontal="center" vertical="center"/>
    </xf>
    <xf numFmtId="37" fontId="12" fillId="0" borderId="8" xfId="1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wrapText="1"/>
    </xf>
    <xf numFmtId="10" fontId="26" fillId="0" borderId="0" xfId="5" applyNumberFormat="1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0" fontId="28" fillId="0" borderId="0" xfId="5" applyNumberFormat="1" applyFont="1" applyBorder="1" applyAlignment="1">
      <alignment horizontal="center" vertical="center"/>
    </xf>
    <xf numFmtId="0" fontId="28" fillId="0" borderId="0" xfId="5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 wrapText="1"/>
    </xf>
    <xf numFmtId="10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</cellXfs>
  <cellStyles count="8">
    <cellStyle name="Comma" xfId="1" builtinId="3"/>
    <cellStyle name="Currency 2" xfId="6"/>
    <cellStyle name="Normal" xfId="0" builtinId="0"/>
    <cellStyle name="Normal 2" xfId="2"/>
    <cellStyle name="Normal 2 10" xfId="3"/>
    <cellStyle name="Normal 3" xfId="4"/>
    <cellStyle name="Normal 4" xfId="7"/>
    <cellStyle name="Title" xfId="5" builtinId="15"/>
  </cellStyles>
  <dxfs count="179">
    <dxf>
      <alignment vertic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numFmt numFmtId="164" formatCode="[$$-409]#,##0.00"/>
    </dxf>
    <dxf>
      <numFmt numFmtId="164" formatCode="[$$-409]#,##0.00"/>
    </dxf>
    <dxf>
      <alignment vertical="center" readingOrder="0"/>
    </dxf>
    <dxf>
      <alignment vertic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name val="Corbel"/>
        <scheme val="none"/>
      </font>
    </dxf>
    <dxf>
      <alignment horizontal="center" readingOrder="0"/>
    </dxf>
    <dxf>
      <numFmt numFmtId="3" formatCode="#,##0"/>
    </dxf>
    <dxf>
      <numFmt numFmtId="3" formatCode="#,##0"/>
    </dxf>
    <dxf>
      <font>
        <sz val="10"/>
      </font>
    </dxf>
    <dxf>
      <alignment horizontal="center" readingOrder="0"/>
    </dxf>
    <dxf>
      <alignment vertic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left" readingOrder="0"/>
    </dxf>
    <dxf>
      <font>
        <name val="Corbel"/>
        <scheme val="none"/>
      </font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numFmt numFmtId="3" formatCode="#,##0"/>
    </dxf>
    <dxf>
      <alignment horizontal="left" readingOrder="0"/>
    </dxf>
    <dxf>
      <font>
        <name val="Corbel"/>
        <scheme val="none"/>
      </font>
    </dxf>
    <dxf>
      <font>
        <sz val="10"/>
      </font>
    </dxf>
    <dxf>
      <alignment horizontal="center" readingOrder="0"/>
    </dxf>
    <dxf>
      <alignment vertical="center" readingOrder="0"/>
    </dxf>
    <dxf>
      <alignment horizontal="center" readingOrder="0"/>
    </dxf>
    <dxf>
      <numFmt numFmtId="3" formatCode="#,##0"/>
    </dxf>
    <dxf>
      <alignment horizontal="left" readingOrder="0"/>
    </dxf>
    <dxf>
      <font>
        <name val="Corbel"/>
        <scheme val="none"/>
      </font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font>
        <name val="Corbel"/>
        <scheme val="none"/>
      </font>
    </dxf>
    <dxf>
      <alignment horizontal="center" readingOrder="0"/>
    </dxf>
    <dxf>
      <font>
        <sz val="10"/>
      </font>
    </dxf>
    <dxf>
      <alignment horizontal="center" readingOrder="0"/>
    </dxf>
    <dxf>
      <alignment vertic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numFmt numFmtId="14" formatCode="0.00%"/>
    </dxf>
    <dxf>
      <alignment horizontal="left" readingOrder="0"/>
    </dxf>
    <dxf>
      <font>
        <name val="Corbel"/>
        <scheme val="none"/>
      </font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font>
        <name val="Corbel"/>
        <scheme val="none"/>
      </font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font>
        <name val="Corbel"/>
        <scheme val="none"/>
      </font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name val="Corbel"/>
        <scheme val="none"/>
      </font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name val="Corbel"/>
        <scheme val="none"/>
      </font>
    </dxf>
    <dxf>
      <alignment horizontal="center" readingOrder="0"/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font>
        <name val="Corbel"/>
        <scheme val="none"/>
      </font>
    </dxf>
    <dxf>
      <font>
        <sz val="10"/>
      </font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alignment vertical="center" readingOrder="0"/>
    </dxf>
    <dxf>
      <alignment horizontal="center" readingOrder="0"/>
    </dxf>
    <dxf>
      <numFmt numFmtId="3" formatCode="#,##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font>
        <name val="Corbel"/>
        <scheme val="none"/>
      </font>
    </dxf>
    <dxf>
      <alignment horizontal="center" readingOrder="0"/>
    </dxf>
    <dxf>
      <font>
        <sz val="1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font>
        <name val="Corbel"/>
        <scheme val="none"/>
      </font>
    </dxf>
    <dxf>
      <numFmt numFmtId="3" formatCode="#,##0"/>
    </dxf>
    <dxf>
      <font>
        <sz val="10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fill>
        <patternFill>
          <bgColor rgb="FFC4D773"/>
        </patternFill>
      </fill>
      <border>
        <left/>
        <right/>
        <top/>
        <bottom/>
        <vertical/>
        <horizontal/>
      </border>
    </dxf>
    <dxf>
      <fill>
        <patternFill>
          <bgColor rgb="FFE1EA8E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00995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00995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C4D773"/>
        </patternFill>
      </fill>
    </dxf>
    <dxf>
      <fill>
        <patternFill>
          <bgColor rgb="FFE1EA8E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2" defaultTableStyle="Table Style 1" defaultPivotStyle="PivotStyleLight16">
    <tableStyle name="PivotTable Style 1" table="0" count="5">
      <tableStyleElement type="wholeTable" dxfId="178"/>
      <tableStyleElement type="headerRow" dxfId="177"/>
      <tableStyleElement type="totalRow" dxfId="176"/>
      <tableStyleElement type="firstRowStripe" dxfId="175"/>
      <tableStyleElement type="secondRowStripe" dxfId="174"/>
    </tableStyle>
    <tableStyle name="Table Style 1" pivot="0" count="5">
      <tableStyleElement type="wholeTable" dxfId="173"/>
      <tableStyleElement type="headerRow" dxfId="172"/>
      <tableStyleElement type="totalRow" dxfId="171"/>
      <tableStyleElement type="firstRowStripe" dxfId="170"/>
      <tableStyleElement type="secondRowStripe" dxfId="169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4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pivotCacheDefinition" Target="pivotCache/pivotCacheDefinition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[Advanced Campaign Report.xlsm]Pivots!PivotTable1</c:name>
    <c:fmtId val="3"/>
  </c:pivotSource>
  <c:chart>
    <c:title>
      <c:tx>
        <c:rich>
          <a:bodyPr/>
          <a:lstStyle/>
          <a:p>
            <a:pPr>
              <a:defRPr sz="96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Site Performance by CTR (%)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>
            <a:solidFill>
              <a:srgbClr val="C1D327"/>
            </a:solidFill>
          </a:ln>
        </c:spPr>
        <c:marker>
          <c:spPr>
            <a:ln>
              <a:solidFill>
                <a:srgbClr val="C1D327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marker>
          <c:symbol val="none"/>
        </c:marker>
      </c:pivotFmt>
      <c:pivotFmt>
        <c:idx val="3"/>
        <c:spPr>
          <a:ln>
            <a:solidFill>
              <a:srgbClr val="C1D327"/>
            </a:solidFill>
          </a:ln>
        </c:spPr>
        <c:marker>
          <c:spPr>
            <a:ln>
              <a:solidFill>
                <a:srgbClr val="C1D327"/>
              </a:solidFill>
            </a:ln>
          </c:spPr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marker>
          <c:symbol val="none"/>
        </c:marker>
      </c:pivotFmt>
      <c:pivotFmt>
        <c:idx val="5"/>
        <c:spPr>
          <a:ln>
            <a:solidFill>
              <a:srgbClr val="C1D327"/>
            </a:solidFill>
          </a:ln>
        </c:spPr>
        <c:marker>
          <c:spPr>
            <a:ln>
              <a:solidFill>
                <a:srgbClr val="C1D327"/>
              </a:solidFill>
            </a:ln>
          </c:spPr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Pivots!$B$3:$B$4</c:f>
              <c:strCache>
                <c:ptCount val="1"/>
                <c:pt idx="0">
                  <c:v>Delivered Impressions</c:v>
                </c:pt>
              </c:strCache>
            </c:strRef>
          </c:tx>
          <c:invertIfNegative val="0"/>
          <c:cat>
            <c:strRef>
              <c:f>Pivots!$A$5:$A$15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Pivots!$B$5:$B$15</c:f>
              <c:numCache>
                <c:formatCode>General</c:formatCode>
                <c:ptCount val="10"/>
                <c:pt idx="0">
                  <c:v>2281933</c:v>
                </c:pt>
                <c:pt idx="1">
                  <c:v>586795</c:v>
                </c:pt>
                <c:pt idx="2">
                  <c:v>563865</c:v>
                </c:pt>
                <c:pt idx="3">
                  <c:v>801012</c:v>
                </c:pt>
                <c:pt idx="4">
                  <c:v>563865</c:v>
                </c:pt>
                <c:pt idx="5">
                  <c:v>563865</c:v>
                </c:pt>
                <c:pt idx="6">
                  <c:v>787878</c:v>
                </c:pt>
                <c:pt idx="7">
                  <c:v>98988</c:v>
                </c:pt>
                <c:pt idx="8">
                  <c:v>98988</c:v>
                </c:pt>
                <c:pt idx="9">
                  <c:v>98988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69"/>
        <c:axId val="274568704"/>
        <c:axId val="274570240"/>
      </c:barChart>
      <c:lineChart>
        <c:grouping val="standard"/>
        <c:varyColors val="0"/>
        <c:ser>
          <c:idx val="1"/>
          <c:order val="1"/>
          <c:tx>
            <c:strRef>
              <c:f>Pivots!$C$3:$C$4</c:f>
              <c:strCache>
                <c:ptCount val="1"/>
                <c:pt idx="0">
                  <c:v>CTR </c:v>
                </c:pt>
              </c:strCache>
            </c:strRef>
          </c:tx>
          <c:spPr>
            <a:ln>
              <a:solidFill>
                <a:srgbClr val="C1D327"/>
              </a:solidFill>
            </a:ln>
          </c:spPr>
          <c:marker>
            <c:spPr>
              <a:ln>
                <a:solidFill>
                  <a:srgbClr val="C1D327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Pivots!$A$5:$A$15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Pivots!$C$5:$C$15</c:f>
              <c:numCache>
                <c:formatCode>0.00%</c:formatCode>
                <c:ptCount val="10"/>
                <c:pt idx="0">
                  <c:v>9.4043076637219413E-4</c:v>
                </c:pt>
                <c:pt idx="1">
                  <c:v>5.0613928203205544E-4</c:v>
                </c:pt>
                <c:pt idx="2">
                  <c:v>3.3660539313488157E-3</c:v>
                </c:pt>
                <c:pt idx="3">
                  <c:v>1.5230733122599911E-3</c:v>
                </c:pt>
                <c:pt idx="4">
                  <c:v>3.3660539313488157E-3</c:v>
                </c:pt>
                <c:pt idx="5">
                  <c:v>3.3660539313488157E-3</c:v>
                </c:pt>
                <c:pt idx="6">
                  <c:v>1.240039701578163E-3</c:v>
                </c:pt>
                <c:pt idx="7">
                  <c:v>9.9911100335394187E-3</c:v>
                </c:pt>
                <c:pt idx="8">
                  <c:v>9.9911100335394187E-3</c:v>
                </c:pt>
                <c:pt idx="9">
                  <c:v>9.9911100335394187E-3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584704"/>
        <c:axId val="274586240"/>
      </c:lineChart>
      <c:catAx>
        <c:axId val="27456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570240"/>
        <c:crosses val="autoZero"/>
        <c:auto val="0"/>
        <c:lblAlgn val="ctr"/>
        <c:lblOffset val="100"/>
        <c:noMultiLvlLbl val="0"/>
      </c:catAx>
      <c:valAx>
        <c:axId val="274570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333333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Impressions Delivered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568704"/>
        <c:crosses val="autoZero"/>
        <c:crossBetween val="between"/>
      </c:valAx>
      <c:catAx>
        <c:axId val="274584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74586240"/>
        <c:crosses val="autoZero"/>
        <c:auto val="0"/>
        <c:lblAlgn val="ctr"/>
        <c:lblOffset val="100"/>
        <c:noMultiLvlLbl val="0"/>
      </c:catAx>
      <c:valAx>
        <c:axId val="2745862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74584704"/>
        <c:crosses val="max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[Advanced Campaign Report.xlsm]Pivots!PivotTable2</c:name>
    <c:fmtId val="2"/>
  </c:pivotSource>
  <c:chart>
    <c:title>
      <c:tx>
        <c:rich>
          <a:bodyPr/>
          <a:lstStyle/>
          <a:p>
            <a:pPr>
              <a:defRPr sz="96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Delivered Impressions Vs. Unique Impressions</a:t>
            </a:r>
          </a:p>
        </c:rich>
      </c:tx>
      <c:layout/>
      <c:overlay val="0"/>
    </c:title>
    <c:autoTitleDeleted val="0"/>
    <c:pivotFmts>
      <c:pivotFmt>
        <c:idx val="0"/>
        <c:spPr>
          <a:solidFill>
            <a:srgbClr val="C1D327"/>
          </a:solidFill>
        </c:spPr>
        <c:marker>
          <c:symbol val="none"/>
        </c:marker>
      </c:pivotFmt>
      <c:pivotFmt>
        <c:idx val="1"/>
        <c:spPr>
          <a:solidFill>
            <a:srgbClr val="3A5C18">
              <a:alpha val="59000"/>
            </a:srgbClr>
          </a:solidFill>
        </c:spPr>
        <c:marker>
          <c:symbol val="none"/>
        </c:marker>
      </c:pivotFmt>
      <c:pivotFmt>
        <c:idx val="2"/>
        <c:spPr>
          <a:solidFill>
            <a:srgbClr val="C1D327"/>
          </a:solidFill>
        </c:spPr>
        <c:marker>
          <c:symbol val="none"/>
        </c:marker>
      </c:pivotFmt>
      <c:pivotFmt>
        <c:idx val="3"/>
        <c:spPr>
          <a:solidFill>
            <a:srgbClr val="3A5C18">
              <a:alpha val="59000"/>
            </a:srgbClr>
          </a:solidFill>
        </c:spPr>
        <c:marker>
          <c:symbol val="none"/>
        </c:marker>
      </c:pivotFmt>
      <c:pivotFmt>
        <c:idx val="4"/>
        <c:spPr>
          <a:solidFill>
            <a:srgbClr val="C1D327"/>
          </a:solidFill>
        </c:spPr>
        <c:marker>
          <c:symbol val="none"/>
        </c:marker>
      </c:pivotFmt>
      <c:pivotFmt>
        <c:idx val="5"/>
        <c:spPr>
          <a:solidFill>
            <a:srgbClr val="3A5C18">
              <a:alpha val="59000"/>
            </a:srgbClr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Pivots!$F$3:$F$4</c:f>
              <c:strCache>
                <c:ptCount val="1"/>
                <c:pt idx="0">
                  <c:v>Delivered Impressions</c:v>
                </c:pt>
              </c:strCache>
            </c:strRef>
          </c:tx>
          <c:spPr>
            <a:solidFill>
              <a:srgbClr val="C1D327"/>
            </a:solidFill>
          </c:spPr>
          <c:invertIfNegative val="0"/>
          <c:cat>
            <c:strRef>
              <c:f>Pivots!$E$5:$E$15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Pivots!$F$5:$F$15</c:f>
              <c:numCache>
                <c:formatCode>General</c:formatCode>
                <c:ptCount val="10"/>
                <c:pt idx="0">
                  <c:v>2281933</c:v>
                </c:pt>
                <c:pt idx="1">
                  <c:v>586795</c:v>
                </c:pt>
                <c:pt idx="2">
                  <c:v>563865</c:v>
                </c:pt>
                <c:pt idx="3">
                  <c:v>801012</c:v>
                </c:pt>
                <c:pt idx="4">
                  <c:v>563865</c:v>
                </c:pt>
                <c:pt idx="5">
                  <c:v>563865</c:v>
                </c:pt>
                <c:pt idx="6">
                  <c:v>787878</c:v>
                </c:pt>
                <c:pt idx="7">
                  <c:v>98988</c:v>
                </c:pt>
                <c:pt idx="8">
                  <c:v>98988</c:v>
                </c:pt>
                <c:pt idx="9">
                  <c:v>98988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274447360"/>
        <c:axId val="274449152"/>
      </c:barChart>
      <c:barChart>
        <c:barDir val="col"/>
        <c:grouping val="clustered"/>
        <c:varyColors val="0"/>
        <c:ser>
          <c:idx val="1"/>
          <c:order val="1"/>
          <c:tx>
            <c:strRef>
              <c:f>Pivots!$G$3:$G$4</c:f>
              <c:strCache>
                <c:ptCount val="1"/>
                <c:pt idx="0">
                  <c:v>Unique Impressions</c:v>
                </c:pt>
              </c:strCache>
            </c:strRef>
          </c:tx>
          <c:spPr>
            <a:solidFill>
              <a:srgbClr val="3A5C18">
                <a:alpha val="59000"/>
              </a:srgbClr>
            </a:solidFill>
          </c:spPr>
          <c:invertIfNegative val="0"/>
          <c:cat>
            <c:strRef>
              <c:f>Pivots!$E$5:$E$15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Pivots!$G$5:$G$15</c:f>
              <c:numCache>
                <c:formatCode>General</c:formatCode>
                <c:ptCount val="10"/>
                <c:pt idx="0">
                  <c:v>432914</c:v>
                </c:pt>
                <c:pt idx="1">
                  <c:v>174130</c:v>
                </c:pt>
                <c:pt idx="2">
                  <c:v>287666</c:v>
                </c:pt>
                <c:pt idx="3">
                  <c:v>140471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4451072"/>
        <c:axId val="274452864"/>
      </c:barChart>
      <c:catAx>
        <c:axId val="27444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449152"/>
        <c:crosses val="autoZero"/>
        <c:auto val="0"/>
        <c:lblAlgn val="ctr"/>
        <c:lblOffset val="100"/>
        <c:noMultiLvlLbl val="0"/>
      </c:catAx>
      <c:valAx>
        <c:axId val="274449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333333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Title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447360"/>
        <c:crosses val="autoZero"/>
        <c:crossBetween val="between"/>
      </c:valAx>
      <c:catAx>
        <c:axId val="274451072"/>
        <c:scaling>
          <c:orientation val="minMax"/>
        </c:scaling>
        <c:delete val="1"/>
        <c:axPos val="b"/>
        <c:majorTickMark val="out"/>
        <c:minorTickMark val="none"/>
        <c:tickLblPos val="nextTo"/>
        <c:crossAx val="274452864"/>
        <c:crosses val="autoZero"/>
        <c:auto val="0"/>
        <c:lblAlgn val="ctr"/>
        <c:lblOffset val="100"/>
        <c:noMultiLvlLbl val="0"/>
      </c:catAx>
      <c:valAx>
        <c:axId val="274452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333333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Title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451072"/>
        <c:crosses val="max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[Advanced Campaign Report.xlsm]Pivots!PivotTable4</c:name>
    <c:fmtId val="5"/>
  </c:pivotSource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Language Performance by CTR (%)</a:t>
            </a:r>
          </a:p>
        </c:rich>
      </c:tx>
      <c:layout>
        <c:manualLayout>
          <c:xMode val="edge"/>
          <c:yMode val="edge"/>
          <c:x val="0.22182559117909303"/>
          <c:y val="9.1470937927630846E-3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900" b="0" i="0" u="none" strike="noStrike" baseline="0">
                  <a:solidFill>
                    <a:srgbClr val="000000"/>
                  </a:solidFill>
                  <a:latin typeface="Corbel"/>
                  <a:ea typeface="Corbel"/>
                  <a:cs typeface="Corbel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"/>
      </c:pivotFmt>
      <c:pivotFmt>
        <c:idx val="2"/>
      </c:pivotFmt>
    </c:pivotFmts>
    <c:plotArea>
      <c:layout/>
      <c:doughnutChart>
        <c:varyColors val="1"/>
        <c:ser>
          <c:idx val="1"/>
          <c:order val="0"/>
          <c:tx>
            <c:strRef>
              <c:f>Pivots!$O$3:$O$4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</c:dPt>
          <c:dPt>
            <c:idx val="1"/>
            <c:bubble3D val="0"/>
          </c:dPt>
          <c:dLbls>
            <c:spPr/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orbel"/>
                    <a:ea typeface="Corbel"/>
                    <a:cs typeface="Corbe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Pivots!$N$5:$N$9</c:f>
              <c:strCache>
                <c:ptCount val="4"/>
                <c:pt idx="0">
                  <c:v>AR</c:v>
                </c:pt>
                <c:pt idx="1">
                  <c:v>EN</c:v>
                </c:pt>
                <c:pt idx="2">
                  <c:v>te</c:v>
                </c:pt>
                <c:pt idx="3">
                  <c:v>60</c:v>
                </c:pt>
              </c:strCache>
            </c:strRef>
          </c:cat>
          <c:val>
            <c:numRef>
              <c:f>Pivots!$O$5:$O$9</c:f>
              <c:numCache>
                <c:formatCode>0.00%</c:formatCode>
                <c:ptCount val="4"/>
                <c:pt idx="0">
                  <c:v>1.7511472752753366E-3</c:v>
                </c:pt>
                <c:pt idx="1">
                  <c:v>1.7388707072203225E-3</c:v>
                </c:pt>
                <c:pt idx="2">
                  <c:v>1.4433047474917324E-3</c:v>
                </c:pt>
                <c:pt idx="3">
                  <c:v>2.5706940874035988E-3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5255774012202059"/>
          <c:y val="0.42123358109746412"/>
          <c:w val="0.1226996315416338"/>
          <c:h val="0.15410984674297468"/>
        </c:manualLayout>
      </c:layout>
      <c:overlay val="0"/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pivotSource>
    <c:name>[Advanced Campaign Report.xlsm]Pivots!PivotTable6</c:name>
    <c:fmtId val="2"/>
  </c:pivotSource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Geo Performance by CTR (%)</a:t>
            </a:r>
          </a:p>
        </c:rich>
      </c:tx>
      <c:layout>
        <c:manualLayout>
          <c:xMode val="edge"/>
          <c:yMode val="edge"/>
          <c:x val="0.23409615464733574"/>
          <c:y val="0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Pivots!$X$2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Pivots!$W$3:$W$7</c:f>
              <c:strCache>
                <c:ptCount val="4"/>
                <c:pt idx="0">
                  <c:v>Kuwait</c:v>
                </c:pt>
                <c:pt idx="1">
                  <c:v>Qatar</c:v>
                </c:pt>
                <c:pt idx="2">
                  <c:v>Saudi Arabia</c:v>
                </c:pt>
                <c:pt idx="3">
                  <c:v>United Arab Emirates</c:v>
                </c:pt>
              </c:strCache>
            </c:strRef>
          </c:cat>
          <c:val>
            <c:numRef>
              <c:f>Pivots!$X$3:$X$7</c:f>
              <c:numCache>
                <c:formatCode>0.00%</c:formatCode>
                <c:ptCount val="4"/>
                <c:pt idx="0">
                  <c:v>1.5002368795072906E-3</c:v>
                </c:pt>
                <c:pt idx="1">
                  <c:v>9.8078278726208357E-4</c:v>
                </c:pt>
                <c:pt idx="2">
                  <c:v>1.6712468620417183E-3</c:v>
                </c:pt>
                <c:pt idx="3">
                  <c:v>9.7296602675962535E-4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33499979169268"/>
          <c:y val="0.31228180687940327"/>
          <c:w val="0.1666650002083073"/>
          <c:h val="0.49195826131489662"/>
        </c:manualLayout>
      </c:layout>
      <c:overlay val="0"/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[Advanced Campaign Report.xlsm]Pivots!PivotTable1</c:name>
    <c:fmtId val="0"/>
  </c:pivotSource>
  <c:chart>
    <c:title>
      <c:tx>
        <c:rich>
          <a:bodyPr/>
          <a:lstStyle/>
          <a:p>
            <a:pPr>
              <a:defRPr sz="96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Site Performance by CTR (%)</a:t>
            </a:r>
          </a:p>
        </c:rich>
      </c:tx>
      <c:layout/>
      <c:overlay val="0"/>
    </c:title>
    <c:autoTitleDeleted val="0"/>
    <c:pivotFmts>
      <c:pivotFmt>
        <c:idx val="0"/>
        <c:spPr>
          <a:solidFill>
            <a:schemeClr val="accent3">
              <a:lumMod val="75000"/>
            </a:schemeClr>
          </a:solidFill>
        </c:spPr>
        <c:marker>
          <c:symbol val="none"/>
        </c:marker>
      </c:pivotFmt>
      <c:pivotFmt>
        <c:idx val="1"/>
        <c:spPr>
          <a:ln>
            <a:solidFill>
              <a:srgbClr val="C1D327"/>
            </a:solidFill>
          </a:ln>
        </c:spPr>
        <c:marker>
          <c:spPr>
            <a:ln>
              <a:solidFill>
                <a:srgbClr val="C1D327"/>
              </a:solidFill>
            </a:ln>
          </c:spPr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Pivots!$B$3:$B$4</c:f>
              <c:strCache>
                <c:ptCount val="1"/>
                <c:pt idx="0">
                  <c:v>Delivered Impressions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strRef>
              <c:f>Pivots!$A$5:$A$15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Pivots!$B$5:$B$15</c:f>
              <c:numCache>
                <c:formatCode>General</c:formatCode>
                <c:ptCount val="10"/>
                <c:pt idx="0">
                  <c:v>2281933</c:v>
                </c:pt>
                <c:pt idx="1">
                  <c:v>586795</c:v>
                </c:pt>
                <c:pt idx="2">
                  <c:v>563865</c:v>
                </c:pt>
                <c:pt idx="3">
                  <c:v>801012</c:v>
                </c:pt>
                <c:pt idx="4">
                  <c:v>563865</c:v>
                </c:pt>
                <c:pt idx="5">
                  <c:v>563865</c:v>
                </c:pt>
                <c:pt idx="6">
                  <c:v>787878</c:v>
                </c:pt>
                <c:pt idx="7">
                  <c:v>98988</c:v>
                </c:pt>
                <c:pt idx="8">
                  <c:v>98988</c:v>
                </c:pt>
                <c:pt idx="9">
                  <c:v>98988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7"/>
        <c:overlap val="69"/>
        <c:axId val="273817600"/>
        <c:axId val="273819136"/>
      </c:barChart>
      <c:lineChart>
        <c:grouping val="standard"/>
        <c:varyColors val="0"/>
        <c:ser>
          <c:idx val="1"/>
          <c:order val="1"/>
          <c:tx>
            <c:strRef>
              <c:f>Pivots!$C$3:$C$4</c:f>
              <c:strCache>
                <c:ptCount val="1"/>
                <c:pt idx="0">
                  <c:v>CTR </c:v>
                </c:pt>
              </c:strCache>
            </c:strRef>
          </c:tx>
          <c:spPr>
            <a:ln>
              <a:solidFill>
                <a:srgbClr val="C1D327"/>
              </a:solidFill>
            </a:ln>
          </c:spPr>
          <c:marker>
            <c:spPr>
              <a:ln>
                <a:solidFill>
                  <a:srgbClr val="C1D327"/>
                </a:solidFill>
              </a:ln>
            </c:spPr>
          </c:marker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Pivots!$A$5:$A$15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Pivots!$C$5:$C$15</c:f>
              <c:numCache>
                <c:formatCode>0.00%</c:formatCode>
                <c:ptCount val="10"/>
                <c:pt idx="0">
                  <c:v>9.4043076637219413E-4</c:v>
                </c:pt>
                <c:pt idx="1">
                  <c:v>5.0613928203205544E-4</c:v>
                </c:pt>
                <c:pt idx="2">
                  <c:v>3.3660539313488157E-3</c:v>
                </c:pt>
                <c:pt idx="3">
                  <c:v>1.5230733122599911E-3</c:v>
                </c:pt>
                <c:pt idx="4">
                  <c:v>3.3660539313488157E-3</c:v>
                </c:pt>
                <c:pt idx="5">
                  <c:v>3.3660539313488157E-3</c:v>
                </c:pt>
                <c:pt idx="6">
                  <c:v>1.240039701578163E-3</c:v>
                </c:pt>
                <c:pt idx="7">
                  <c:v>9.9911100335394187E-3</c:v>
                </c:pt>
                <c:pt idx="8">
                  <c:v>9.9911100335394187E-3</c:v>
                </c:pt>
                <c:pt idx="9">
                  <c:v>9.9911100335394187E-3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821056"/>
        <c:axId val="273835136"/>
      </c:lineChart>
      <c:catAx>
        <c:axId val="27381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3819136"/>
        <c:crosses val="autoZero"/>
        <c:auto val="0"/>
        <c:lblAlgn val="ctr"/>
        <c:lblOffset val="100"/>
        <c:noMultiLvlLbl val="0"/>
      </c:catAx>
      <c:valAx>
        <c:axId val="2738191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333333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Impressions Delivered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3817600"/>
        <c:crosses val="autoZero"/>
        <c:crossBetween val="between"/>
      </c:valAx>
      <c:catAx>
        <c:axId val="273821056"/>
        <c:scaling>
          <c:orientation val="minMax"/>
        </c:scaling>
        <c:delete val="1"/>
        <c:axPos val="b"/>
        <c:majorTickMark val="out"/>
        <c:minorTickMark val="none"/>
        <c:tickLblPos val="nextTo"/>
        <c:crossAx val="273835136"/>
        <c:crosses val="autoZero"/>
        <c:auto val="0"/>
        <c:lblAlgn val="ctr"/>
        <c:lblOffset val="100"/>
        <c:noMultiLvlLbl val="0"/>
      </c:catAx>
      <c:valAx>
        <c:axId val="2738351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73821056"/>
        <c:crosses val="max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[Advanced Campaign Report.xlsm]Pivots!PivotTable2</c:name>
    <c:fmtId val="0"/>
  </c:pivotSource>
  <c:chart>
    <c:title>
      <c:tx>
        <c:rich>
          <a:bodyPr/>
          <a:lstStyle/>
          <a:p>
            <a:pPr>
              <a:defRPr sz="96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Delivered Impressions Vs. Unique Impressions</a:t>
            </a:r>
          </a:p>
        </c:rich>
      </c:tx>
      <c:layout/>
      <c:overlay val="0"/>
    </c:title>
    <c:autoTitleDeleted val="0"/>
    <c:pivotFmts>
      <c:pivotFmt>
        <c:idx val="0"/>
        <c:spPr>
          <a:solidFill>
            <a:srgbClr val="C1D327"/>
          </a:solidFill>
        </c:spPr>
        <c:marker>
          <c:symbol val="none"/>
        </c:marker>
      </c:pivotFmt>
      <c:pivotFmt>
        <c:idx val="1"/>
        <c:spPr>
          <a:solidFill>
            <a:srgbClr val="3A5C18">
              <a:alpha val="59000"/>
            </a:srgbClr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Pivots!$F$3:$F$4</c:f>
              <c:strCache>
                <c:ptCount val="1"/>
                <c:pt idx="0">
                  <c:v>Delivered Impressions</c:v>
                </c:pt>
              </c:strCache>
            </c:strRef>
          </c:tx>
          <c:spPr>
            <a:solidFill>
              <a:srgbClr val="C1D327"/>
            </a:solidFill>
          </c:spPr>
          <c:invertIfNegative val="0"/>
          <c:cat>
            <c:strRef>
              <c:f>Pivots!$E$5:$E$15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Pivots!$F$5:$F$15</c:f>
              <c:numCache>
                <c:formatCode>General</c:formatCode>
                <c:ptCount val="10"/>
                <c:pt idx="0">
                  <c:v>2281933</c:v>
                </c:pt>
                <c:pt idx="1">
                  <c:v>586795</c:v>
                </c:pt>
                <c:pt idx="2">
                  <c:v>563865</c:v>
                </c:pt>
                <c:pt idx="3">
                  <c:v>801012</c:v>
                </c:pt>
                <c:pt idx="4">
                  <c:v>563865</c:v>
                </c:pt>
                <c:pt idx="5">
                  <c:v>563865</c:v>
                </c:pt>
                <c:pt idx="6">
                  <c:v>787878</c:v>
                </c:pt>
                <c:pt idx="7">
                  <c:v>98988</c:v>
                </c:pt>
                <c:pt idx="8">
                  <c:v>98988</c:v>
                </c:pt>
                <c:pt idx="9">
                  <c:v>98988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275253888"/>
        <c:axId val="275255680"/>
      </c:barChart>
      <c:barChart>
        <c:barDir val="col"/>
        <c:grouping val="clustered"/>
        <c:varyColors val="0"/>
        <c:ser>
          <c:idx val="1"/>
          <c:order val="1"/>
          <c:tx>
            <c:strRef>
              <c:f>Pivots!$G$3:$G$4</c:f>
              <c:strCache>
                <c:ptCount val="1"/>
                <c:pt idx="0">
                  <c:v>Unique Impressions</c:v>
                </c:pt>
              </c:strCache>
            </c:strRef>
          </c:tx>
          <c:spPr>
            <a:solidFill>
              <a:srgbClr val="3A5C18">
                <a:alpha val="59000"/>
              </a:srgbClr>
            </a:solidFill>
          </c:spPr>
          <c:invertIfNegative val="0"/>
          <c:cat>
            <c:strRef>
              <c:f>Pivots!$E$5:$E$15</c:f>
              <c:strCache>
                <c:ptCount val="10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  <c:pt idx="3">
                  <c:v>DotMena.com</c:v>
                </c:pt>
                <c:pt idx="4">
                  <c:v>InMobi</c:v>
                </c:pt>
                <c:pt idx="5">
                  <c:v>Yahoo Mobile</c:v>
                </c:pt>
                <c:pt idx="6">
                  <c:v>EmailCiti</c:v>
                </c:pt>
                <c:pt idx="7">
                  <c:v>Arabian Business</c:v>
                </c:pt>
                <c:pt idx="8">
                  <c:v>Google Display Network</c:v>
                </c:pt>
                <c:pt idx="9">
                  <c:v>Search</c:v>
                </c:pt>
              </c:strCache>
            </c:strRef>
          </c:cat>
          <c:val>
            <c:numRef>
              <c:f>Pivots!$G$5:$G$15</c:f>
              <c:numCache>
                <c:formatCode>General</c:formatCode>
                <c:ptCount val="10"/>
                <c:pt idx="0">
                  <c:v>432914</c:v>
                </c:pt>
                <c:pt idx="1">
                  <c:v>174130</c:v>
                </c:pt>
                <c:pt idx="2">
                  <c:v>287666</c:v>
                </c:pt>
                <c:pt idx="3">
                  <c:v>140471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5257216"/>
        <c:axId val="275258752"/>
      </c:barChart>
      <c:catAx>
        <c:axId val="275253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255680"/>
        <c:crosses val="autoZero"/>
        <c:auto val="0"/>
        <c:lblAlgn val="ctr"/>
        <c:lblOffset val="100"/>
        <c:noMultiLvlLbl val="0"/>
      </c:catAx>
      <c:valAx>
        <c:axId val="275255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253888"/>
        <c:crosses val="autoZero"/>
        <c:crossBetween val="between"/>
      </c:valAx>
      <c:catAx>
        <c:axId val="275257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75258752"/>
        <c:crosses val="autoZero"/>
        <c:auto val="0"/>
        <c:lblAlgn val="ctr"/>
        <c:lblOffset val="100"/>
        <c:noMultiLvlLbl val="0"/>
      </c:catAx>
      <c:valAx>
        <c:axId val="275258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257216"/>
        <c:crosses val="max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[Advanced Campaign Report.xlsm]Pivots!PivotTable3</c:name>
    <c:fmtId val="1"/>
  </c:pivotSource>
  <c:chart>
    <c:title>
      <c:tx>
        <c:rich>
          <a:bodyPr/>
          <a:lstStyle/>
          <a:p>
            <a:pPr>
              <a:defRPr sz="960" b="1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Ad Unit Performance by CTR (%)</a:t>
            </a:r>
          </a:p>
        </c:rich>
      </c:tx>
      <c:layout>
        <c:manualLayout>
          <c:xMode val="edge"/>
          <c:yMode val="edge"/>
          <c:x val="0.32518753320487509"/>
          <c:y val="0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>
            <a:solidFill>
              <a:srgbClr val="C1D327"/>
            </a:solidFill>
          </a:ln>
        </c:spPr>
        <c:marker>
          <c:spPr>
            <a:solidFill>
              <a:srgbClr val="C1D327"/>
            </a:solidFill>
          </c:spPr>
        </c:marker>
        <c:dLbl>
          <c:idx val="0"/>
          <c:spPr/>
          <c:txPr>
            <a:bodyPr/>
            <a:lstStyle/>
            <a:p>
              <a:pPr>
                <a:defRPr sz="800" b="0" i="0" u="none" strike="noStrike" baseline="0">
                  <a:solidFill>
                    <a:srgbClr val="000000"/>
                  </a:solidFill>
                  <a:latin typeface="Corbel"/>
                  <a:ea typeface="Corbel"/>
                  <a:cs typeface="Corbel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Pivots!$K$3:$K$4</c:f>
              <c:strCache>
                <c:ptCount val="1"/>
                <c:pt idx="0">
                  <c:v>Impressions Delivered</c:v>
                </c:pt>
              </c:strCache>
            </c:strRef>
          </c:tx>
          <c:invertIfNegative val="0"/>
          <c:cat>
            <c:strRef>
              <c:f>Pivots!$J$5:$J$10</c:f>
              <c:strCache>
                <c:ptCount val="5"/>
                <c:pt idx="0">
                  <c:v>728x90</c:v>
                </c:pt>
                <c:pt idx="1">
                  <c:v>468x60</c:v>
                </c:pt>
                <c:pt idx="2">
                  <c:v>300x600</c:v>
                </c:pt>
                <c:pt idx="3">
                  <c:v>300x250</c:v>
                </c:pt>
                <c:pt idx="4">
                  <c:v>160x600</c:v>
                </c:pt>
              </c:strCache>
            </c:strRef>
          </c:cat>
          <c:val>
            <c:numRef>
              <c:f>Pivots!$K$5:$K$10</c:f>
              <c:numCache>
                <c:formatCode>General</c:formatCode>
                <c:ptCount val="5"/>
                <c:pt idx="0">
                  <c:v>6181053</c:v>
                </c:pt>
                <c:pt idx="1">
                  <c:v>778</c:v>
                </c:pt>
                <c:pt idx="2">
                  <c:v>7</c:v>
                </c:pt>
                <c:pt idx="3">
                  <c:v>6050968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"/>
        <c:overlap val="81"/>
        <c:axId val="274756352"/>
        <c:axId val="274757888"/>
      </c:barChart>
      <c:lineChart>
        <c:grouping val="standard"/>
        <c:varyColors val="0"/>
        <c:ser>
          <c:idx val="1"/>
          <c:order val="1"/>
          <c:tx>
            <c:strRef>
              <c:f>Pivots!$L$3:$L$4</c:f>
              <c:strCache>
                <c:ptCount val="1"/>
                <c:pt idx="0">
                  <c:v>CTR </c:v>
                </c:pt>
              </c:strCache>
            </c:strRef>
          </c:tx>
          <c:spPr>
            <a:ln>
              <a:solidFill>
                <a:srgbClr val="C1D327"/>
              </a:solidFill>
            </a:ln>
          </c:spPr>
          <c:marker>
            <c:spPr>
              <a:solidFill>
                <a:srgbClr val="C1D327"/>
              </a:solidFill>
            </c:spPr>
          </c:marker>
          <c:dLbls>
            <c:spPr/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orbel"/>
                    <a:ea typeface="Corbel"/>
                    <a:cs typeface="Corbe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Pivots!$J$5:$J$10</c:f>
              <c:strCache>
                <c:ptCount val="5"/>
                <c:pt idx="0">
                  <c:v>728x90</c:v>
                </c:pt>
                <c:pt idx="1">
                  <c:v>468x60</c:v>
                </c:pt>
                <c:pt idx="2">
                  <c:v>300x600</c:v>
                </c:pt>
                <c:pt idx="3">
                  <c:v>300x250</c:v>
                </c:pt>
                <c:pt idx="4">
                  <c:v>160x600</c:v>
                </c:pt>
              </c:strCache>
            </c:strRef>
          </c:cat>
          <c:val>
            <c:numRef>
              <c:f>Pivots!$L$5:$L$10</c:f>
              <c:numCache>
                <c:formatCode>0.00%</c:formatCode>
                <c:ptCount val="5"/>
                <c:pt idx="0">
                  <c:v>1.5382492271138915E-3</c:v>
                </c:pt>
                <c:pt idx="1">
                  <c:v>2.5706940874035988E-3</c:v>
                </c:pt>
                <c:pt idx="2">
                  <c:v>0</c:v>
                </c:pt>
                <c:pt idx="3">
                  <c:v>1.9583643476547884E-3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764160"/>
        <c:axId val="274765696"/>
      </c:lineChart>
      <c:catAx>
        <c:axId val="27475635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757888"/>
        <c:crosses val="autoZero"/>
        <c:auto val="1"/>
        <c:lblAlgn val="ctr"/>
        <c:lblOffset val="100"/>
        <c:noMultiLvlLbl val="0"/>
      </c:catAx>
      <c:valAx>
        <c:axId val="2747578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90000"/>
                </a:schemeClr>
              </a:solidFill>
              <a:prstDash val="sysDash"/>
            </a:ln>
          </c:spPr>
        </c:majorGridlines>
        <c:minorGridlines>
          <c:spPr>
            <a:ln>
              <a:solidFill>
                <a:schemeClr val="tx1">
                  <a:tint val="50000"/>
                  <a:shade val="95000"/>
                  <a:satMod val="105000"/>
                  <a:alpha val="80000"/>
                </a:schemeClr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Impressions</a:t>
                </a:r>
                <a:r>
                  <a:rPr lang="en-IN" baseline="0"/>
                  <a:t> Delivered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1.4247283605678325E-2"/>
              <c:y val="0.1931979002624672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756352"/>
        <c:crosses val="autoZero"/>
        <c:crossBetween val="between"/>
      </c:valAx>
      <c:catAx>
        <c:axId val="274764160"/>
        <c:scaling>
          <c:orientation val="minMax"/>
        </c:scaling>
        <c:delete val="1"/>
        <c:axPos val="b"/>
        <c:majorTickMark val="out"/>
        <c:minorTickMark val="none"/>
        <c:tickLblPos val="nextTo"/>
        <c:crossAx val="274765696"/>
        <c:crosses val="autoZero"/>
        <c:auto val="1"/>
        <c:lblAlgn val="ctr"/>
        <c:lblOffset val="100"/>
        <c:noMultiLvlLbl val="0"/>
      </c:catAx>
      <c:valAx>
        <c:axId val="274765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CTR %</a:t>
                </a:r>
              </a:p>
            </c:rich>
          </c:tx>
          <c:layout>
            <c:manualLayout>
              <c:xMode val="edge"/>
              <c:yMode val="edge"/>
              <c:x val="0.95004123351650538"/>
              <c:y val="0.36561801302614949"/>
            </c:manualLayout>
          </c:layout>
          <c:overlay val="0"/>
        </c:title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4764160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[Advanced Campaign Report.xlsm]Pivots!PivotTable7</c:name>
    <c:fmtId val="1"/>
  </c:pivotSource>
  <c:chart>
    <c:title>
      <c:tx>
        <c:rich>
          <a:bodyPr/>
          <a:lstStyle/>
          <a:p>
            <a:pPr>
              <a:defRPr sz="96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Video Views Vs. Video Completions</a:t>
            </a:r>
          </a:p>
        </c:rich>
      </c:tx>
      <c:layout>
        <c:manualLayout>
          <c:xMode val="edge"/>
          <c:yMode val="edge"/>
          <c:x val="0.25972736565824006"/>
          <c:y val="1.5552118485189351E-2"/>
        </c:manualLayout>
      </c:layout>
      <c:overlay val="0"/>
    </c:title>
    <c:autoTitleDeleted val="0"/>
    <c:pivotFmts>
      <c:pivotFmt>
        <c:idx val="0"/>
        <c:spPr>
          <a:solidFill>
            <a:srgbClr val="C1D327"/>
          </a:solidFill>
        </c:spPr>
        <c:marker>
          <c:symbol val="none"/>
        </c:marker>
      </c:pivotFmt>
      <c:pivotFmt>
        <c:idx val="1"/>
        <c:spPr>
          <a:solidFill>
            <a:srgbClr val="3A5C18">
              <a:alpha val="59000"/>
            </a:srgbClr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Pivots!$AA$3:$AA$4</c:f>
              <c:strCache>
                <c:ptCount val="1"/>
                <c:pt idx="0">
                  <c:v>Video Plays </c:v>
                </c:pt>
              </c:strCache>
            </c:strRef>
          </c:tx>
          <c:spPr>
            <a:solidFill>
              <a:srgbClr val="C1D327"/>
            </a:solidFill>
          </c:spPr>
          <c:invertIfNegative val="0"/>
          <c:cat>
            <c:strRef>
              <c:f>Pivots!$Z$5:$Z$8</c:f>
              <c:strCache>
                <c:ptCount val="3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</c:strCache>
            </c:strRef>
          </c:cat>
          <c:val>
            <c:numRef>
              <c:f>Pivots!$AA$5:$AA$8</c:f>
              <c:numCache>
                <c:formatCode>General</c:formatCode>
                <c:ptCount val="3"/>
                <c:pt idx="0">
                  <c:v>228759</c:v>
                </c:pt>
                <c:pt idx="1">
                  <c:v>380469</c:v>
                </c:pt>
                <c:pt idx="2">
                  <c:v>273689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275350656"/>
        <c:axId val="275352192"/>
      </c:barChart>
      <c:barChart>
        <c:barDir val="col"/>
        <c:grouping val="clustered"/>
        <c:varyColors val="0"/>
        <c:ser>
          <c:idx val="1"/>
          <c:order val="1"/>
          <c:tx>
            <c:strRef>
              <c:f>Pivots!$AB$3:$AB$4</c:f>
              <c:strCache>
                <c:ptCount val="1"/>
                <c:pt idx="0">
                  <c:v>Video Completions </c:v>
                </c:pt>
              </c:strCache>
            </c:strRef>
          </c:tx>
          <c:spPr>
            <a:solidFill>
              <a:srgbClr val="3A5C18">
                <a:alpha val="59000"/>
              </a:srgbClr>
            </a:solidFill>
          </c:spPr>
          <c:invertIfNegative val="0"/>
          <c:cat>
            <c:strRef>
              <c:f>Pivots!$Z$5:$Z$8</c:f>
              <c:strCache>
                <c:ptCount val="3"/>
                <c:pt idx="0">
                  <c:v>IKOO Network</c:v>
                </c:pt>
                <c:pt idx="1">
                  <c:v>Kooora</c:v>
                </c:pt>
                <c:pt idx="2">
                  <c:v>Yahoo Maktoob!</c:v>
                </c:pt>
              </c:strCache>
            </c:strRef>
          </c:cat>
          <c:val>
            <c:numRef>
              <c:f>Pivots!$AB$5:$AB$8</c:f>
              <c:numCache>
                <c:formatCode>General</c:formatCode>
                <c:ptCount val="3"/>
                <c:pt idx="0">
                  <c:v>146401</c:v>
                </c:pt>
                <c:pt idx="1">
                  <c:v>213201</c:v>
                </c:pt>
                <c:pt idx="2">
                  <c:v>147827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5353984"/>
        <c:axId val="275355520"/>
      </c:barChart>
      <c:catAx>
        <c:axId val="27535065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352192"/>
        <c:crosses val="autoZero"/>
        <c:auto val="1"/>
        <c:lblAlgn val="ctr"/>
        <c:lblOffset val="100"/>
        <c:noMultiLvlLbl val="0"/>
      </c:catAx>
      <c:valAx>
        <c:axId val="2753521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350656"/>
        <c:crosses val="autoZero"/>
        <c:crossBetween val="between"/>
      </c:valAx>
      <c:catAx>
        <c:axId val="275353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75355520"/>
        <c:crosses val="autoZero"/>
        <c:auto val="1"/>
        <c:lblAlgn val="ctr"/>
        <c:lblOffset val="100"/>
        <c:noMultiLvlLbl val="0"/>
      </c:catAx>
      <c:valAx>
        <c:axId val="275355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353984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[Advanced Campaign Report.xlsm]Pivots!PivotTable4</c:name>
    <c:fmtId val="0"/>
  </c:pivotSource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Language Performance by CTR (%)</a:t>
            </a:r>
          </a:p>
        </c:rich>
      </c:tx>
      <c:layout>
        <c:manualLayout>
          <c:xMode val="edge"/>
          <c:yMode val="edge"/>
          <c:x val="0.22182559117909303"/>
          <c:y val="9.1470937927630846E-3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900" b="0" i="0" u="none" strike="noStrike" baseline="0">
                  <a:solidFill>
                    <a:srgbClr val="000000"/>
                  </a:solidFill>
                  <a:latin typeface="Corbel"/>
                  <a:ea typeface="Corbel"/>
                  <a:cs typeface="Corbel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</c:dLbl>
      </c:pivotFmt>
      <c:pivotFmt>
        <c:idx val="1"/>
      </c:pivotFmt>
      <c:pivotFmt>
        <c:idx val="2"/>
      </c:pivotFmt>
    </c:pivotFmts>
    <c:plotArea>
      <c:layout/>
      <c:doughnutChart>
        <c:varyColors val="1"/>
        <c:ser>
          <c:idx val="1"/>
          <c:order val="0"/>
          <c:tx>
            <c:strRef>
              <c:f>Pivots!$O$3:$O$4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</c:dPt>
          <c:dPt>
            <c:idx val="1"/>
            <c:bubble3D val="0"/>
          </c:dPt>
          <c:dLbls>
            <c:spPr/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Corbel"/>
                    <a:ea typeface="Corbel"/>
                    <a:cs typeface="Corbe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cat>
            <c:strRef>
              <c:f>Pivots!$N$5:$N$9</c:f>
              <c:strCache>
                <c:ptCount val="4"/>
                <c:pt idx="0">
                  <c:v>AR</c:v>
                </c:pt>
                <c:pt idx="1">
                  <c:v>EN</c:v>
                </c:pt>
                <c:pt idx="2">
                  <c:v>te</c:v>
                </c:pt>
                <c:pt idx="3">
                  <c:v>60</c:v>
                </c:pt>
              </c:strCache>
            </c:strRef>
          </c:cat>
          <c:val>
            <c:numRef>
              <c:f>Pivots!$O$5:$O$9</c:f>
              <c:numCache>
                <c:formatCode>0.00%</c:formatCode>
                <c:ptCount val="4"/>
                <c:pt idx="0">
                  <c:v>1.7511472752753366E-3</c:v>
                </c:pt>
                <c:pt idx="1">
                  <c:v>1.7388707072203225E-3</c:v>
                </c:pt>
                <c:pt idx="2">
                  <c:v>1.4433047474917324E-3</c:v>
                </c:pt>
                <c:pt idx="3">
                  <c:v>2.5706940874035988E-3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5255774012202059"/>
          <c:y val="0.42123358109746412"/>
          <c:w val="0.1226996315416338"/>
          <c:h val="0.15410984674297468"/>
        </c:manualLayout>
      </c:layout>
      <c:overlay val="0"/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pivotSource>
    <c:name>[Advanced Campaign Report.xlsm]Pivots!PivotTable6</c:name>
    <c:fmtId val="0"/>
  </c:pivotSource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Geo Performance by CTR (%)</a:t>
            </a:r>
          </a:p>
        </c:rich>
      </c:tx>
      <c:layout>
        <c:manualLayout>
          <c:xMode val="edge"/>
          <c:yMode val="edge"/>
          <c:x val="0.23409615464733574"/>
          <c:y val="0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Pivots!$X$2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Pivots!$W$3:$W$7</c:f>
              <c:strCache>
                <c:ptCount val="4"/>
                <c:pt idx="0">
                  <c:v>Kuwait</c:v>
                </c:pt>
                <c:pt idx="1">
                  <c:v>Qatar</c:v>
                </c:pt>
                <c:pt idx="2">
                  <c:v>Saudi Arabia</c:v>
                </c:pt>
                <c:pt idx="3">
                  <c:v>United Arab Emirates</c:v>
                </c:pt>
              </c:strCache>
            </c:strRef>
          </c:cat>
          <c:val>
            <c:numRef>
              <c:f>Pivots!$X$3:$X$7</c:f>
              <c:numCache>
                <c:formatCode>0.00%</c:formatCode>
                <c:ptCount val="4"/>
                <c:pt idx="0">
                  <c:v>1.5002368795072906E-3</c:v>
                </c:pt>
                <c:pt idx="1">
                  <c:v>9.8078278726208357E-4</c:v>
                </c:pt>
                <c:pt idx="2">
                  <c:v>1.6712468620417183E-3</c:v>
                </c:pt>
                <c:pt idx="3">
                  <c:v>9.7296602675962535E-4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33499979169268"/>
          <c:y val="0.31228180687940327"/>
          <c:w val="0.1666650002083073"/>
          <c:h val="0.49195826131489662"/>
        </c:manualLayout>
      </c:layout>
      <c:overlay val="0"/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zero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lrMapOvr bg1="lt1" tx1="dk1" bg2="lt2" tx2="dk2" accent1="accent1" accent2="accent2" accent3="accent3" accent4="accent4" accent5="accent5" accent6="accent6" hlink="hlink" folHlink="folHlink"/>
  <c:pivotSource>
    <c:name>[Advanced Campaign Report.xlsm]Pivots!PivotTable8</c:name>
    <c:fmtId val="1"/>
  </c:pivotSource>
  <c:chart>
    <c:title>
      <c:tx>
        <c:rich>
          <a:bodyPr/>
          <a:lstStyle/>
          <a:p>
            <a:pPr>
              <a:defRPr sz="960" b="1" i="0" u="none" strike="noStrike" baseline="0">
                <a:solidFill>
                  <a:srgbClr val="333333"/>
                </a:solidFill>
                <a:latin typeface="Corbel"/>
                <a:ea typeface="Corbel"/>
                <a:cs typeface="Corbel"/>
              </a:defRPr>
            </a:pPr>
            <a:r>
              <a:rPr lang="en-IN"/>
              <a:t>Clicks Vs. Conversions</a:t>
            </a:r>
          </a:p>
        </c:rich>
      </c:tx>
      <c:layout>
        <c:manualLayout>
          <c:xMode val="edge"/>
          <c:yMode val="edge"/>
          <c:x val="0.25972736565824006"/>
          <c:y val="1.5552118485189351E-2"/>
        </c:manualLayout>
      </c:layout>
      <c:overlay val="0"/>
    </c:title>
    <c:autoTitleDeleted val="0"/>
    <c:pivotFmts>
      <c:pivotFmt>
        <c:idx val="0"/>
        <c:spPr>
          <a:solidFill>
            <a:srgbClr val="C1D327"/>
          </a:solidFill>
        </c:spPr>
        <c:marker>
          <c:symbol val="none"/>
        </c:marker>
      </c:pivotFmt>
      <c:pivotFmt>
        <c:idx val="1"/>
        <c:spPr>
          <a:solidFill>
            <a:srgbClr val="3A5C18">
              <a:alpha val="59000"/>
            </a:srgbClr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Pivots!$AE$3:$AE$4</c:f>
              <c:strCache>
                <c:ptCount val="1"/>
                <c:pt idx="0">
                  <c:v>Clicks </c:v>
                </c:pt>
              </c:strCache>
            </c:strRef>
          </c:tx>
          <c:spPr>
            <a:solidFill>
              <a:srgbClr val="C1D327"/>
            </a:solidFill>
          </c:spPr>
          <c:invertIfNegative val="0"/>
          <c:cat>
            <c:strRef>
              <c:f>Pivots!$AD$5:$AD$8</c:f>
              <c:strCache>
                <c:ptCount val="3"/>
                <c:pt idx="0">
                  <c:v>GulfNews.com</c:v>
                </c:pt>
                <c:pt idx="1">
                  <c:v>ManoramaOnline</c:v>
                </c:pt>
                <c:pt idx="2">
                  <c:v>Times of India</c:v>
                </c:pt>
              </c:strCache>
            </c:strRef>
          </c:cat>
          <c:val>
            <c:numRef>
              <c:f>Pivots!$AE$5:$AE$8</c:f>
              <c:numCache>
                <c:formatCode>#,##0</c:formatCode>
                <c:ptCount val="3"/>
                <c:pt idx="0">
                  <c:v>757</c:v>
                </c:pt>
                <c:pt idx="1">
                  <c:v>954</c:v>
                </c:pt>
                <c:pt idx="2">
                  <c:v>1112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275243392"/>
        <c:axId val="275244928"/>
      </c:barChart>
      <c:barChart>
        <c:barDir val="col"/>
        <c:grouping val="clustered"/>
        <c:varyColors val="0"/>
        <c:ser>
          <c:idx val="1"/>
          <c:order val="1"/>
          <c:tx>
            <c:strRef>
              <c:f>Pivots!$AF$3:$AF$4</c:f>
              <c:strCache>
                <c:ptCount val="1"/>
                <c:pt idx="0">
                  <c:v>Total Conversions </c:v>
                </c:pt>
              </c:strCache>
            </c:strRef>
          </c:tx>
          <c:spPr>
            <a:solidFill>
              <a:srgbClr val="3A5C18">
                <a:alpha val="59000"/>
              </a:srgbClr>
            </a:solidFill>
          </c:spPr>
          <c:invertIfNegative val="0"/>
          <c:cat>
            <c:strRef>
              <c:f>Pivots!$AD$5:$AD$8</c:f>
              <c:strCache>
                <c:ptCount val="3"/>
                <c:pt idx="0">
                  <c:v>GulfNews.com</c:v>
                </c:pt>
                <c:pt idx="1">
                  <c:v>ManoramaOnline</c:v>
                </c:pt>
                <c:pt idx="2">
                  <c:v>Times of India</c:v>
                </c:pt>
              </c:strCache>
            </c:strRef>
          </c:cat>
          <c:val>
            <c:numRef>
              <c:f>Pivots!$AF$5:$AF$8</c:f>
              <c:numCache>
                <c:formatCode>#,##0</c:formatCode>
                <c:ptCount val="3"/>
                <c:pt idx="0">
                  <c:v>512</c:v>
                </c:pt>
                <c:pt idx="1">
                  <c:v>1579</c:v>
                </c:pt>
                <c:pt idx="2">
                  <c:v>829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6103168"/>
        <c:axId val="276104704"/>
      </c:barChart>
      <c:catAx>
        <c:axId val="27524339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244928"/>
        <c:crosses val="autoZero"/>
        <c:auto val="1"/>
        <c:lblAlgn val="ctr"/>
        <c:lblOffset val="100"/>
        <c:noMultiLvlLbl val="0"/>
      </c:catAx>
      <c:valAx>
        <c:axId val="2752449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333333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Title</a:t>
                </a:r>
              </a:p>
            </c:rich>
          </c:tx>
          <c:layout>
            <c:manualLayout>
              <c:xMode val="edge"/>
              <c:yMode val="edge"/>
              <c:x val="7.3694156651471204E-3"/>
              <c:y val="0.2888568616422946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5243392"/>
        <c:crosses val="autoZero"/>
        <c:crossBetween val="between"/>
      </c:valAx>
      <c:catAx>
        <c:axId val="276103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76104704"/>
        <c:crosses val="autoZero"/>
        <c:auto val="1"/>
        <c:lblAlgn val="ctr"/>
        <c:lblOffset val="100"/>
        <c:noMultiLvlLbl val="0"/>
      </c:catAx>
      <c:valAx>
        <c:axId val="276104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333333"/>
                    </a:solidFill>
                    <a:latin typeface="Corbel"/>
                    <a:ea typeface="Corbel"/>
                    <a:cs typeface="Corbel"/>
                  </a:defRPr>
                </a:pPr>
                <a:r>
                  <a:rPr lang="en-IN"/>
                  <a:t>Title</a:t>
                </a:r>
              </a:p>
            </c:rich>
          </c:tx>
          <c:layout>
            <c:manualLayout>
              <c:xMode val="edge"/>
              <c:yMode val="edge"/>
              <c:x val="0.96127487221991992"/>
              <c:y val="0.2940405886764154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endParaRPr lang="en-US"/>
          </a:p>
        </c:txPr>
        <c:crossAx val="276103168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Corbel"/>
                <a:ea typeface="Corbel"/>
                <a:cs typeface="Corbel"/>
              </a:defRPr>
            </a:pPr>
            <a:r>
              <a:rPr lang="en-US"/>
              <a:t>Total Conversions</a:t>
            </a:r>
          </a:p>
        </c:rich>
      </c:tx>
      <c:layout>
        <c:manualLayout>
          <c:xMode val="edge"/>
          <c:yMode val="edge"/>
          <c:x val="0.27733642669666292"/>
          <c:y val="1.4981273408239701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Pivots!$AI$3:$AI$4</c:f>
              <c:strCache>
                <c:ptCount val="1"/>
                <c:pt idx="0">
                  <c:v>Total Conversions  Total</c:v>
                </c:pt>
              </c:strCache>
            </c:strRef>
          </c:tx>
          <c:dLbls>
            <c:dLbl>
              <c:idx val="0"/>
              <c:layout>
                <c:manualLayout>
                  <c:x val="1.7857142857142856E-2"/>
                  <c:y val="-2.496878901373283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19047619047618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1.498127340823970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Pivots!$AH$5:$AH$8</c:f>
              <c:strCache>
                <c:ptCount val="4"/>
                <c:pt idx="0">
                  <c:v>GulfNews.com</c:v>
                </c:pt>
                <c:pt idx="1">
                  <c:v>ManoramaOnline</c:v>
                </c:pt>
                <c:pt idx="2">
                  <c:v>Times of India</c:v>
                </c:pt>
                <c:pt idx="3">
                  <c:v>Grand Total</c:v>
                </c:pt>
              </c:strCache>
            </c:strRef>
          </c:cat>
          <c:val>
            <c:numRef>
              <c:f>Pivots!$AI$5:$AI$8</c:f>
              <c:numCache>
                <c:formatCode>#,##0</c:formatCode>
                <c:ptCount val="4"/>
                <c:pt idx="0">
                  <c:v>512</c:v>
                </c:pt>
                <c:pt idx="1">
                  <c:v>1579</c:v>
                </c:pt>
                <c:pt idx="2">
                  <c:v>829</c:v>
                </c:pt>
                <c:pt idx="3">
                  <c:v>2920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901870620586522"/>
          <c:y val="0.43445851788725232"/>
          <c:w val="0.17713981064866891"/>
          <c:h val="0.17956564252997786"/>
        </c:manualLayout>
      </c:layout>
      <c:overlay val="0"/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Corbel"/>
              <a:ea typeface="Corbel"/>
              <a:cs typeface="Corbel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orbel"/>
          <a:ea typeface="Corbel"/>
          <a:cs typeface="Corbe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</xdr:colOff>
      <xdr:row>12</xdr:row>
      <xdr:rowOff>85725</xdr:rowOff>
    </xdr:from>
    <xdr:to>
      <xdr:col>6</xdr:col>
      <xdr:colOff>76200</xdr:colOff>
      <xdr:row>22</xdr:row>
      <xdr:rowOff>123867</xdr:rowOff>
    </xdr:to>
    <xdr:cxnSp macro="">
      <xdr:nvCxnSpPr>
        <xdr:cNvPr id="8" name="Straight Connector 7"/>
        <xdr:cNvCxnSpPr/>
      </xdr:nvCxnSpPr>
      <xdr:spPr>
        <a:xfrm>
          <a:off x="5966460" y="5701665"/>
          <a:ext cx="15240" cy="1804035"/>
        </a:xfrm>
        <a:prstGeom prst="line">
          <a:avLst/>
        </a:prstGeom>
        <a:ln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9525</xdr:colOff>
      <xdr:row>0</xdr:row>
      <xdr:rowOff>57150</xdr:rowOff>
    </xdr:from>
    <xdr:to>
      <xdr:col>1</xdr:col>
      <xdr:colOff>495300</xdr:colOff>
      <xdr:row>2</xdr:row>
      <xdr:rowOff>171450</xdr:rowOff>
    </xdr:to>
    <xdr:pic>
      <xdr:nvPicPr>
        <xdr:cNvPr id="1598626" name="MEC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57150"/>
          <a:ext cx="4857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43815</xdr:colOff>
      <xdr:row>25</xdr:row>
      <xdr:rowOff>148590</xdr:rowOff>
    </xdr:from>
    <xdr:to>
      <xdr:col>6</xdr:col>
      <xdr:colOff>74295</xdr:colOff>
      <xdr:row>35</xdr:row>
      <xdr:rowOff>156252</xdr:rowOff>
    </xdr:to>
    <xdr:cxnSp macro="">
      <xdr:nvCxnSpPr>
        <xdr:cNvPr id="7" name="Straight Connector 6"/>
        <xdr:cNvCxnSpPr/>
      </xdr:nvCxnSpPr>
      <xdr:spPr>
        <a:xfrm>
          <a:off x="6210300" y="6783705"/>
          <a:ext cx="15240" cy="1821222"/>
        </a:xfrm>
        <a:prstGeom prst="line">
          <a:avLst/>
        </a:prstGeom>
        <a:ln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529590</xdr:colOff>
      <xdr:row>38</xdr:row>
      <xdr:rowOff>53340</xdr:rowOff>
    </xdr:from>
    <xdr:to>
      <xdr:col>8</xdr:col>
      <xdr:colOff>150500</xdr:colOff>
      <xdr:row>43</xdr:row>
      <xdr:rowOff>32464</xdr:rowOff>
    </xdr:to>
    <xdr:sp macro="" textlink="">
      <xdr:nvSpPr>
        <xdr:cNvPr id="10" name="TextBox 9"/>
        <xdr:cNvSpPr txBox="1"/>
      </xdr:nvSpPr>
      <xdr:spPr>
        <a:xfrm>
          <a:off x="4770120" y="9060180"/>
          <a:ext cx="4084320" cy="8839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IN" sz="1200" b="0"/>
            <a:t>If there is no</a:t>
          </a:r>
          <a:r>
            <a:rPr lang="en-IN" sz="1200" b="0" baseline="0"/>
            <a:t> Ad Unit Performance and Language Performance data then these graphs will show nothing, during that time if I delete the chart can I have it back when I have data available for difference campaign?</a:t>
          </a:r>
          <a:endParaRPr lang="en-IN" sz="1200" b="0"/>
        </a:p>
      </xdr:txBody>
    </xdr:sp>
    <xdr:clientData/>
  </xdr:twoCellAnchor>
  <xdr:twoCellAnchor>
    <xdr:from>
      <xdr:col>1</xdr:col>
      <xdr:colOff>295275</xdr:colOff>
      <xdr:row>12</xdr:row>
      <xdr:rowOff>47625</xdr:rowOff>
    </xdr:from>
    <xdr:to>
      <xdr:col>5</xdr:col>
      <xdr:colOff>323850</xdr:colOff>
      <xdr:row>23</xdr:row>
      <xdr:rowOff>152400</xdr:rowOff>
    </xdr:to>
    <xdr:graphicFrame macro="">
      <xdr:nvGraphicFramePr>
        <xdr:cNvPr id="1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504825</xdr:colOff>
      <xdr:row>11</xdr:row>
      <xdr:rowOff>161925</xdr:rowOff>
    </xdr:from>
    <xdr:to>
      <xdr:col>10</xdr:col>
      <xdr:colOff>323850</xdr:colOff>
      <xdr:row>23</xdr:row>
      <xdr:rowOff>66675</xdr:rowOff>
    </xdr:to>
    <xdr:graphicFrame macro="">
      <xdr:nvGraphicFramePr>
        <xdr:cNvPr id="1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581025</xdr:colOff>
      <xdr:row>25</xdr:row>
      <xdr:rowOff>57150</xdr:rowOff>
    </xdr:from>
    <xdr:to>
      <xdr:col>5</xdr:col>
      <xdr:colOff>314325</xdr:colOff>
      <xdr:row>37</xdr:row>
      <xdr:rowOff>28575</xdr:rowOff>
    </xdr:to>
    <xdr:graphicFrame macro="">
      <xdr:nvGraphicFramePr>
        <xdr:cNvPr id="1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447675</xdr:colOff>
      <xdr:row>25</xdr:row>
      <xdr:rowOff>28575</xdr:rowOff>
    </xdr:from>
    <xdr:to>
      <xdr:col>10</xdr:col>
      <xdr:colOff>542925</xdr:colOff>
      <xdr:row>36</xdr:row>
      <xdr:rowOff>66675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57150</xdr:rowOff>
    </xdr:from>
    <xdr:ext cx="485775" cy="495300"/>
    <xdr:pic>
      <xdr:nvPicPr>
        <xdr:cNvPr id="680660" name="MEC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57150"/>
          <a:ext cx="4857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142874</xdr:colOff>
      <xdr:row>40</xdr:row>
      <xdr:rowOff>180975</xdr:rowOff>
    </xdr:from>
    <xdr:ext cx="4791075" cy="2400300"/>
    <xdr:graphicFrame macro="">
      <xdr:nvGraphicFramePr>
        <xdr:cNvPr id="68066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>
    <xdr:from>
      <xdr:col>7</xdr:col>
      <xdr:colOff>419101</xdr:colOff>
      <xdr:row>40</xdr:row>
      <xdr:rowOff>114300</xdr:rowOff>
    </xdr:from>
    <xdr:to>
      <xdr:col>11</xdr:col>
      <xdr:colOff>95251</xdr:colOff>
      <xdr:row>51</xdr:row>
      <xdr:rowOff>200025</xdr:rowOff>
    </xdr:to>
    <xdr:graphicFrame macro="">
      <xdr:nvGraphicFramePr>
        <xdr:cNvPr id="68066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57150</xdr:rowOff>
    </xdr:from>
    <xdr:to>
      <xdr:col>1</xdr:col>
      <xdr:colOff>495300</xdr:colOff>
      <xdr:row>2</xdr:row>
      <xdr:rowOff>114300</xdr:rowOff>
    </xdr:to>
    <xdr:pic>
      <xdr:nvPicPr>
        <xdr:cNvPr id="2" name="MEC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57150"/>
          <a:ext cx="4857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38100</xdr:colOff>
      <xdr:row>5</xdr:row>
      <xdr:rowOff>123825</xdr:rowOff>
    </xdr:from>
    <xdr:to>
      <xdr:col>9</xdr:col>
      <xdr:colOff>85725</xdr:colOff>
      <xdr:row>15</xdr:row>
      <xdr:rowOff>114300</xdr:rowOff>
    </xdr:to>
    <xdr:graphicFrame macro="">
      <xdr:nvGraphicFramePr>
        <xdr:cNvPr id="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285750</xdr:colOff>
      <xdr:row>194</xdr:row>
      <xdr:rowOff>28575</xdr:rowOff>
    </xdr:from>
    <xdr:to>
      <xdr:col>4</xdr:col>
      <xdr:colOff>828675</xdr:colOff>
      <xdr:row>207</xdr:row>
      <xdr:rowOff>180975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57150</xdr:rowOff>
    </xdr:from>
    <xdr:to>
      <xdr:col>1</xdr:col>
      <xdr:colOff>495300</xdr:colOff>
      <xdr:row>3</xdr:row>
      <xdr:rowOff>38100</xdr:rowOff>
    </xdr:to>
    <xdr:pic>
      <xdr:nvPicPr>
        <xdr:cNvPr id="1406228" name="MEC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57150"/>
          <a:ext cx="4857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657225</xdr:colOff>
      <xdr:row>5</xdr:row>
      <xdr:rowOff>171450</xdr:rowOff>
    </xdr:from>
    <xdr:to>
      <xdr:col>9</xdr:col>
      <xdr:colOff>657225</xdr:colOff>
      <xdr:row>17</xdr:row>
      <xdr:rowOff>57150</xdr:rowOff>
    </xdr:to>
    <xdr:graphicFrame macro="">
      <xdr:nvGraphicFramePr>
        <xdr:cNvPr id="1406229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57150</xdr:rowOff>
    </xdr:from>
    <xdr:to>
      <xdr:col>1</xdr:col>
      <xdr:colOff>495300</xdr:colOff>
      <xdr:row>3</xdr:row>
      <xdr:rowOff>66675</xdr:rowOff>
    </xdr:to>
    <xdr:pic>
      <xdr:nvPicPr>
        <xdr:cNvPr id="1644575" name="MEC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57150"/>
          <a:ext cx="4857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1409700</xdr:colOff>
      <xdr:row>6</xdr:row>
      <xdr:rowOff>28575</xdr:rowOff>
    </xdr:from>
    <xdr:to>
      <xdr:col>10</xdr:col>
      <xdr:colOff>685800</xdr:colOff>
      <xdr:row>17</xdr:row>
      <xdr:rowOff>76200</xdr:rowOff>
    </xdr:to>
    <xdr:graphicFrame macro="">
      <xdr:nvGraphicFramePr>
        <xdr:cNvPr id="164457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57150</xdr:rowOff>
    </xdr:from>
    <xdr:to>
      <xdr:col>1</xdr:col>
      <xdr:colOff>495300</xdr:colOff>
      <xdr:row>2</xdr:row>
      <xdr:rowOff>171450</xdr:rowOff>
    </xdr:to>
    <xdr:pic>
      <xdr:nvPicPr>
        <xdr:cNvPr id="2" name="MEC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57150"/>
          <a:ext cx="48577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38100</xdr:colOff>
      <xdr:row>28</xdr:row>
      <xdr:rowOff>123825</xdr:rowOff>
    </xdr:from>
    <xdr:to>
      <xdr:col>4</xdr:col>
      <xdr:colOff>476250</xdr:colOff>
      <xdr:row>40</xdr:row>
      <xdr:rowOff>123825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733425</xdr:colOff>
      <xdr:row>29</xdr:row>
      <xdr:rowOff>9525</xdr:rowOff>
    </xdr:from>
    <xdr:to>
      <xdr:col>9</xdr:col>
      <xdr:colOff>857250</xdr:colOff>
      <xdr:row>42</xdr:row>
      <xdr:rowOff>76200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DOCUME~1\SACHIN~1.KUM\LOCALS~1\Temp\notes6030C8\22-07-13-Ford-EN_Masthead_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DOCUME~1\SACHIN~1.KUM\LOCALS~1\Temp\notes6030C8\01-07-13-Ford-EN_Masthead_Repo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Raw Data"/>
    </sheetNames>
    <sheetDataSet>
      <sheetData sheetId="0" refreshError="1"/>
      <sheetData sheetId="1">
        <row r="1">
          <cell r="B1" t="str">
            <v>Site Name</v>
          </cell>
          <cell r="C1" t="str">
            <v>YouTube</v>
          </cell>
        </row>
        <row r="2">
          <cell r="B2" t="str">
            <v>Advertiser Name</v>
          </cell>
          <cell r="C2" t="str">
            <v>YouTube Mastheads MENA</v>
          </cell>
        </row>
        <row r="3">
          <cell r="B3" t="str">
            <v>Campaign Name</v>
          </cell>
          <cell r="C3" t="str">
            <v>API Trafficked Masthead - UAE</v>
          </cell>
        </row>
        <row r="4">
          <cell r="B4" t="str">
            <v>Ad ID</v>
          </cell>
          <cell r="C4">
            <v>273950488</v>
          </cell>
        </row>
        <row r="5">
          <cell r="B5" t="str">
            <v>Ad Name</v>
          </cell>
          <cell r="C5" t="str">
            <v>EN - Ford Digital Campaign-api-trafficked-AE-55023907_01-07-13-Ford-EN</v>
          </cell>
        </row>
        <row r="6">
          <cell r="B6" t="str">
            <v>Creative ID</v>
          </cell>
          <cell r="C6">
            <v>55023907</v>
          </cell>
        </row>
        <row r="7">
          <cell r="B7" t="str">
            <v>Creative Name</v>
          </cell>
          <cell r="C7" t="str">
            <v>EN - Ford Digital Campaign</v>
          </cell>
        </row>
        <row r="8">
          <cell r="B8" t="str">
            <v>Creative Size</v>
          </cell>
          <cell r="C8" t="str">
            <v>970x250</v>
          </cell>
        </row>
        <row r="9">
          <cell r="B9" t="str">
            <v>Placement</v>
          </cell>
          <cell r="C9" t="str">
            <v>api-trafficked-AE-55023907_01-07-13-Ford-EN</v>
          </cell>
        </row>
        <row r="10">
          <cell r="B10" t="str">
            <v>Impressions Delivered</v>
          </cell>
          <cell r="C10">
            <v>1662502</v>
          </cell>
        </row>
        <row r="11">
          <cell r="B11" t="str">
            <v>Clicks Recorded</v>
          </cell>
          <cell r="C11">
            <v>7624</v>
          </cell>
        </row>
        <row r="12">
          <cell r="B12" t="str">
            <v>Click Rate</v>
          </cell>
          <cell r="C12">
            <v>0.46</v>
          </cell>
        </row>
        <row r="13">
          <cell r="B13" t="str">
            <v>Code Serves</v>
          </cell>
          <cell r="C13">
            <v>6</v>
          </cell>
        </row>
        <row r="14">
          <cell r="B14" t="str">
            <v>Effective CPM</v>
          </cell>
          <cell r="C14">
            <v>0</v>
          </cell>
        </row>
        <row r="15">
          <cell r="B15" t="str">
            <v>Media Cost</v>
          </cell>
          <cell r="C15">
            <v>0</v>
          </cell>
        </row>
        <row r="16">
          <cell r="B16" t="str">
            <v>Media Cost per Click</v>
          </cell>
          <cell r="C16">
            <v>0</v>
          </cell>
        </row>
        <row r="17">
          <cell r="B17" t="str">
            <v>Rich Media Average Display Time</v>
          </cell>
          <cell r="C17">
            <v>29.5</v>
          </cell>
        </row>
        <row r="18">
          <cell r="B18" t="str">
            <v>Rich Media Average Interaction Time</v>
          </cell>
          <cell r="C18">
            <v>12.7</v>
          </cell>
        </row>
        <row r="19">
          <cell r="B19" t="str">
            <v>Rich Media Backup Image</v>
          </cell>
          <cell r="C19">
            <v>76478</v>
          </cell>
        </row>
        <row r="20">
          <cell r="B20" t="str">
            <v>Rich Media Expanding Time</v>
          </cell>
          <cell r="C20">
            <v>27.12</v>
          </cell>
        </row>
        <row r="21">
          <cell r="B21" t="str">
            <v>Rich Media Expansions</v>
          </cell>
          <cell r="C21">
            <v>353</v>
          </cell>
        </row>
        <row r="22">
          <cell r="B22" t="str">
            <v>Rich Media Full Screen Average View Time</v>
          </cell>
          <cell r="C22">
            <v>0</v>
          </cell>
        </row>
        <row r="23">
          <cell r="B23" t="str">
            <v>Rich Media Full Screen Impressions</v>
          </cell>
          <cell r="C23">
            <v>0</v>
          </cell>
        </row>
        <row r="24">
          <cell r="B24" t="str">
            <v>Rich Media Full Screen Video Completes</v>
          </cell>
          <cell r="C24">
            <v>0</v>
          </cell>
        </row>
        <row r="25">
          <cell r="B25" t="str">
            <v>Rich Media Full Screen Video Plays</v>
          </cell>
          <cell r="C25">
            <v>0</v>
          </cell>
        </row>
        <row r="26">
          <cell r="B26" t="str">
            <v>Rich Media HTML5 Impressions</v>
          </cell>
          <cell r="C26">
            <v>0</v>
          </cell>
        </row>
        <row r="27">
          <cell r="B27" t="str">
            <v>Rich Media Impressions</v>
          </cell>
          <cell r="C27">
            <v>1662502</v>
          </cell>
        </row>
        <row r="28">
          <cell r="B28" t="str">
            <v>Rich Media Interaction Rate</v>
          </cell>
          <cell r="C28">
            <v>14.87</v>
          </cell>
        </row>
        <row r="29">
          <cell r="B29" t="str">
            <v>Rich Media Interactive Impressions</v>
          </cell>
          <cell r="C29">
            <v>247227</v>
          </cell>
        </row>
        <row r="30">
          <cell r="B30" t="str">
            <v>Rich Media Manual Closes</v>
          </cell>
          <cell r="C30">
            <v>30611</v>
          </cell>
        </row>
        <row r="31">
          <cell r="B31" t="str">
            <v>Rich Media Total Display Time</v>
          </cell>
          <cell r="C31">
            <v>49042272</v>
          </cell>
        </row>
        <row r="32">
          <cell r="B32" t="str">
            <v>Rich Media Total Interaction Time</v>
          </cell>
          <cell r="C32">
            <v>3139673</v>
          </cell>
        </row>
        <row r="33">
          <cell r="B33" t="str">
            <v>Rich Media Total Interactions</v>
          </cell>
          <cell r="C33">
            <v>2644333</v>
          </cell>
        </row>
        <row r="34">
          <cell r="B34" t="str">
            <v>Roadblock Impressions</v>
          </cell>
          <cell r="C34">
            <v>0</v>
          </cell>
        </row>
        <row r="35">
          <cell r="B35" t="str">
            <v>Video Companion Clicks</v>
          </cell>
          <cell r="C35">
            <v>0</v>
          </cell>
        </row>
        <row r="36">
          <cell r="B36" t="str">
            <v>Video Complete Plays</v>
          </cell>
          <cell r="C36">
            <v>0</v>
          </cell>
        </row>
        <row r="37">
          <cell r="B37" t="str">
            <v>Video First Quartile</v>
          </cell>
          <cell r="C37">
            <v>0</v>
          </cell>
        </row>
        <row r="38">
          <cell r="B38" t="str">
            <v>Video Full-Screen</v>
          </cell>
          <cell r="C38">
            <v>0</v>
          </cell>
        </row>
        <row r="39">
          <cell r="B39" t="str">
            <v>Video Interaction Rate</v>
          </cell>
          <cell r="C39">
            <v>0</v>
          </cell>
        </row>
        <row r="40">
          <cell r="B40" t="str">
            <v>Video Interactions</v>
          </cell>
          <cell r="C40">
            <v>0</v>
          </cell>
        </row>
        <row r="41">
          <cell r="B41" t="str">
            <v>Video Midpoint</v>
          </cell>
          <cell r="C41">
            <v>0</v>
          </cell>
        </row>
        <row r="42">
          <cell r="B42" t="str">
            <v>Video Mutes</v>
          </cell>
          <cell r="C42">
            <v>0</v>
          </cell>
        </row>
        <row r="43">
          <cell r="B43" t="str">
            <v>Video Pauses</v>
          </cell>
          <cell r="C43">
            <v>0</v>
          </cell>
        </row>
        <row r="44">
          <cell r="B44" t="str">
            <v>Video Plays</v>
          </cell>
          <cell r="C44">
            <v>0</v>
          </cell>
        </row>
        <row r="45">
          <cell r="B45" t="str">
            <v>Video Replays</v>
          </cell>
          <cell r="C45">
            <v>0</v>
          </cell>
        </row>
        <row r="46">
          <cell r="B46" t="str">
            <v>Video Skip</v>
          </cell>
          <cell r="C46">
            <v>0</v>
          </cell>
        </row>
        <row r="47">
          <cell r="B47" t="str">
            <v>Video Stops</v>
          </cell>
          <cell r="C47">
            <v>0</v>
          </cell>
        </row>
        <row r="48">
          <cell r="B48" t="str">
            <v>Video Third Quartile</v>
          </cell>
          <cell r="C48">
            <v>0</v>
          </cell>
        </row>
        <row r="49">
          <cell r="B49" t="str">
            <v>Video True View</v>
          </cell>
          <cell r="C49">
            <v>0</v>
          </cell>
        </row>
        <row r="50">
          <cell r="B50" t="str">
            <v>Video Unmutes</v>
          </cell>
          <cell r="C50">
            <v>0</v>
          </cell>
        </row>
        <row r="51">
          <cell r="B51" t="str">
            <v>Video View Rate</v>
          </cell>
          <cell r="C51">
            <v>0</v>
          </cell>
        </row>
        <row r="52">
          <cell r="B52" t="str">
            <v>Video View Time</v>
          </cell>
          <cell r="C52">
            <v>0</v>
          </cell>
        </row>
        <row r="53">
          <cell r="B53" t="str">
            <v>Background Image Clickthrough</v>
          </cell>
          <cell r="C53">
            <v>5210</v>
          </cell>
        </row>
        <row r="54">
          <cell r="B54" t="str">
            <v>Expanded Background Image Clickthrough</v>
          </cell>
          <cell r="C54">
            <v>55</v>
          </cell>
        </row>
        <row r="55">
          <cell r="B55" t="str">
            <v>Social - Facebook Click</v>
          </cell>
          <cell r="C55">
            <v>83</v>
          </cell>
        </row>
        <row r="56">
          <cell r="B56" t="str">
            <v>Social - Youtube Click</v>
          </cell>
          <cell r="C56">
            <v>104</v>
          </cell>
        </row>
        <row r="57">
          <cell r="B57" t="str">
            <v>Close Ad</v>
          </cell>
          <cell r="C57">
            <v>30611</v>
          </cell>
        </row>
        <row r="58">
          <cell r="B58" t="str">
            <v>Collapse</v>
          </cell>
          <cell r="C58">
            <v>151</v>
          </cell>
        </row>
        <row r="59">
          <cell r="B59" t="str">
            <v>Expand</v>
          </cell>
          <cell r="C59">
            <v>396</v>
          </cell>
        </row>
        <row r="60">
          <cell r="B60" t="str">
            <v>Vid finalVideo - video0percent</v>
          </cell>
          <cell r="C60">
            <v>6</v>
          </cell>
        </row>
        <row r="61">
          <cell r="B61" t="str">
            <v>Vid finalVideo - video100percent</v>
          </cell>
          <cell r="C61">
            <v>4</v>
          </cell>
        </row>
        <row r="62">
          <cell r="B62" t="str">
            <v>Vid finalVideo - video25percent</v>
          </cell>
          <cell r="C62">
            <v>5</v>
          </cell>
        </row>
        <row r="63">
          <cell r="B63" t="str">
            <v>Vid finalVideo - video50percent</v>
          </cell>
          <cell r="C63">
            <v>5</v>
          </cell>
        </row>
        <row r="64">
          <cell r="B64" t="str">
            <v>Vid finalVideo - video75percent</v>
          </cell>
          <cell r="C64">
            <v>5</v>
          </cell>
        </row>
        <row r="65">
          <cell r="B65" t="str">
            <v>Vid finalVideo - videoFullscreen</v>
          </cell>
          <cell r="C65">
            <v>1</v>
          </cell>
        </row>
        <row r="66">
          <cell r="B66" t="str">
            <v>Vid finalVideo - videoMute</v>
          </cell>
          <cell r="C66">
            <v>0</v>
          </cell>
        </row>
        <row r="67">
          <cell r="B67" t="str">
            <v>Vid finalVideo - videoPause</v>
          </cell>
          <cell r="C67">
            <v>2</v>
          </cell>
        </row>
        <row r="68">
          <cell r="B68" t="str">
            <v>Vid finalVideo - videoPlay</v>
          </cell>
          <cell r="C68">
            <v>6</v>
          </cell>
        </row>
        <row r="69">
          <cell r="B69" t="str">
            <v>Vid finalVideo - videoQualityChange</v>
          </cell>
          <cell r="C69">
            <v>0</v>
          </cell>
        </row>
        <row r="70">
          <cell r="B70" t="str">
            <v>Vid finalVideo - videoReplay</v>
          </cell>
          <cell r="C70">
            <v>1</v>
          </cell>
        </row>
        <row r="71">
          <cell r="B71" t="str">
            <v>Vid finalVideo - videoUnmute</v>
          </cell>
          <cell r="C71">
            <v>0</v>
          </cell>
        </row>
        <row r="72">
          <cell r="B72" t="str">
            <v>Vid initialVideo - autoplayVideo0percent</v>
          </cell>
          <cell r="C72">
            <v>781084</v>
          </cell>
        </row>
        <row r="73">
          <cell r="B73" t="str">
            <v>Vid initialVideo - autoplayVideo100percent</v>
          </cell>
          <cell r="C73">
            <v>260977</v>
          </cell>
        </row>
        <row r="74">
          <cell r="B74" t="str">
            <v>Vid initialVideo - autoplayVideo25percent</v>
          </cell>
          <cell r="C74">
            <v>540285</v>
          </cell>
        </row>
        <row r="75">
          <cell r="B75" t="str">
            <v>Vid initialVideo - autoplayVideo50percent</v>
          </cell>
          <cell r="C75">
            <v>396382</v>
          </cell>
        </row>
        <row r="76">
          <cell r="B76" t="str">
            <v>Vid initialVideo - autoplayVideo75percent</v>
          </cell>
          <cell r="C76">
            <v>311772</v>
          </cell>
        </row>
        <row r="77">
          <cell r="B77" t="str">
            <v>Vid initialVideo - video0percent</v>
          </cell>
          <cell r="C77">
            <v>6766</v>
          </cell>
        </row>
        <row r="78">
          <cell r="B78" t="str">
            <v>Vid initialVideo - video100percent</v>
          </cell>
          <cell r="C78">
            <v>4428</v>
          </cell>
        </row>
        <row r="79">
          <cell r="B79" t="str">
            <v>Vid initialVideo - video25percent</v>
          </cell>
          <cell r="C79">
            <v>5665</v>
          </cell>
        </row>
        <row r="80">
          <cell r="B80" t="str">
            <v>Vid initialVideo - video50percent</v>
          </cell>
          <cell r="C80">
            <v>5080</v>
          </cell>
        </row>
        <row r="81">
          <cell r="B81" t="str">
            <v>Vid initialVideo - video75percent</v>
          </cell>
          <cell r="C81">
            <v>4745</v>
          </cell>
        </row>
        <row r="82">
          <cell r="B82" t="str">
            <v>Vid initialVideo - videoFullscreen</v>
          </cell>
          <cell r="C82">
            <v>970</v>
          </cell>
        </row>
        <row r="83">
          <cell r="B83" t="str">
            <v>Vid initialVideo - videoMute</v>
          </cell>
          <cell r="C83">
            <v>97</v>
          </cell>
        </row>
        <row r="84">
          <cell r="B84" t="str">
            <v>Vid initialVideo - videoPause</v>
          </cell>
          <cell r="C84">
            <v>2541</v>
          </cell>
        </row>
        <row r="85">
          <cell r="B85" t="str">
            <v>Vid initialVideo - videoPlay</v>
          </cell>
          <cell r="C85">
            <v>6771</v>
          </cell>
        </row>
        <row r="86">
          <cell r="B86" t="str">
            <v>Vid initialVideo - videoQualityChange</v>
          </cell>
          <cell r="C86">
            <v>213</v>
          </cell>
        </row>
        <row r="87">
          <cell r="B87" t="str">
            <v>Vid initialVideo - videoReplay</v>
          </cell>
          <cell r="C87">
            <v>383</v>
          </cell>
        </row>
        <row r="88">
          <cell r="B88" t="str">
            <v>Vid initialVideo - videoUnmute</v>
          </cell>
          <cell r="C88">
            <v>65</v>
          </cell>
        </row>
        <row r="89">
          <cell r="B89" t="str">
            <v>Vid videoExpanded - autoplayVideo0percent</v>
          </cell>
          <cell r="C89">
            <v>213</v>
          </cell>
        </row>
        <row r="90">
          <cell r="B90" t="str">
            <v>Vid videoExpanded - autoplayVideo100percent</v>
          </cell>
          <cell r="C90">
            <v>85</v>
          </cell>
        </row>
        <row r="91">
          <cell r="B91" t="str">
            <v>Vid videoExpanded - autoplayVideo25percent</v>
          </cell>
          <cell r="C91">
            <v>134</v>
          </cell>
        </row>
        <row r="92">
          <cell r="B92" t="str">
            <v>Vid videoExpanded - autoplayVideo50percent</v>
          </cell>
          <cell r="C92">
            <v>110</v>
          </cell>
        </row>
        <row r="93">
          <cell r="B93" t="str">
            <v>Vid videoExpanded - autoplayVideo75percent</v>
          </cell>
          <cell r="C93">
            <v>93</v>
          </cell>
        </row>
        <row r="94">
          <cell r="B94" t="str">
            <v>Vid videoExpanded - videoFullscreen</v>
          </cell>
          <cell r="C94">
            <v>9</v>
          </cell>
        </row>
        <row r="95">
          <cell r="B95" t="str">
            <v>Vid videoExpanded - videoMute</v>
          </cell>
          <cell r="C95">
            <v>2</v>
          </cell>
        </row>
        <row r="96">
          <cell r="B96" t="str">
            <v>Vid videoExpanded - videoPause</v>
          </cell>
          <cell r="C96">
            <v>36</v>
          </cell>
        </row>
        <row r="97">
          <cell r="B97" t="str">
            <v>Vid videoExpanded - videoPlay</v>
          </cell>
          <cell r="C97">
            <v>214</v>
          </cell>
        </row>
        <row r="98">
          <cell r="B98" t="str">
            <v>Vid videoExpanded - videoQualityChange</v>
          </cell>
          <cell r="C98">
            <v>17</v>
          </cell>
        </row>
        <row r="99">
          <cell r="B99" t="str">
            <v>Vid videoExpanded - videoReplay</v>
          </cell>
          <cell r="C99">
            <v>6</v>
          </cell>
        </row>
        <row r="100">
          <cell r="B100" t="str">
            <v>Vid videoExpanded - videoUnmute</v>
          </cell>
          <cell r="C100">
            <v>0</v>
          </cell>
        </row>
        <row r="101">
          <cell r="B101" t="str">
            <v>Rich Media Timer</v>
          </cell>
          <cell r="C101">
            <v>354</v>
          </cell>
        </row>
        <row r="102">
          <cell r="B102" t="str">
            <v>Rich Media Custom Average Time</v>
          </cell>
          <cell r="C102">
            <v>26.8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Raw Data"/>
    </sheetNames>
    <sheetDataSet>
      <sheetData sheetId="0" refreshError="1"/>
      <sheetData sheetId="1" refreshError="1">
        <row r="1">
          <cell r="B1" t="str">
            <v>Site Name</v>
          </cell>
          <cell r="C1" t="str">
            <v>YouTube</v>
          </cell>
        </row>
        <row r="2">
          <cell r="B2" t="str">
            <v>Advertiser Name</v>
          </cell>
          <cell r="C2" t="str">
            <v>YouTube Mastheads MENA</v>
          </cell>
        </row>
        <row r="3">
          <cell r="B3" t="str">
            <v>Campaign Name</v>
          </cell>
          <cell r="C3" t="str">
            <v>API Trafficked Masthead - UAE</v>
          </cell>
        </row>
        <row r="4">
          <cell r="B4" t="str">
            <v>Ad Name</v>
          </cell>
          <cell r="C4" t="str">
            <v>EN - Ford Digital Campaign-api-trafficked-AE-55023907_01-07-13-Ford-EN</v>
          </cell>
        </row>
        <row r="5">
          <cell r="B5" t="str">
            <v>Creative Name</v>
          </cell>
          <cell r="C5" t="str">
            <v>EN - Ford Digital Campaign</v>
          </cell>
        </row>
        <row r="6">
          <cell r="B6" t="str">
            <v>Creative Size</v>
          </cell>
          <cell r="C6" t="str">
            <v>970x250</v>
          </cell>
        </row>
        <row r="7">
          <cell r="B7" t="str">
            <v>Placement</v>
          </cell>
          <cell r="C7" t="str">
            <v>api-trafficked-AE-55023907_01-07-13-Ford-EN</v>
          </cell>
        </row>
        <row r="8">
          <cell r="B8" t="str">
            <v>Impressions Delivered</v>
          </cell>
          <cell r="C8">
            <v>1420382</v>
          </cell>
        </row>
        <row r="9">
          <cell r="B9" t="str">
            <v>Clicks Recorded</v>
          </cell>
          <cell r="C9">
            <v>8155</v>
          </cell>
        </row>
        <row r="10">
          <cell r="B10" t="str">
            <v>Click Rate</v>
          </cell>
          <cell r="C10">
            <v>0.56999999999999995</v>
          </cell>
        </row>
        <row r="11">
          <cell r="B11" t="str">
            <v>Code Serves</v>
          </cell>
          <cell r="C11">
            <v>17</v>
          </cell>
        </row>
        <row r="12">
          <cell r="B12" t="str">
            <v>Effective CPM</v>
          </cell>
          <cell r="C12">
            <v>0</v>
          </cell>
        </row>
        <row r="13">
          <cell r="B13" t="str">
            <v>Media Cost</v>
          </cell>
          <cell r="C13">
            <v>0</v>
          </cell>
        </row>
        <row r="14">
          <cell r="B14" t="str">
            <v>Media Cost per Click</v>
          </cell>
          <cell r="C14">
            <v>0</v>
          </cell>
        </row>
        <row r="15">
          <cell r="B15" t="str">
            <v>Rich Media Average Display Time</v>
          </cell>
          <cell r="C15">
            <v>33.369999999999997</v>
          </cell>
        </row>
        <row r="16">
          <cell r="B16" t="str">
            <v>Rich Media Average Interaction Time</v>
          </cell>
          <cell r="C16">
            <v>12.44</v>
          </cell>
        </row>
        <row r="17">
          <cell r="B17" t="str">
            <v>Rich Media Backup Image</v>
          </cell>
          <cell r="C17">
            <v>82714</v>
          </cell>
        </row>
        <row r="18">
          <cell r="B18" t="str">
            <v>Rich Media Expanding Time</v>
          </cell>
          <cell r="C18">
            <v>32.770000000000003</v>
          </cell>
        </row>
        <row r="19">
          <cell r="B19" t="str">
            <v>Rich Media Expansions</v>
          </cell>
          <cell r="C19">
            <v>383</v>
          </cell>
        </row>
        <row r="20">
          <cell r="B20" t="str">
            <v>Rich Media Full Screen Average View Time</v>
          </cell>
          <cell r="C20">
            <v>0</v>
          </cell>
        </row>
        <row r="21">
          <cell r="B21" t="str">
            <v>Rich Media Full Screen Impressions</v>
          </cell>
          <cell r="C21">
            <v>0</v>
          </cell>
        </row>
        <row r="22">
          <cell r="B22" t="str">
            <v>Rich Media Full Screen Video Completes</v>
          </cell>
          <cell r="C22">
            <v>0</v>
          </cell>
        </row>
        <row r="23">
          <cell r="B23" t="str">
            <v>Rich Media Full Screen Video Plays</v>
          </cell>
          <cell r="C23">
            <v>0</v>
          </cell>
        </row>
        <row r="24">
          <cell r="B24" t="str">
            <v>Rich Media HTML5 Impressions</v>
          </cell>
          <cell r="C24">
            <v>0</v>
          </cell>
        </row>
        <row r="25">
          <cell r="B25" t="str">
            <v>Rich Media Impressions</v>
          </cell>
          <cell r="C25">
            <v>1420382</v>
          </cell>
        </row>
        <row r="26">
          <cell r="B26" t="str">
            <v>Rich Media Interaction Rate</v>
          </cell>
          <cell r="C26">
            <v>16.920000000000002</v>
          </cell>
        </row>
        <row r="27">
          <cell r="B27" t="str">
            <v>Rich Media Interactive Impressions</v>
          </cell>
          <cell r="C27">
            <v>240333</v>
          </cell>
        </row>
        <row r="28">
          <cell r="B28" t="str">
            <v>Rich Media Manual Closes</v>
          </cell>
          <cell r="C28">
            <v>27471</v>
          </cell>
        </row>
        <row r="29">
          <cell r="B29" t="str">
            <v>Rich Media Total Display Time</v>
          </cell>
          <cell r="C29">
            <v>47400173</v>
          </cell>
        </row>
        <row r="30">
          <cell r="B30" t="str">
            <v>Rich Media Total Interaction Time</v>
          </cell>
          <cell r="C30">
            <v>2990407</v>
          </cell>
        </row>
        <row r="31">
          <cell r="B31" t="str">
            <v>Rich Media Total Interactions</v>
          </cell>
          <cell r="C31">
            <v>2294929</v>
          </cell>
        </row>
        <row r="32">
          <cell r="B32" t="str">
            <v>Roadblock Impressions</v>
          </cell>
          <cell r="C32">
            <v>0</v>
          </cell>
        </row>
        <row r="33">
          <cell r="B33" t="str">
            <v>Video Companion Clicks</v>
          </cell>
          <cell r="C33">
            <v>0</v>
          </cell>
        </row>
        <row r="34">
          <cell r="B34" t="str">
            <v>Video Complete Plays</v>
          </cell>
          <cell r="C34">
            <v>0</v>
          </cell>
        </row>
        <row r="35">
          <cell r="B35" t="str">
            <v>Video First Quartile</v>
          </cell>
          <cell r="C35">
            <v>0</v>
          </cell>
        </row>
        <row r="36">
          <cell r="B36" t="str">
            <v>Video Full-Screen</v>
          </cell>
          <cell r="C36">
            <v>0</v>
          </cell>
        </row>
        <row r="37">
          <cell r="B37" t="str">
            <v>Video Interaction Rate</v>
          </cell>
          <cell r="C37">
            <v>0</v>
          </cell>
        </row>
        <row r="38">
          <cell r="B38" t="str">
            <v>Video Interactions</v>
          </cell>
          <cell r="C38">
            <v>0</v>
          </cell>
        </row>
        <row r="39">
          <cell r="B39" t="str">
            <v>Video Midpoint</v>
          </cell>
          <cell r="C39">
            <v>0</v>
          </cell>
        </row>
        <row r="40">
          <cell r="B40" t="str">
            <v>Video Mutes</v>
          </cell>
          <cell r="C40">
            <v>0</v>
          </cell>
        </row>
        <row r="41">
          <cell r="B41" t="str">
            <v>Video Pauses</v>
          </cell>
          <cell r="C41">
            <v>0</v>
          </cell>
        </row>
        <row r="42">
          <cell r="B42" t="str">
            <v>Video Plays</v>
          </cell>
          <cell r="C42">
            <v>0</v>
          </cell>
        </row>
        <row r="43">
          <cell r="B43" t="str">
            <v>Video Replays</v>
          </cell>
          <cell r="C43">
            <v>0</v>
          </cell>
        </row>
        <row r="44">
          <cell r="B44" t="str">
            <v>Video Skip</v>
          </cell>
          <cell r="C44">
            <v>0</v>
          </cell>
        </row>
        <row r="45">
          <cell r="B45" t="str">
            <v>Video Stops</v>
          </cell>
          <cell r="C45">
            <v>0</v>
          </cell>
        </row>
        <row r="46">
          <cell r="B46" t="str">
            <v>Video Third Quartile</v>
          </cell>
          <cell r="C46">
            <v>0</v>
          </cell>
        </row>
        <row r="47">
          <cell r="B47" t="str">
            <v>Video True View</v>
          </cell>
          <cell r="C47">
            <v>0</v>
          </cell>
        </row>
        <row r="48">
          <cell r="B48" t="str">
            <v>Video Unmutes</v>
          </cell>
          <cell r="C48">
            <v>0</v>
          </cell>
        </row>
        <row r="49">
          <cell r="B49" t="str">
            <v>Video View Rate</v>
          </cell>
          <cell r="C49">
            <v>0</v>
          </cell>
        </row>
        <row r="50">
          <cell r="B50" t="str">
            <v>Video View Time</v>
          </cell>
          <cell r="C50">
            <v>0</v>
          </cell>
        </row>
        <row r="51">
          <cell r="B51" t="str">
            <v>Background Image Clickthrough</v>
          </cell>
          <cell r="C51">
            <v>5570</v>
          </cell>
        </row>
        <row r="52">
          <cell r="B52" t="str">
            <v>Expanded Background Image Clickthrough</v>
          </cell>
          <cell r="C52">
            <v>68</v>
          </cell>
        </row>
        <row r="53">
          <cell r="B53" t="str">
            <v>Social - Facebook Click</v>
          </cell>
          <cell r="C53">
            <v>88</v>
          </cell>
        </row>
        <row r="54">
          <cell r="B54" t="str">
            <v>Social - Youtube Click</v>
          </cell>
          <cell r="C54">
            <v>99</v>
          </cell>
        </row>
        <row r="55">
          <cell r="B55" t="str">
            <v>Close Ad</v>
          </cell>
          <cell r="C55">
            <v>27471</v>
          </cell>
        </row>
        <row r="56">
          <cell r="B56" t="str">
            <v>Collapse</v>
          </cell>
          <cell r="C56">
            <v>189</v>
          </cell>
        </row>
        <row r="57">
          <cell r="B57" t="str">
            <v>Expand</v>
          </cell>
          <cell r="C57">
            <v>430</v>
          </cell>
        </row>
        <row r="58">
          <cell r="B58" t="str">
            <v>Vid finalVideo - video0percent</v>
          </cell>
          <cell r="C58">
            <v>12</v>
          </cell>
        </row>
        <row r="59">
          <cell r="B59" t="str">
            <v>Vid finalVideo - video100percent</v>
          </cell>
          <cell r="C59">
            <v>7</v>
          </cell>
        </row>
        <row r="60">
          <cell r="B60" t="str">
            <v>Vid finalVideo - video25percent</v>
          </cell>
          <cell r="C60">
            <v>9</v>
          </cell>
        </row>
        <row r="61">
          <cell r="B61" t="str">
            <v>Vid finalVideo - video50percent</v>
          </cell>
          <cell r="C61">
            <v>9</v>
          </cell>
        </row>
        <row r="62">
          <cell r="B62" t="str">
            <v>Vid finalVideo - video75percent</v>
          </cell>
          <cell r="C62">
            <v>8</v>
          </cell>
        </row>
        <row r="63">
          <cell r="B63" t="str">
            <v>Vid finalVideo - videoFullscreen</v>
          </cell>
          <cell r="C63">
            <v>2</v>
          </cell>
        </row>
        <row r="64">
          <cell r="B64" t="str">
            <v>Vid finalVideo - videoMute</v>
          </cell>
          <cell r="C64">
            <v>0</v>
          </cell>
        </row>
        <row r="65">
          <cell r="B65" t="str">
            <v>Vid finalVideo - videoPause</v>
          </cell>
          <cell r="C65">
            <v>4</v>
          </cell>
        </row>
        <row r="66">
          <cell r="B66" t="str">
            <v>Vid finalVideo - videoPlay</v>
          </cell>
          <cell r="C66">
            <v>12</v>
          </cell>
        </row>
        <row r="67">
          <cell r="B67" t="str">
            <v>Vid finalVideo - videoQualityChange</v>
          </cell>
          <cell r="C67">
            <v>2</v>
          </cell>
        </row>
        <row r="68">
          <cell r="B68" t="str">
            <v>Vid finalVideo - videoReplay</v>
          </cell>
          <cell r="C68">
            <v>0</v>
          </cell>
        </row>
        <row r="69">
          <cell r="B69" t="str">
            <v>Vid finalVideo - videoUnmute</v>
          </cell>
          <cell r="C69">
            <v>0</v>
          </cell>
        </row>
        <row r="70">
          <cell r="B70" t="str">
            <v>Vid initialVideo - autoplayVideo0percent</v>
          </cell>
          <cell r="C70">
            <v>663197</v>
          </cell>
        </row>
        <row r="71">
          <cell r="B71" t="str">
            <v>Vid initialVideo - autoplayVideo100percent</v>
          </cell>
          <cell r="C71">
            <v>226127</v>
          </cell>
        </row>
        <row r="72">
          <cell r="B72" t="str">
            <v>Vid initialVideo - autoplayVideo25percent</v>
          </cell>
          <cell r="C72">
            <v>458705</v>
          </cell>
        </row>
        <row r="73">
          <cell r="B73" t="str">
            <v>Vid initialVideo - autoplayVideo50percent</v>
          </cell>
          <cell r="C73">
            <v>338793</v>
          </cell>
        </row>
        <row r="74">
          <cell r="B74" t="str">
            <v>Vid initialVideo - autoplayVideo75percent</v>
          </cell>
          <cell r="C74">
            <v>270468</v>
          </cell>
        </row>
        <row r="75">
          <cell r="B75" t="str">
            <v>Vid initialVideo - video0percent</v>
          </cell>
          <cell r="C75">
            <v>6102</v>
          </cell>
        </row>
        <row r="76">
          <cell r="B76" t="str">
            <v>Vid initialVideo - video100percent</v>
          </cell>
          <cell r="C76">
            <v>3913</v>
          </cell>
        </row>
        <row r="77">
          <cell r="B77" t="str">
            <v>Vid initialVideo - video25percent</v>
          </cell>
          <cell r="C77">
            <v>5082</v>
          </cell>
        </row>
        <row r="78">
          <cell r="B78" t="str">
            <v>Vid initialVideo - video50percent</v>
          </cell>
          <cell r="C78">
            <v>4574</v>
          </cell>
        </row>
        <row r="79">
          <cell r="B79" t="str">
            <v>Vid initialVideo - video75percent</v>
          </cell>
          <cell r="C79">
            <v>4285</v>
          </cell>
        </row>
        <row r="80">
          <cell r="B80" t="str">
            <v>Vid initialVideo - videoFullscreen</v>
          </cell>
          <cell r="C80">
            <v>920</v>
          </cell>
        </row>
        <row r="81">
          <cell r="B81" t="str">
            <v>Vid initialVideo - videoMute</v>
          </cell>
          <cell r="C81">
            <v>99</v>
          </cell>
        </row>
        <row r="82">
          <cell r="B82" t="str">
            <v>Vid initialVideo - videoPause</v>
          </cell>
          <cell r="C82">
            <v>2490</v>
          </cell>
        </row>
        <row r="83">
          <cell r="B83" t="str">
            <v>Vid initialVideo - videoPlay</v>
          </cell>
          <cell r="C83">
            <v>6108</v>
          </cell>
        </row>
        <row r="84">
          <cell r="B84" t="str">
            <v>Vid initialVideo - videoQualityChange</v>
          </cell>
          <cell r="C84">
            <v>236</v>
          </cell>
        </row>
        <row r="85">
          <cell r="B85" t="str">
            <v>Vid initialVideo - videoReplay</v>
          </cell>
          <cell r="C85">
            <v>341</v>
          </cell>
        </row>
        <row r="86">
          <cell r="B86" t="str">
            <v>Vid initialVideo - videoUnmute</v>
          </cell>
          <cell r="C86">
            <v>65</v>
          </cell>
        </row>
        <row r="87">
          <cell r="B87" t="str">
            <v>Vid videoExpanded - autoplayVideo0percent</v>
          </cell>
          <cell r="C87">
            <v>210</v>
          </cell>
        </row>
        <row r="88">
          <cell r="B88" t="str">
            <v>Vid videoExpanded - autoplayVideo100percent</v>
          </cell>
          <cell r="C88">
            <v>77</v>
          </cell>
        </row>
        <row r="89">
          <cell r="B89" t="str">
            <v>Vid videoExpanded - autoplayVideo25percent</v>
          </cell>
          <cell r="C89">
            <v>135</v>
          </cell>
        </row>
        <row r="90">
          <cell r="B90" t="str">
            <v>Vid videoExpanded - autoplayVideo50percent</v>
          </cell>
          <cell r="C90">
            <v>98</v>
          </cell>
        </row>
        <row r="91">
          <cell r="B91" t="str">
            <v>Vid videoExpanded - autoplayVideo75percent</v>
          </cell>
          <cell r="C91">
            <v>89</v>
          </cell>
        </row>
        <row r="92">
          <cell r="B92" t="str">
            <v>Vid videoExpanded - videoFullscreen</v>
          </cell>
          <cell r="C92">
            <v>6</v>
          </cell>
        </row>
        <row r="93">
          <cell r="B93" t="str">
            <v>Vid videoExpanded - videoMute</v>
          </cell>
          <cell r="C93">
            <v>0</v>
          </cell>
        </row>
        <row r="94">
          <cell r="B94" t="str">
            <v>Vid videoExpanded - videoPause</v>
          </cell>
          <cell r="C94">
            <v>35</v>
          </cell>
        </row>
        <row r="95">
          <cell r="B95" t="str">
            <v>Vid videoExpanded - videoPlay</v>
          </cell>
          <cell r="C95">
            <v>210</v>
          </cell>
        </row>
        <row r="96">
          <cell r="B96" t="str">
            <v>Vid videoExpanded - videoQualityChange</v>
          </cell>
          <cell r="C96">
            <v>16</v>
          </cell>
        </row>
        <row r="97">
          <cell r="B97" t="str">
            <v>Vid videoExpanded - videoReplay</v>
          </cell>
          <cell r="C97">
            <v>6</v>
          </cell>
        </row>
        <row r="98">
          <cell r="B98" t="str">
            <v>Vid videoExpanded - videoUnmute</v>
          </cell>
          <cell r="C98">
            <v>0</v>
          </cell>
        </row>
        <row r="99">
          <cell r="B99" t="str">
            <v>Rich Media Timer</v>
          </cell>
          <cell r="C99">
            <v>375</v>
          </cell>
        </row>
        <row r="100">
          <cell r="B100" t="str">
            <v>Rich Media Custom Average Time</v>
          </cell>
          <cell r="C100">
            <v>33.19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bhor" refreshedDate="41549.500372106479" createdVersion="4" refreshedVersion="4" minRefreshableVersion="3" recordCount="145">
  <cacheSource type="worksheet">
    <worksheetSource name="=Exp_Sum"/>
  </cacheSource>
  <cacheFields count="18">
    <cacheField name="Campaign" numFmtId="0">
      <sharedItems/>
    </cacheField>
    <cacheField name="Campaign ID" numFmtId="0">
      <sharedItems/>
    </cacheField>
    <cacheField name="Site (DFA)" numFmtId="0">
      <sharedItems count="5">
        <s v="D1G"/>
        <s v="IKOO Network"/>
        <s v="Kooora"/>
        <s v="Yahoo Maktoob!"/>
        <s v="---"/>
      </sharedItems>
    </cacheField>
    <cacheField name="Placement" numFmtId="0">
      <sharedItems/>
    </cacheField>
    <cacheField name="Ad" numFmtId="0">
      <sharedItems/>
    </cacheField>
    <cacheField name="Creative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1" maxValue="4778104"/>
    </cacheField>
    <cacheField name="Clicks" numFmtId="0">
      <sharedItems containsSemiMixedTypes="0" containsString="0" containsNumber="1" containsInteger="1" minValue="0" maxValue="10297"/>
    </cacheField>
    <cacheField name="Expansions" numFmtId="0">
      <sharedItems containsSemiMixedTypes="0" containsString="0" containsNumber="1" containsInteger="1" minValue="0" maxValue="1066"/>
    </cacheField>
    <cacheField name="Expansion Time" numFmtId="0">
      <sharedItems containsSemiMixedTypes="0" containsString="0" containsNumber="1" containsInteger="1" minValue="0" maxValue="58039"/>
    </cacheField>
    <cacheField name="Total Interactions" numFmtId="0">
      <sharedItems containsSemiMixedTypes="0" containsString="0" containsNumber="1" containsInteger="1" minValue="0" maxValue="392890"/>
    </cacheField>
    <cacheField name="Interaction Rate" numFmtId="0">
      <sharedItems containsSemiMixedTypes="0" containsString="0" containsNumber="1" minValue="0" maxValue="16.93"/>
    </cacheField>
    <cacheField name="Video Plays" numFmtId="0">
      <sharedItems containsSemiMixedTypes="0" containsString="0" containsNumber="1" containsInteger="1" minValue="0" maxValue="0"/>
    </cacheField>
    <cacheField name="Video Midpoints" numFmtId="0">
      <sharedItems containsSemiMixedTypes="0" containsString="0" containsNumber="1" containsInteger="1" minValue="0" maxValue="0"/>
    </cacheField>
    <cacheField name="Video Completions" numFmtId="0">
      <sharedItems containsSemiMixedTypes="0" containsString="0" containsNumber="1" containsInteger="1" minValue="0" maxValue="0"/>
    </cacheField>
    <cacheField name="Video Replays" numFmtId="0">
      <sharedItems containsSemiMixedTypes="0" containsString="0" containsNumber="1" containsInteger="1" minValue="0" maxValue="0"/>
    </cacheField>
    <cacheField name="CTR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bhor" refreshedDate="41549.500372337963" createdVersion="4" refreshedVersion="4" minRefreshableVersion="3" recordCount="9">
  <cacheSource type="worksheet">
    <worksheetSource name="=Video"/>
  </cacheSource>
  <cacheFields count="12">
    <cacheField name="Campaign" numFmtId="0">
      <sharedItems/>
    </cacheField>
    <cacheField name="Site (DFA)" numFmtId="0">
      <sharedItems count="3">
        <s v="IKOO Network"/>
        <s v="Kooora"/>
        <s v="Yahoo Maktoob!"/>
      </sharedItems>
    </cacheField>
    <cacheField name="Creative" numFmtId="0">
      <sharedItems/>
    </cacheField>
    <cacheField name="Creative Pixel Size" numFmtId="0">
      <sharedItems count="2">
        <s v="300x250"/>
        <s v="970x66"/>
      </sharedItems>
    </cacheField>
    <cacheField name="Video Completions" numFmtId="0">
      <sharedItems containsSemiMixedTypes="0" containsString="0" containsNumber="1" containsInteger="1" minValue="0" maxValue="107540"/>
    </cacheField>
    <cacheField name="Video Midpoints" numFmtId="0">
      <sharedItems containsSemiMixedTypes="0" containsString="0" containsNumber="1" containsInteger="1" minValue="0" maxValue="129869"/>
    </cacheField>
    <cacheField name="Video Mutes" numFmtId="0">
      <sharedItems containsSemiMixedTypes="0" containsString="0" containsNumber="1" containsInteger="1" minValue="0" maxValue="305"/>
    </cacheField>
    <cacheField name="Video Plays" numFmtId="0">
      <sharedItems containsSemiMixedTypes="0" containsString="0" containsNumber="1" containsInteger="1" minValue="0" maxValue="190695"/>
    </cacheField>
    <cacheField name="Video Replays" numFmtId="0">
      <sharedItems containsSemiMixedTypes="0" containsString="0" containsNumber="1" containsInteger="1" minValue="0" maxValue="908"/>
    </cacheField>
    <cacheField name="Video Average View Time" numFmtId="0">
      <sharedItems containsSemiMixedTypes="0" containsString="0" containsNumber="1" minValue="0" maxValue="33.35"/>
    </cacheField>
    <cacheField name="Total Interactions" numFmtId="0">
      <sharedItems containsSemiMixedTypes="0" containsString="0" containsNumber="1" containsInteger="1" minValue="41" maxValue="446104"/>
    </cacheField>
    <cacheField name="CTR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Vibhor" refreshedDate="41549.500372453702" createdVersion="4" refreshedVersion="4" recordCount="1102">
  <cacheSource type="worksheet">
    <worksheetSource name="=CLS"/>
  </cacheSource>
  <cacheFields count="10">
    <cacheField name="Site (DFA)" numFmtId="0">
      <sharedItems count="32">
        <s v="CNN Arabic"/>
        <s v="CNN.com"/>
        <s v="Dubizzle"/>
        <s v="IKOO Network"/>
        <s v="Jeeran"/>
        <s v="Koora"/>
        <s v="MBC.Net"/>
        <s v="Sahmy 1"/>
        <s v="Souq.com"/>
        <s v="Teleauto.tv"/>
        <s v="Tribal Fusion EN"/>
        <s v="adzouk.com"/>
        <s v="aleqt.com"/>
        <s v="ameinfo.com"/>
        <s v="arabia.com"/>
        <s v="borsaat.com"/>
        <s v="carsandspeed.com"/>
        <s v="d1g.com"/>
        <s v="dotmena.com"/>
        <s v="hawamer.com"/>
        <s v="ifurat.com"/>
        <s v="maktoob.yahoo.com"/>
        <s v="maktoob.yahoo.com 1"/>
        <s v="ra2ed.com"/>
        <s v="sabq.org"/>
        <s v="MSN" u="1"/>
        <s v="Yahoo Maktoob!" u="1"/>
        <s v="Kooora" u="1"/>
        <s v="Yahoo" u="1"/>
        <s v="Google" u="1"/>
        <s v="D1G" u="1"/>
        <s v="Yahooo" u="1"/>
      </sharedItems>
    </cacheField>
    <cacheField name="Placement" numFmtId="0">
      <sharedItems/>
    </cacheField>
    <cacheField name="Creative Pixel Size" numFmtId="0">
      <sharedItems count="14">
        <s v="300x250"/>
        <s v="728x90"/>
        <s v="468x60"/>
        <s v="160x600"/>
        <s v="300x600"/>
        <s v="(not set)" u="1"/>
        <s v="100x1000" u="1"/>
        <s v="100x1005" u="1"/>
        <s v="100x100" u="1"/>
        <s v="1x1" u="1"/>
        <s v="100x1250" u="1"/>
        <s v="120x600" u="1"/>
        <s v="100x125" u="1"/>
        <s v="970x66" u="1"/>
      </sharedItems>
    </cacheField>
    <cacheField name="Ad Type" numFmtId="0">
      <sharedItems/>
    </cacheField>
    <cacheField name="Creative" numFmtId="0">
      <sharedItems/>
    </cacheField>
    <cacheField name="Impressions" numFmtId="0">
      <sharedItems containsSemiMixedTypes="0" containsString="0" containsNumber="1" containsInteger="1" minValue="1" maxValue="573467"/>
    </cacheField>
    <cacheField name="Clicks" numFmtId="0">
      <sharedItems containsSemiMixedTypes="0" containsString="0" containsNumber="1" containsInteger="1" minValue="0" maxValue="599"/>
    </cacheField>
    <cacheField name="Click Rate" numFmtId="10">
      <sharedItems containsSemiMixedTypes="0" containsString="0" containsNumber="1" minValue="0" maxValue="1"/>
    </cacheField>
    <cacheField name="Language" numFmtId="0">
      <sharedItems count="6">
        <s v="AR"/>
        <s v="EN"/>
        <s v="te"/>
        <s v="60"/>
        <s v="Arabic" u="1"/>
        <s v="English" u="1"/>
      </sharedItems>
    </cacheField>
    <cacheField name="CTR" numFmtId="0" formula="Clicks/Impression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Vibhor" refreshedDate="41549.500372685186" createdVersion="4" refreshedVersion="4" recordCount="10">
  <cacheSource type="worksheet">
    <worksheetSource name="=TLs"/>
  </cacheSource>
  <cacheFields count="10">
    <cacheField name="Advertiser" numFmtId="0">
      <sharedItems/>
    </cacheField>
    <cacheField name="Campaign" numFmtId="0">
      <sharedItems/>
    </cacheField>
    <cacheField name="Site (DFA)" numFmtId="0">
      <sharedItems count="22">
        <s v="DotMena.com"/>
        <s v="IKOO Network"/>
        <s v="Kooora"/>
        <s v="Yahoo Maktoob!"/>
        <s v="InMobi"/>
        <s v="Yahoo Mobile"/>
        <s v="EmailCiti"/>
        <s v="Arabian Business"/>
        <s v="Google Display Network"/>
        <s v="Search"/>
        <s v="gg" u="1"/>
        <s v="ggg" u="1"/>
        <s v="fff" u="1"/>
        <s v="eee" u="1"/>
        <s v="ddd" u="1"/>
        <s v="www" u="1"/>
        <s v="vvv" u="1"/>
        <s v="D1G" u="1"/>
        <s v="qqq" u="1"/>
        <s v="jj" u="1"/>
        <s v="kkk" u="1"/>
        <s v="hh" u="1"/>
      </sharedItems>
    </cacheField>
    <cacheField name="Impression Reach" numFmtId="0">
      <sharedItems containsMixedTypes="1" containsNumber="1" containsInteger="1" minValue="140471" maxValue="432914"/>
    </cacheField>
    <cacheField name="Click Reach" numFmtId="0">
      <sharedItems containsMixedTypes="1" containsNumber="1" containsInteger="1" minValue="260" maxValue="1814"/>
    </cacheField>
    <cacheField name="Impressions" numFmtId="0">
      <sharedItems containsSemiMixedTypes="0" containsString="0" containsNumber="1" containsInteger="1" minValue="98988" maxValue="2281933"/>
    </cacheField>
    <cacheField name="Clicks" numFmtId="0">
      <sharedItems containsSemiMixedTypes="0" containsString="0" containsNumber="1" containsInteger="1" minValue="297" maxValue="2146"/>
    </cacheField>
    <cacheField name="Booked Impressions" numFmtId="0">
      <sharedItems containsSemiMixedTypes="0" containsString="0" containsNumber="1" minValue="500000" maxValue="5337000"/>
    </cacheField>
    <cacheField name="Total Amount" numFmtId="0">
      <sharedItems containsSemiMixedTypes="0" containsString="0" containsNumber="1" containsInteger="1" minValue="100000" maxValue="100000"/>
    </cacheField>
    <cacheField name="CTR" numFmtId="0" formula="Clicks/Impression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Vibhor" refreshedDate="41549.500372685186" createdVersion="4" refreshedVersion="4" minRefreshableVersion="3" recordCount="10">
  <cacheSource type="worksheet">
    <worksheetSource name="=Geo"/>
  </cacheSource>
  <cacheFields count="4">
    <cacheField name="Country" numFmtId="0">
      <sharedItems count="10">
        <s v="Saudi Arabia"/>
        <s v="United Arab Emirates"/>
        <s v="Kuwait"/>
        <s v="Qatar"/>
        <s v="g" u="1"/>
        <s v="Nepal" u="1"/>
        <s v="India" u="1"/>
        <s v="Bahrain" u="1"/>
        <s v="h" u="1"/>
        <s v="Oman" u="1"/>
      </sharedItems>
    </cacheField>
    <cacheField name="Impressions" numFmtId="3">
      <sharedItems containsSemiMixedTypes="0" containsString="0" containsNumber="1" containsInteger="1" minValue="65254" maxValue="833891"/>
    </cacheField>
    <cacheField name="Clicks" numFmtId="0">
      <sharedItems containsSemiMixedTypes="0" containsString="0" containsNumber="1" containsInteger="1" minValue="64" maxValue="1354"/>
    </cacheField>
    <cacheField name="CTR" numFmtId="0" formula="Clicks/Impression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Vibhor" refreshedDate="41549.500372916664" createdVersion="4" refreshedVersion="4" minRefreshableVersion="3" recordCount="1102">
  <cacheSource type="worksheet">
    <worksheetSource name="=CLS"/>
  </cacheSource>
  <cacheFields count="10">
    <cacheField name="Site (DFA)" numFmtId="0">
      <sharedItems count="32">
        <s v="CNN Arabic"/>
        <s v="CNN.com"/>
        <s v="Dubizzle"/>
        <s v="IKOO Network"/>
        <s v="Jeeran"/>
        <s v="Koora"/>
        <s v="MBC.Net"/>
        <s v="Sahmy 1"/>
        <s v="Souq.com"/>
        <s v="Teleauto.tv"/>
        <s v="Tribal Fusion EN"/>
        <s v="adzouk.com"/>
        <s v="aleqt.com"/>
        <s v="ameinfo.com"/>
        <s v="arabia.com"/>
        <s v="borsaat.com"/>
        <s v="carsandspeed.com"/>
        <s v="d1g.com"/>
        <s v="dotmena.com"/>
        <s v="hawamer.com"/>
        <s v="ifurat.com"/>
        <s v="maktoob.yahoo.com"/>
        <s v="maktoob.yahoo.com 1"/>
        <s v="ra2ed.com"/>
        <s v="sabq.org"/>
        <s v="MSN" u="1"/>
        <s v="Yahoo Maktoob!" u="1"/>
        <s v="Kooora" u="1"/>
        <s v="Yahoo" u="1"/>
        <s v="Google" u="1"/>
        <s v="D1G" u="1"/>
        <s v="Yahooo" u="1"/>
      </sharedItems>
    </cacheField>
    <cacheField name="Placement" numFmtId="0">
      <sharedItems/>
    </cacheField>
    <cacheField name="Creative Pixel Size" numFmtId="0">
      <sharedItems count="14">
        <s v="300x250"/>
        <s v="728x90"/>
        <s v="468x60"/>
        <s v="160x600"/>
        <s v="300x600"/>
        <s v="(not set)" u="1"/>
        <s v="100x1000" u="1"/>
        <s v="100x1005" u="1"/>
        <s v="100x100" u="1"/>
        <s v="1x1" u="1"/>
        <s v="100x1250" u="1"/>
        <s v="120x600" u="1"/>
        <s v="100x125" u="1"/>
        <s v="970x66" u="1"/>
      </sharedItems>
    </cacheField>
    <cacheField name="Ad Type" numFmtId="0">
      <sharedItems/>
    </cacheField>
    <cacheField name="Creative" numFmtId="0">
      <sharedItems/>
    </cacheField>
    <cacheField name="Impressions" numFmtId="0">
      <sharedItems containsSemiMixedTypes="0" containsString="0" containsNumber="1" containsInteger="1" minValue="1" maxValue="573467"/>
    </cacheField>
    <cacheField name="Clicks" numFmtId="0">
      <sharedItems containsSemiMixedTypes="0" containsString="0" containsNumber="1" containsInteger="1" minValue="0" maxValue="599"/>
    </cacheField>
    <cacheField name="Click Rate" numFmtId="10">
      <sharedItems containsSemiMixedTypes="0" containsString="0" containsNumber="1" minValue="0" maxValue="1"/>
    </cacheField>
    <cacheField name="Language" numFmtId="0">
      <sharedItems count="6">
        <s v="AR"/>
        <s v="EN"/>
        <s v="te"/>
        <s v="60"/>
        <s v="Arabic" u="1"/>
        <s v="English" u="1"/>
      </sharedItems>
    </cacheField>
    <cacheField name="CTR" numFmtId="0" formula="Clicks/Impression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Vibhor" refreshedDate="41549.500373148148" createdVersion="4" refreshedVersion="4" minRefreshableVersion="3" recordCount="10">
  <cacheSource type="worksheet">
    <worksheetSource name="=TLSR"/>
  </cacheSource>
  <cacheFields count="17">
    <cacheField name="Advertiser" numFmtId="0">
      <sharedItems/>
    </cacheField>
    <cacheField name="Campaign" numFmtId="0">
      <sharedItems count="5">
        <s v="Primary Brand_Yousef_Phase 1_June 2013"/>
        <s v="Mobile"/>
        <s v="Emailer"/>
        <s v="GDN"/>
        <s v="Google Search"/>
      </sharedItems>
    </cacheField>
    <cacheField name="Site (DFA)" numFmtId="0">
      <sharedItems containsMixedTypes="1" containsNumber="1" containsInteger="1" minValue="1" maxValue="4" count="14">
        <s v="DotMena.com"/>
        <s v="IKOO Network"/>
        <s v="Kooora"/>
        <s v="Yahoo Maktoob!"/>
        <s v="InMobi"/>
        <s v="Yahoo Mobile"/>
        <s v="EmailCiti"/>
        <s v="Arabian Business"/>
        <s v="Google Display Network"/>
        <s v="Search"/>
        <n v="2" u="1"/>
        <n v="1" u="1"/>
        <n v="3" u="1"/>
        <n v="4" u="1"/>
      </sharedItems>
    </cacheField>
    <cacheField name="Impression Reach" numFmtId="0">
      <sharedItems containsMixedTypes="1" containsNumber="1" containsInteger="1" minValue="140471" maxValue="432914"/>
    </cacheField>
    <cacheField name="Click Reach" numFmtId="0">
      <sharedItems containsMixedTypes="1" containsNumber="1" containsInteger="1" minValue="260" maxValue="1814"/>
    </cacheField>
    <cacheField name="Impressions" numFmtId="0">
      <sharedItems containsSemiMixedTypes="0" containsString="0" containsNumber="1" containsInteger="1" minValue="98988" maxValue="2281933"/>
    </cacheField>
    <cacheField name="Clicks" numFmtId="0">
      <sharedItems containsSemiMixedTypes="0" containsString="0" containsNumber="1" containsInteger="1" minValue="297" maxValue="2146"/>
    </cacheField>
    <cacheField name="Booked Impressions" numFmtId="0">
      <sharedItems containsSemiMixedTypes="0" containsString="0" containsNumber="1" minValue="500000" maxValue="5337000"/>
    </cacheField>
    <cacheField name="Total Amount" numFmtId="0">
      <sharedItems containsSemiMixedTypes="0" containsString="0" containsNumber="1" containsInteger="1" minValue="100000" maxValue="100000"/>
    </cacheField>
    <cacheField name="CTR" numFmtId="0" formula="Clicks/Impressions" databaseField="0"/>
    <cacheField name="Unique CTR" numFmtId="0" formula="IFERROR('Click Reach'/'Impression Reach',0)" databaseField="0"/>
    <cacheField name="Orginal CPM" numFmtId="0" formula="('Total Amount'/'Booked Impressions')*1000" databaseField="0"/>
    <cacheField name="Amount Spend" numFmtId="0" formula="'Total Amount'/('Booked Impressions'/1000)*('Impression Reach'/1000)" databaseField="0"/>
    <cacheField name="Effective CPM" numFmtId="0" formula="('Amount Spend'/Impressions)*1000" databaseField="0"/>
    <cacheField name="eCPC" numFmtId="0" formula="IFERROR('Amount Spend'/Clicks,0)" databaseField="0"/>
    <cacheField name="Original CPC" numFmtId="0" formula="('Total Amount'/'Booked Impressions')*1000" databaseField="0"/>
    <cacheField name="Open Rate" numFmtId="0" formula="Impressions/'Booked Impression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Vibhor" refreshedDate="41549.500373263887" createdVersion="4" refreshedVersion="4" minRefreshableVersion="3" recordCount="1957">
  <cacheSource type="worksheet">
    <worksheetSource name="=Conv"/>
  </cacheSource>
  <cacheFields count="17">
    <cacheField name="Advertiser" numFmtId="0">
      <sharedItems/>
    </cacheField>
    <cacheField name="Campaign" numFmtId="0">
      <sharedItems/>
    </cacheField>
    <cacheField name="Site (DFA)" numFmtId="0">
      <sharedItems count="3">
        <s v="GulfNews.com"/>
        <s v="ManoramaOnline"/>
        <s v="Times of India"/>
      </sharedItems>
    </cacheField>
    <cacheField name="Placement" numFmtId="0">
      <sharedItems/>
    </cacheField>
    <cacheField name="Date" numFmtId="0">
      <sharedItems/>
    </cacheField>
    <cacheField name="Hour" numFmtId="0">
      <sharedItems/>
    </cacheField>
    <cacheField name="Impressions" numFmtId="0">
      <sharedItems containsSemiMixedTypes="0" containsString="0" containsNumber="1" containsInteger="1" minValue="0" maxValue="19406"/>
    </cacheField>
    <cacheField name="Clicks" numFmtId="0">
      <sharedItems containsSemiMixedTypes="0" containsString="0" containsNumber="1" containsInteger="1" minValue="0" maxValue="43"/>
    </cacheField>
    <cacheField name="Total Conversions" numFmtId="0">
      <sharedItems containsSemiMixedTypes="0" containsString="0" containsNumber="1" containsInteger="1" minValue="0" maxValue="35"/>
    </cacheField>
    <cacheField name="Click-through Conversions" numFmtId="0">
      <sharedItems containsSemiMixedTypes="0" containsString="0" containsNumber="1" containsInteger="1" minValue="0" maxValue="34"/>
    </cacheField>
    <cacheField name="View-through Conversions" numFmtId="0">
      <sharedItems containsSemiMixedTypes="0" containsString="0" containsNumber="1" containsInteger="1" minValue="0" maxValue="20"/>
    </cacheField>
    <cacheField name="Total Revenue" numFmtId="0">
      <sharedItems containsSemiMixedTypes="0" containsString="0" containsNumber="1" containsInteger="1" minValue="0" maxValue="2000"/>
    </cacheField>
    <cacheField name="Click-through Revenue" numFmtId="0">
      <sharedItems containsSemiMixedTypes="0" containsString="0" containsNumber="1" containsInteger="1" minValue="0" maxValue="2000"/>
    </cacheField>
    <cacheField name="View-through Revenue" numFmtId="0">
      <sharedItems containsSemiMixedTypes="0" containsString="0" containsNumber="1" containsInteger="1" minValue="0" maxValue="1500"/>
    </cacheField>
    <cacheField name="Cost" numFmtId="0">
      <sharedItems containsSemiMixedTypes="0" containsString="0" containsNumber="1" containsInteger="1" minValue="0" maxValue="0"/>
    </cacheField>
    <cacheField name="CTR" numFmtId="0" formula="Clicks/Impressions" databaseField="0"/>
    <cacheField name="Conv Rate" numFmtId="0" formula="'Total Conversions'/Click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5">
  <r>
    <s v="Yousef Garage_Phase  3_August 2013"/>
    <s v="7831736"/>
    <x v="0"/>
    <s v="Homepage &amp; Sport - Page Push Down - AR - BH"/>
    <s v="D1G - Push Down - AR - BH"/>
    <s v="D1G_Pushdown_AR"/>
    <s v="Rich Media Expandable"/>
    <n v="24039"/>
    <n v="145"/>
    <n v="16"/>
    <n v="812"/>
    <n v="16301"/>
    <n v="13.45"/>
    <n v="0"/>
    <n v="0"/>
    <n v="0"/>
    <n v="0"/>
  </r>
  <r>
    <s v="Yousef Garage_Phase  3_August 2013"/>
    <s v="7831736"/>
    <x v="0"/>
    <s v="Homepage &amp; Sport - Page Push Down - AR - KSA"/>
    <s v="D1G - Push Down - AR - KSA"/>
    <s v="D1G_Pushdown_AR"/>
    <s v="Rich Media Expandable"/>
    <n v="223623"/>
    <n v="2463"/>
    <n v="706"/>
    <n v="39797"/>
    <n v="176524"/>
    <n v="16.79"/>
    <n v="0"/>
    <n v="0"/>
    <n v="0"/>
    <n v="0"/>
  </r>
  <r>
    <s v="Yousef Garage_Phase  3_August 2013"/>
    <s v="7831736"/>
    <x v="0"/>
    <s v="Homepage &amp; Sport - Page Push Down - AR - KWT"/>
    <s v="D1G - Push Down - AR - KWT"/>
    <s v="D1G_Pushdown_AR"/>
    <s v="Rich Media Expandable"/>
    <n v="37586"/>
    <n v="309"/>
    <n v="49"/>
    <n v="2534"/>
    <n v="23225"/>
    <n v="13.24"/>
    <n v="0"/>
    <n v="0"/>
    <n v="0"/>
    <n v="0"/>
  </r>
  <r>
    <s v="Yousef Garage_Phase  3_August 2013"/>
    <s v="7831736"/>
    <x v="0"/>
    <s v="Homepage &amp; Sport - Page Push Down - AR - Oman"/>
    <s v="D1G - Push Down - AR - Oman"/>
    <s v="D1G_Pushdown_AR"/>
    <s v="Rich Media Expandable"/>
    <n v="24056"/>
    <n v="132"/>
    <n v="34"/>
    <n v="2503"/>
    <n v="17867"/>
    <n v="14.14"/>
    <n v="0"/>
    <n v="0"/>
    <n v="0"/>
    <n v="0"/>
  </r>
  <r>
    <s v="Yousef Garage_Phase  3_August 2013"/>
    <s v="7831736"/>
    <x v="0"/>
    <s v="Homepage &amp; Sport - Page Push Down - AR - QTR"/>
    <s v="D1G - Push Down - AR - QTR"/>
    <s v="D1G_Pushdown_AR"/>
    <s v="Rich Media Expandable"/>
    <n v="21344"/>
    <n v="156"/>
    <n v="16"/>
    <n v="685"/>
    <n v="16787"/>
    <n v="16.93"/>
    <n v="0"/>
    <n v="0"/>
    <n v="0"/>
    <n v="0"/>
  </r>
  <r>
    <s v="Yousef Garage_Phase  3_August 2013"/>
    <s v="7831736"/>
    <x v="0"/>
    <s v="Homepage &amp; Sport - Page Push Down - AR - UAE"/>
    <s v="D1G - Push Down - AR - UAE"/>
    <s v="D1G_Pushdown_AR"/>
    <s v="Rich Media Expandable"/>
    <n v="42816"/>
    <n v="362"/>
    <n v="118"/>
    <n v="8053"/>
    <n v="33160"/>
    <n v="15.09"/>
    <n v="0"/>
    <n v="0"/>
    <n v="0"/>
    <n v="0"/>
  </r>
  <r>
    <s v="Yousef Garage_Phase  3_August 2013"/>
    <s v="7831736"/>
    <x v="0"/>
    <s v="Homepage &amp; Sport - Vid 300x250 - AR - BH"/>
    <s v="D1G - Vid 300x250 - AR - BH"/>
    <s v="FME_PrimaryBrandPhase3_300x250_AR.swf"/>
    <s v="Flash In-Page"/>
    <n v="21271"/>
    <n v="37"/>
    <n v="0"/>
    <n v="0"/>
    <n v="0"/>
    <n v="0"/>
    <n v="0"/>
    <n v="0"/>
    <n v="0"/>
    <n v="0"/>
  </r>
  <r>
    <s v="Yousef Garage_Phase  3_August 2013"/>
    <s v="7831736"/>
    <x v="0"/>
    <s v="Homepage &amp; Sport - Vid 300x250 - AR - BH"/>
    <s v="D1G - Vid 300x250 - AR - BH"/>
    <s v="FME_PrimaryBrandPhase3_300x250_Contest_AR.swf"/>
    <s v="Flash In-Page"/>
    <n v="2825"/>
    <n v="5"/>
    <n v="0"/>
    <n v="0"/>
    <n v="0"/>
    <n v="0"/>
    <n v="0"/>
    <n v="0"/>
    <n v="0"/>
    <n v="0"/>
  </r>
  <r>
    <s v="Yousef Garage_Phase  3_August 2013"/>
    <s v="7831736"/>
    <x v="0"/>
    <s v="Homepage &amp; Sport - Vid 300x250 - AR - BH"/>
    <s v="D1G - Vid 300x250 - AR - BH"/>
    <s v="FME_PrimaryBrandPhase3_300x250_Simulator_AR.swf"/>
    <s v="Flash In-Page"/>
    <n v="40"/>
    <n v="0"/>
    <n v="0"/>
    <n v="0"/>
    <n v="0"/>
    <n v="0"/>
    <n v="0"/>
    <n v="0"/>
    <n v="0"/>
    <n v="0"/>
  </r>
  <r>
    <s v="Yousef Garage_Phase  3_August 2013"/>
    <s v="7831736"/>
    <x v="0"/>
    <s v="Homepage &amp; Sport - Vid 300x250 - AR - KSA"/>
    <s v="D1G - Vid 300x250 - AR - KSA"/>
    <s v="FME_PrimaryBrandPhase3_300x250_AR.swf"/>
    <s v="Flash In-Page"/>
    <n v="197388"/>
    <n v="295"/>
    <n v="0"/>
    <n v="0"/>
    <n v="0"/>
    <n v="0"/>
    <n v="0"/>
    <n v="0"/>
    <n v="0"/>
    <n v="0"/>
  </r>
  <r>
    <s v="Yousef Garage_Phase  3_August 2013"/>
    <s v="7831736"/>
    <x v="0"/>
    <s v="Homepage &amp; Sport - Vid 300x250 - AR - KSA"/>
    <s v="D1G - Vid 300x250 - AR - KSA"/>
    <s v="FME_PrimaryBrandPhase3_300x250_Contest_AR.swf"/>
    <s v="Flash In-Page"/>
    <n v="26178"/>
    <n v="34"/>
    <n v="0"/>
    <n v="0"/>
    <n v="0"/>
    <n v="0"/>
    <n v="0"/>
    <n v="0"/>
    <n v="0"/>
    <n v="0"/>
  </r>
  <r>
    <s v="Yousef Garage_Phase  3_August 2013"/>
    <s v="7831736"/>
    <x v="0"/>
    <s v="Homepage &amp; Sport - Vid 300x250 - AR - KSA"/>
    <s v="D1G - Vid 300x250 - AR - KSA"/>
    <s v="FME_PrimaryBrandPhase3_300x250_Simulator_AR.swf"/>
    <s v="Flash In-Page"/>
    <n v="307"/>
    <n v="0"/>
    <n v="0"/>
    <n v="0"/>
    <n v="0"/>
    <n v="0"/>
    <n v="0"/>
    <n v="0"/>
    <n v="0"/>
    <n v="0"/>
  </r>
  <r>
    <s v="Yousef Garage_Phase  3_August 2013"/>
    <s v="7831736"/>
    <x v="0"/>
    <s v="Homepage &amp; Sport - Vid 300x250 - AR - KWT"/>
    <s v="D1G - Vid 300x250 - AR - KWT"/>
    <s v="FME_PrimaryBrandPhase3_300x250_AR.swf"/>
    <s v="Flash In-Page"/>
    <n v="33356"/>
    <n v="70"/>
    <n v="0"/>
    <n v="0"/>
    <n v="0"/>
    <n v="0"/>
    <n v="0"/>
    <n v="0"/>
    <n v="0"/>
    <n v="0"/>
  </r>
  <r>
    <s v="Yousef Garage_Phase  3_August 2013"/>
    <s v="7831736"/>
    <x v="0"/>
    <s v="Homepage &amp; Sport - Vid 300x250 - AR - KWT"/>
    <s v="D1G - Vid 300x250 - AR - KWT"/>
    <s v="FME_PrimaryBrandPhase3_300x250_Contest_AR.swf"/>
    <s v="Flash In-Page"/>
    <n v="4180"/>
    <n v="16"/>
    <n v="0"/>
    <n v="0"/>
    <n v="0"/>
    <n v="0"/>
    <n v="0"/>
    <n v="0"/>
    <n v="0"/>
    <n v="0"/>
  </r>
  <r>
    <s v="Yousef Garage_Phase  3_August 2013"/>
    <s v="7831736"/>
    <x v="0"/>
    <s v="Homepage &amp; Sport - Vid 300x250 - AR - KWT"/>
    <s v="D1G - Vid 300x250 - AR - KWT"/>
    <s v="FME_PrimaryBrandPhase3_300x250_Simulator_AR.swf"/>
    <s v="Flash In-Page"/>
    <n v="66"/>
    <n v="0"/>
    <n v="0"/>
    <n v="0"/>
    <n v="0"/>
    <n v="0"/>
    <n v="0"/>
    <n v="0"/>
    <n v="0"/>
    <n v="0"/>
  </r>
  <r>
    <s v="Yousef Garage_Phase  3_August 2013"/>
    <s v="7831736"/>
    <x v="0"/>
    <s v="Homepage &amp; Sport - Vid 300x250 - AR - Oman"/>
    <s v="D1G - Vid 300x250 - AR - Oman"/>
    <s v="FME_PrimaryBrandPhase3_300x250_AR.swf"/>
    <s v="Flash In-Page"/>
    <n v="21097"/>
    <n v="22"/>
    <n v="0"/>
    <n v="0"/>
    <n v="0"/>
    <n v="0"/>
    <n v="0"/>
    <n v="0"/>
    <n v="0"/>
    <n v="0"/>
  </r>
  <r>
    <s v="Yousef Garage_Phase  3_August 2013"/>
    <s v="7831736"/>
    <x v="0"/>
    <s v="Homepage &amp; Sport - Vid 300x250 - AR - Oman"/>
    <s v="D1G - Vid 300x250 - AR - Oman"/>
    <s v="FME_PrimaryBrandPhase3_300x250_Contest_AR.swf"/>
    <s v="Flash In-Page"/>
    <n v="2808"/>
    <n v="6"/>
    <n v="0"/>
    <n v="0"/>
    <n v="0"/>
    <n v="0"/>
    <n v="0"/>
    <n v="0"/>
    <n v="0"/>
    <n v="0"/>
  </r>
  <r>
    <s v="Yousef Garage_Phase  3_August 2013"/>
    <s v="7831736"/>
    <x v="0"/>
    <s v="Homepage &amp; Sport - Vid 300x250 - AR - Oman"/>
    <s v="D1G - Vid 300x250 - AR - Oman"/>
    <s v="FME_PrimaryBrandPhase3_300x250_Simulator_AR.swf"/>
    <s v="Flash In-Page"/>
    <n v="18"/>
    <n v="0"/>
    <n v="0"/>
    <n v="0"/>
    <n v="0"/>
    <n v="0"/>
    <n v="0"/>
    <n v="0"/>
    <n v="0"/>
    <n v="0"/>
  </r>
  <r>
    <s v="Yousef Garage_Phase  3_August 2013"/>
    <s v="7831736"/>
    <x v="0"/>
    <s v="Homepage &amp; Sport - Vid 300x250 - AR - QTR"/>
    <s v="D1G - Vid 300x250 - AR - QTR"/>
    <s v="FME_PrimaryBrandPhase3_300x250_AR.swf"/>
    <s v="Flash In-Page"/>
    <n v="20944"/>
    <n v="35"/>
    <n v="0"/>
    <n v="0"/>
    <n v="0"/>
    <n v="0"/>
    <n v="0"/>
    <n v="0"/>
    <n v="0"/>
    <n v="0"/>
  </r>
  <r>
    <s v="Yousef Garage_Phase  3_August 2013"/>
    <s v="7831736"/>
    <x v="0"/>
    <s v="Homepage &amp; Sport - Vid 300x250 - AR - QTR"/>
    <s v="D1G - Vid 300x250 - AR - QTR"/>
    <s v="FME_PrimaryBrandPhase3_300x250_Contest_AR.swf"/>
    <s v="Flash In-Page"/>
    <n v="2741"/>
    <n v="2"/>
    <n v="0"/>
    <n v="0"/>
    <n v="0"/>
    <n v="0"/>
    <n v="0"/>
    <n v="0"/>
    <n v="0"/>
    <n v="0"/>
  </r>
  <r>
    <s v="Yousef Garage_Phase  3_August 2013"/>
    <s v="7831736"/>
    <x v="0"/>
    <s v="Homepage &amp; Sport - Vid 300x250 - AR - QTR"/>
    <s v="D1G - Vid 300x250 - AR - QTR"/>
    <s v="FME_PrimaryBrandPhase3_300x250_Simulator_AR.swf"/>
    <s v="Flash In-Page"/>
    <n v="44"/>
    <n v="0"/>
    <n v="0"/>
    <n v="0"/>
    <n v="0"/>
    <n v="0"/>
    <n v="0"/>
    <n v="0"/>
    <n v="0"/>
    <n v="0"/>
  </r>
  <r>
    <s v="Yousef Garage_Phase  3_August 2013"/>
    <s v="7831736"/>
    <x v="0"/>
    <s v="Homepage &amp; Sport - Vid 300x250 - AR - UAE"/>
    <s v="D1G - Vid 300x250 - AR - UAE"/>
    <s v="FME_PrimaryBrandPhase3_300x250_AR.swf"/>
    <s v="Flash In-Page"/>
    <n v="37433"/>
    <n v="49"/>
    <n v="0"/>
    <n v="0"/>
    <n v="0"/>
    <n v="0"/>
    <n v="0"/>
    <n v="0"/>
    <n v="0"/>
    <n v="0"/>
  </r>
  <r>
    <s v="Yousef Garage_Phase  3_August 2013"/>
    <s v="7831736"/>
    <x v="0"/>
    <s v="Homepage &amp; Sport - Vid 300x250 - AR - UAE"/>
    <s v="D1G - Vid 300x250 - AR - UAE"/>
    <s v="FME_PrimaryBrandPhase3_300x250_Contest_AR.swf"/>
    <s v="Flash In-Page"/>
    <n v="5042"/>
    <n v="10"/>
    <n v="0"/>
    <n v="0"/>
    <n v="0"/>
    <n v="0"/>
    <n v="0"/>
    <n v="0"/>
    <n v="0"/>
    <n v="0"/>
  </r>
  <r>
    <s v="Yousef Garage_Phase  3_August 2013"/>
    <s v="7831736"/>
    <x v="0"/>
    <s v="Homepage &amp; Sport - Vid 300x250 - AR - UAE"/>
    <s v="D1G - Vid 300x250 - AR - UAE"/>
    <s v="FME_PrimaryBrandPhase3_300x250_Simulator_AR.swf"/>
    <s v="Flash In-Page"/>
    <n v="38"/>
    <n v="0"/>
    <n v="0"/>
    <n v="0"/>
    <n v="0"/>
    <n v="0"/>
    <n v="0"/>
    <n v="0"/>
    <n v="0"/>
    <n v="0"/>
  </r>
  <r>
    <s v="Yousef Garage_Phase  3_August 2013"/>
    <s v="7831736"/>
    <x v="1"/>
    <s v="RON - 728x90 - AR - BH"/>
    <s v="Ikoo - 728x90 - AR - BH"/>
    <s v="FME_PrimaryBrandPhase3_728x90_AR.jpg"/>
    <s v="Gif"/>
    <n v="102815"/>
    <n v="68"/>
    <n v="0"/>
    <n v="0"/>
    <n v="0"/>
    <n v="0"/>
    <n v="0"/>
    <n v="0"/>
    <n v="0"/>
    <n v="0"/>
  </r>
  <r>
    <s v="Yousef Garage_Phase  3_August 2013"/>
    <s v="7831736"/>
    <x v="1"/>
    <s v="RON - 728x90 - AR - KSA"/>
    <s v="Ikoo - 728x90 - AR - KSA"/>
    <s v="FME_PrimaryBrandPhase3_728x90_AR.jpg"/>
    <s v="Gif"/>
    <n v="483348"/>
    <n v="453"/>
    <n v="0"/>
    <n v="0"/>
    <n v="0"/>
    <n v="0"/>
    <n v="0"/>
    <n v="0"/>
    <n v="0"/>
    <n v="0"/>
  </r>
  <r>
    <s v="Yousef Garage_Phase  3_August 2013"/>
    <s v="7831736"/>
    <x v="1"/>
    <s v="RON - 728x90 - AR - KWT"/>
    <s v="Ikoo - 728x90 - AR - KWT"/>
    <s v="FME_PrimaryBrandPhase3_728x90_AR.jpg"/>
    <s v="Gif"/>
    <n v="226432"/>
    <n v="339"/>
    <n v="0"/>
    <n v="0"/>
    <n v="0"/>
    <n v="0"/>
    <n v="0"/>
    <n v="0"/>
    <n v="0"/>
    <n v="0"/>
  </r>
  <r>
    <s v="Yousef Garage_Phase  3_August 2013"/>
    <s v="7831736"/>
    <x v="1"/>
    <s v="RON - 728x90 - AR - Oman"/>
    <s v="Ikoo - 728x90 - AR - Oman"/>
    <s v="FME_PrimaryBrandPhase3_728x90_AR.jpg"/>
    <s v="Gif"/>
    <n v="174361"/>
    <n v="201"/>
    <n v="0"/>
    <n v="0"/>
    <n v="0"/>
    <n v="0"/>
    <n v="0"/>
    <n v="0"/>
    <n v="0"/>
    <n v="0"/>
  </r>
  <r>
    <s v="Yousef Garage_Phase  3_August 2013"/>
    <s v="7831736"/>
    <x v="1"/>
    <s v="RON - 728x90 - AR - QTR"/>
    <s v="Ikoo - 728x90 - AR - QTR"/>
    <s v="FME_PrimaryBrandPhase3_728x90_AR.jpg"/>
    <s v="Gif"/>
    <n v="58420"/>
    <n v="46"/>
    <n v="0"/>
    <n v="0"/>
    <n v="0"/>
    <n v="0"/>
    <n v="0"/>
    <n v="0"/>
    <n v="0"/>
    <n v="0"/>
  </r>
  <r>
    <s v="Yousef Garage_Phase  3_August 2013"/>
    <s v="7831736"/>
    <x v="1"/>
    <s v="RON - 728x90 - AR - UAE"/>
    <s v="Ikoo - 728x90 - AR - UAE"/>
    <s v="FME_PrimaryBrandPhase3_728x90_AR.jpg"/>
    <s v="Gif"/>
    <n v="177326"/>
    <n v="94"/>
    <n v="0"/>
    <n v="0"/>
    <n v="0"/>
    <n v="0"/>
    <n v="0"/>
    <n v="0"/>
    <n v="0"/>
    <n v="0"/>
  </r>
  <r>
    <s v="Yousef Garage_Phase  3_August 2013"/>
    <s v="7831736"/>
    <x v="1"/>
    <s v="RON - Video 300x250 - AR - BH"/>
    <s v="Ikoo - Vid 300x250 - AR - BH"/>
    <s v="FME_PrimaryBrandPhase3_300x250_AR.swf"/>
    <s v="Flash In-Page"/>
    <n v="74970"/>
    <n v="113"/>
    <n v="0"/>
    <n v="0"/>
    <n v="0"/>
    <n v="0"/>
    <n v="0"/>
    <n v="0"/>
    <n v="0"/>
    <n v="0"/>
  </r>
  <r>
    <s v="Yousef Garage_Phase  3_August 2013"/>
    <s v="7831736"/>
    <x v="1"/>
    <s v="RON - Video 300x250 - AR - BH"/>
    <s v="Ikoo - Vid 300x250 - AR - BH"/>
    <s v="FME_PrimaryBrandPhase3_300x250_Contest_AR.swf"/>
    <s v="Flash In-Page"/>
    <n v="5531"/>
    <n v="3"/>
    <n v="0"/>
    <n v="0"/>
    <n v="0"/>
    <n v="0"/>
    <n v="0"/>
    <n v="0"/>
    <n v="0"/>
    <n v="0"/>
  </r>
  <r>
    <s v="Yousef Garage_Phase  3_August 2013"/>
    <s v="7831736"/>
    <x v="1"/>
    <s v="RON - Video 300x250 - AR - BH"/>
    <s v="Ikoo - Vid 300x250 - AR - BH"/>
    <s v="FME_PrimaryBrandPhase3_300x250_Simulator_AR.swf"/>
    <s v="Flash In-Page"/>
    <n v="37"/>
    <n v="1"/>
    <n v="0"/>
    <n v="0"/>
    <n v="0"/>
    <n v="0"/>
    <n v="0"/>
    <n v="0"/>
    <n v="0"/>
    <n v="0"/>
  </r>
  <r>
    <s v="Yousef Garage_Phase  3_August 2013"/>
    <s v="7831736"/>
    <x v="1"/>
    <s v="RON - Video 300x250 - AR - KSA"/>
    <s v="Ikoo - Vid 300x250 - AR - KSA"/>
    <s v="FME_PrimaryBrandPhase3_300x250_AR.swf"/>
    <s v="Flash In-Page"/>
    <n v="709291"/>
    <n v="756"/>
    <n v="0"/>
    <n v="0"/>
    <n v="0"/>
    <n v="0"/>
    <n v="0"/>
    <n v="0"/>
    <n v="0"/>
    <n v="0"/>
  </r>
  <r>
    <s v="Yousef Garage_Phase  3_August 2013"/>
    <s v="7831736"/>
    <x v="1"/>
    <s v="RON - Video 300x250 - AR - KSA"/>
    <s v="Ikoo - Vid 300x250 - AR - KSA"/>
    <s v="FME_PrimaryBrandPhase3_300x250_Contest_AR.swf"/>
    <s v="Flash In-Page"/>
    <n v="115512"/>
    <n v="129"/>
    <n v="0"/>
    <n v="0"/>
    <n v="0"/>
    <n v="0"/>
    <n v="0"/>
    <n v="0"/>
    <n v="0"/>
    <n v="0"/>
  </r>
  <r>
    <s v="Yousef Garage_Phase  3_August 2013"/>
    <s v="7831736"/>
    <x v="1"/>
    <s v="RON - Video 300x250 - AR - KSA"/>
    <s v="Ikoo - Vid 300x250 - AR - KSA"/>
    <s v="FME_PrimaryBrandPhase3_300x250_Simulator_AR.swf"/>
    <s v="Flash In-Page"/>
    <n v="1509"/>
    <n v="1"/>
    <n v="0"/>
    <n v="0"/>
    <n v="0"/>
    <n v="0"/>
    <n v="0"/>
    <n v="0"/>
    <n v="0"/>
    <n v="0"/>
  </r>
  <r>
    <s v="Yousef Garage_Phase  3_August 2013"/>
    <s v="7831736"/>
    <x v="1"/>
    <s v="RON - Video 300x250 - AR - KWT"/>
    <s v="Ikoo - Vid 300x250 - AR - KWT"/>
    <s v="FME_PrimaryBrandPhase3_300x250_AR.swf"/>
    <s v="Flash In-Page"/>
    <n v="170709"/>
    <n v="220"/>
    <n v="0"/>
    <n v="0"/>
    <n v="0"/>
    <n v="0"/>
    <n v="0"/>
    <n v="0"/>
    <n v="0"/>
    <n v="0"/>
  </r>
  <r>
    <s v="Yousef Garage_Phase  3_August 2013"/>
    <s v="7831736"/>
    <x v="1"/>
    <s v="RON - Video 300x250 - AR - KWT"/>
    <s v="Ikoo - Vid 300x250 - AR - KWT"/>
    <s v="FME_PrimaryBrandPhase3_300x250_Contest_AR.swf"/>
    <s v="Flash In-Page"/>
    <n v="13604"/>
    <n v="33"/>
    <n v="0"/>
    <n v="0"/>
    <n v="0"/>
    <n v="0"/>
    <n v="0"/>
    <n v="0"/>
    <n v="0"/>
    <n v="0"/>
  </r>
  <r>
    <s v="Yousef Garage_Phase  3_August 2013"/>
    <s v="7831736"/>
    <x v="1"/>
    <s v="RON - Video 300x250 - AR - KWT"/>
    <s v="Ikoo - Vid 300x250 - AR - KWT"/>
    <s v="FME_PrimaryBrandPhase3_300x250_Simulator_AR.swf"/>
    <s v="Flash In-Page"/>
    <n v="144"/>
    <n v="0"/>
    <n v="0"/>
    <n v="0"/>
    <n v="0"/>
    <n v="0"/>
    <n v="0"/>
    <n v="0"/>
    <n v="0"/>
    <n v="0"/>
  </r>
  <r>
    <s v="Yousef Garage_Phase  3_August 2013"/>
    <s v="7831736"/>
    <x v="1"/>
    <s v="RON - Video 300x250 - AR - Oman"/>
    <s v="Ikoo - Vid 300x250 - AR - Oman"/>
    <s v="FME_PrimaryBrandPhase3_300x250_AR.swf"/>
    <s v="Flash In-Page"/>
    <n v="166110"/>
    <n v="192"/>
    <n v="0"/>
    <n v="0"/>
    <n v="0"/>
    <n v="0"/>
    <n v="0"/>
    <n v="0"/>
    <n v="0"/>
    <n v="0"/>
  </r>
  <r>
    <s v="Yousef Garage_Phase  3_August 2013"/>
    <s v="7831736"/>
    <x v="1"/>
    <s v="RON - Video 300x250 - AR - Oman"/>
    <s v="Ikoo - Vid 300x250 - AR - Oman"/>
    <s v="FME_PrimaryBrandPhase3_300x250_Contest_AR.swf"/>
    <s v="Flash In-Page"/>
    <n v="22262"/>
    <n v="31"/>
    <n v="0"/>
    <n v="0"/>
    <n v="0"/>
    <n v="0"/>
    <n v="0"/>
    <n v="0"/>
    <n v="0"/>
    <n v="0"/>
  </r>
  <r>
    <s v="Yousef Garage_Phase  3_August 2013"/>
    <s v="7831736"/>
    <x v="1"/>
    <s v="RON - Video 300x250 - AR - Oman"/>
    <s v="Ikoo - Vid 300x250 - AR - Oman"/>
    <s v="FME_PrimaryBrandPhase3_300x250_Simulator_AR.swf"/>
    <s v="Flash In-Page"/>
    <n v="18"/>
    <n v="0"/>
    <n v="0"/>
    <n v="0"/>
    <n v="0"/>
    <n v="0"/>
    <n v="0"/>
    <n v="0"/>
    <n v="0"/>
    <n v="0"/>
  </r>
  <r>
    <s v="Yousef Garage_Phase  3_August 2013"/>
    <s v="7831736"/>
    <x v="1"/>
    <s v="RON - Video 300x250 - AR - QTR"/>
    <s v="Ikoo - Vid 300x250 - AR - QTR"/>
    <s v="FME_PrimaryBrandPhase3_300x250_AR.swf"/>
    <s v="Flash In-Page"/>
    <n v="48292"/>
    <n v="54"/>
    <n v="0"/>
    <n v="0"/>
    <n v="0"/>
    <n v="0"/>
    <n v="0"/>
    <n v="0"/>
    <n v="0"/>
    <n v="0"/>
  </r>
  <r>
    <s v="Yousef Garage_Phase  3_August 2013"/>
    <s v="7831736"/>
    <x v="1"/>
    <s v="RON - Video 300x250 - AR - QTR"/>
    <s v="Ikoo - Vid 300x250 - AR - QTR"/>
    <s v="FME_PrimaryBrandPhase3_300x250_Contest_AR.swf"/>
    <s v="Flash In-Page"/>
    <n v="5320"/>
    <n v="13"/>
    <n v="0"/>
    <n v="0"/>
    <n v="0"/>
    <n v="0"/>
    <n v="0"/>
    <n v="0"/>
    <n v="0"/>
    <n v="0"/>
  </r>
  <r>
    <s v="Yousef Garage_Phase  3_August 2013"/>
    <s v="7831736"/>
    <x v="1"/>
    <s v="RON - Video 300x250 - AR - QTR"/>
    <s v="Ikoo - Vid 300x250 - AR - QTR"/>
    <s v="FME_PrimaryBrandPhase3_300x250_Simulator_AR.swf"/>
    <s v="Flash In-Page"/>
    <n v="36"/>
    <n v="0"/>
    <n v="0"/>
    <n v="0"/>
    <n v="0"/>
    <n v="0"/>
    <n v="0"/>
    <n v="0"/>
    <n v="0"/>
    <n v="0"/>
  </r>
  <r>
    <s v="Yousef Garage_Phase  3_August 2013"/>
    <s v="7831736"/>
    <x v="1"/>
    <s v="RON - Video 300x250 - AR - UAE"/>
    <s v="Ikoo - Vid 300x250 - AR - UAE"/>
    <s v="FME_PrimaryBrandPhase3_300x250_AR.swf"/>
    <s v="Flash In-Page"/>
    <n v="192002"/>
    <n v="132"/>
    <n v="0"/>
    <n v="0"/>
    <n v="0"/>
    <n v="0"/>
    <n v="0"/>
    <n v="0"/>
    <n v="0"/>
    <n v="0"/>
  </r>
  <r>
    <s v="Yousef Garage_Phase  3_August 2013"/>
    <s v="7831736"/>
    <x v="1"/>
    <s v="RON - Video 300x250 - AR - UAE"/>
    <s v="Ikoo - Vid 300x250 - AR - UAE"/>
    <s v="FME_PrimaryBrandPhase3_300x250_Contest_AR.swf"/>
    <s v="Flash In-Page"/>
    <n v="13437"/>
    <n v="16"/>
    <n v="0"/>
    <n v="0"/>
    <n v="0"/>
    <n v="0"/>
    <n v="0"/>
    <n v="0"/>
    <n v="0"/>
    <n v="0"/>
  </r>
  <r>
    <s v="Yousef Garage_Phase  3_August 2013"/>
    <s v="7831736"/>
    <x v="2"/>
    <s v="Champions League - Push Down 970x66 - AR - BH"/>
    <s v="Kooora - Push Down - AR - BH"/>
    <s v="Kooora_Pushdown_AR"/>
    <s v="Rich Media Expandable"/>
    <n v="21897"/>
    <n v="150"/>
    <n v="17"/>
    <n v="265"/>
    <n v="14865"/>
    <n v="5.58"/>
    <n v="0"/>
    <n v="0"/>
    <n v="0"/>
    <n v="0"/>
  </r>
  <r>
    <s v="Yousef Garage_Phase  3_August 2013"/>
    <s v="7831736"/>
    <x v="2"/>
    <s v="Champions League - Push Down 970x66 - AR - KSA"/>
    <s v="Kooora - Push Down - AR - KSA"/>
    <s v="Kooora_Pushdown_AR"/>
    <s v="Rich Media Expandable"/>
    <n v="52770"/>
    <n v="378"/>
    <n v="38"/>
    <n v="1458"/>
    <n v="36465"/>
    <n v="6.13"/>
    <n v="0"/>
    <n v="0"/>
    <n v="0"/>
    <n v="0"/>
  </r>
  <r>
    <s v="Yousef Garage_Phase  3_August 2013"/>
    <s v="7831736"/>
    <x v="2"/>
    <s v="Champions League - Push Down 970x66 - AR - KWT"/>
    <s v="Kooora - Push Down - AR - KWT"/>
    <s v="Kooora_Pushdown_AR"/>
    <s v="Rich Media Expandable"/>
    <n v="15991"/>
    <n v="118"/>
    <n v="14"/>
    <n v="281"/>
    <n v="10671"/>
    <n v="5.82"/>
    <n v="0"/>
    <n v="0"/>
    <n v="0"/>
    <n v="0"/>
  </r>
  <r>
    <s v="Yousef Garage_Phase  3_August 2013"/>
    <s v="7831736"/>
    <x v="2"/>
    <s v="Champions League - Push Down 970x66 - AR - Oman"/>
    <s v="Kooora - Push Down - AR - Oman"/>
    <s v="Kooora_Pushdown_AR"/>
    <s v="Rich Media Expandable"/>
    <n v="18494"/>
    <n v="70"/>
    <n v="14"/>
    <n v="870"/>
    <n v="14080"/>
    <n v="6.23"/>
    <n v="0"/>
    <n v="0"/>
    <n v="0"/>
    <n v="0"/>
  </r>
  <r>
    <s v="Yousef Garage_Phase  3_August 2013"/>
    <s v="7831736"/>
    <x v="2"/>
    <s v="Champions League - Push Down 970x66 - AR - QTR"/>
    <s v="Kooora - Push Down - AR - QTR"/>
    <s v="Kooora_Pushdown_AR"/>
    <s v="Rich Media Expandable"/>
    <n v="23318"/>
    <n v="154"/>
    <n v="22"/>
    <n v="328"/>
    <n v="16470"/>
    <n v="5.91"/>
    <n v="0"/>
    <n v="0"/>
    <n v="0"/>
    <n v="0"/>
  </r>
  <r>
    <s v="Yousef Garage_Phase  3_August 2013"/>
    <s v="7831736"/>
    <x v="2"/>
    <s v="Champions League - Push Down 970x66 - AR - UAE"/>
    <s v="Kooora - Push Down - AR - UAE"/>
    <s v="Kooora_Pushdown_AR"/>
    <s v="Rich Media Expandable"/>
    <n v="24007"/>
    <n v="147"/>
    <n v="22"/>
    <n v="453"/>
    <n v="16475"/>
    <n v="5.69"/>
    <n v="0"/>
    <n v="0"/>
    <n v="0"/>
    <n v="0"/>
  </r>
  <r>
    <s v="Yousef Garage_Phase  3_August 2013"/>
    <s v="7831736"/>
    <x v="2"/>
    <s v="Champions League - Vid 300x250 - AR - BH"/>
    <s v="Kooora - Vid 300x250 - AR - BH"/>
    <s v="FME_PrimaryBrandPhase3_300x250_AR.swf"/>
    <s v="Flash In-Page"/>
    <n v="15498"/>
    <n v="15"/>
    <n v="0"/>
    <n v="0"/>
    <n v="0"/>
    <n v="0"/>
    <n v="0"/>
    <n v="0"/>
    <n v="0"/>
    <n v="0"/>
  </r>
  <r>
    <s v="Yousef Garage_Phase  3_August 2013"/>
    <s v="7831736"/>
    <x v="2"/>
    <s v="Champions League - Vid 300x250 - AR - BH"/>
    <s v="Kooora - Vid 300x250 - AR - BH"/>
    <s v="FME_PrimaryBrandPhase3_300x250_Contest_AR.swf"/>
    <s v="Flash In-Page"/>
    <n v="729"/>
    <n v="1"/>
    <n v="0"/>
    <n v="0"/>
    <n v="0"/>
    <n v="0"/>
    <n v="0"/>
    <n v="0"/>
    <n v="0"/>
    <n v="0"/>
  </r>
  <r>
    <s v="Yousef Garage_Phase  3_August 2013"/>
    <s v="7831736"/>
    <x v="2"/>
    <s v="Champions League - Vid 300x250 - AR - BH"/>
    <s v="Kooora - Vid 300x250 - AR - BH"/>
    <s v="FME_PrimaryBrandPhase3_300x250_Simulator_AR.swf"/>
    <s v="Flash In-Page"/>
    <n v="7"/>
    <n v="0"/>
    <n v="0"/>
    <n v="0"/>
    <n v="0"/>
    <n v="0"/>
    <n v="0"/>
    <n v="0"/>
    <n v="0"/>
    <n v="0"/>
  </r>
  <r>
    <s v="Yousef Garage_Phase  3_August 2013"/>
    <s v="7831736"/>
    <x v="2"/>
    <s v="Champions League - Vid 300x250 - AR - KSA"/>
    <s v="Kooora - Vid 300x250 - AR - KSA"/>
    <s v="FME_PrimaryBrandPhase3_300x250_AR.swf"/>
    <s v="Flash In-Page"/>
    <n v="67975"/>
    <n v="100"/>
    <n v="0"/>
    <n v="0"/>
    <n v="0"/>
    <n v="0"/>
    <n v="0"/>
    <n v="0"/>
    <n v="0"/>
    <n v="0"/>
  </r>
  <r>
    <s v="Yousef Garage_Phase  3_August 2013"/>
    <s v="7831736"/>
    <x v="2"/>
    <s v="Champions League - Vid 300x250 - AR - KSA"/>
    <s v="Kooora - Vid 300x250 - AR - KSA"/>
    <s v="FME_PrimaryBrandPhase3_300x250_Contest_AR.swf"/>
    <s v="Flash In-Page"/>
    <n v="6290"/>
    <n v="12"/>
    <n v="0"/>
    <n v="0"/>
    <n v="0"/>
    <n v="0"/>
    <n v="0"/>
    <n v="0"/>
    <n v="0"/>
    <n v="0"/>
  </r>
  <r>
    <s v="Yousef Garage_Phase  3_August 2013"/>
    <s v="7831736"/>
    <x v="2"/>
    <s v="Champions League - Vid 300x250 - AR - KSA"/>
    <s v="Kooora - Vid 300x250 - AR - KSA"/>
    <s v="FME_PrimaryBrandPhase3_300x250_Simulator_AR.swf"/>
    <s v="Flash In-Page"/>
    <n v="68"/>
    <n v="0"/>
    <n v="0"/>
    <n v="0"/>
    <n v="0"/>
    <n v="0"/>
    <n v="0"/>
    <n v="0"/>
    <n v="0"/>
    <n v="0"/>
  </r>
  <r>
    <s v="Yousef Garage_Phase  3_August 2013"/>
    <s v="7831736"/>
    <x v="2"/>
    <s v="Champions League - Vid 300x250 - AR - KWT"/>
    <s v="Kooora - Vid 300x250 - AR - KWT"/>
    <s v="FME_PrimaryBrandPhase3_300x250_AR.swf"/>
    <s v="Flash In-Page"/>
    <n v="9917"/>
    <n v="13"/>
    <n v="0"/>
    <n v="0"/>
    <n v="0"/>
    <n v="0"/>
    <n v="0"/>
    <n v="0"/>
    <n v="0"/>
    <n v="0"/>
  </r>
  <r>
    <s v="Yousef Garage_Phase  3_August 2013"/>
    <s v="7831736"/>
    <x v="2"/>
    <s v="Champions League - Vid 300x250 - AR - KWT"/>
    <s v="Kooora - Vid 300x250 - AR - KWT"/>
    <s v="FME_PrimaryBrandPhase3_300x250_Contest_AR.swf"/>
    <s v="Flash In-Page"/>
    <n v="479"/>
    <n v="1"/>
    <n v="0"/>
    <n v="0"/>
    <n v="0"/>
    <n v="0"/>
    <n v="0"/>
    <n v="0"/>
    <n v="0"/>
    <n v="0"/>
  </r>
  <r>
    <s v="Yousef Garage_Phase  3_August 2013"/>
    <s v="7831736"/>
    <x v="2"/>
    <s v="Champions League - Vid 300x250 - AR - KWT"/>
    <s v="Kooora - Vid 300x250 - AR - KWT"/>
    <s v="FME_PrimaryBrandPhase3_300x250_Simulator_AR.swf"/>
    <s v="Flash In-Page"/>
    <n v="3"/>
    <n v="0"/>
    <n v="0"/>
    <n v="0"/>
    <n v="0"/>
    <n v="0"/>
    <n v="0"/>
    <n v="0"/>
    <n v="0"/>
    <n v="0"/>
  </r>
  <r>
    <s v="Yousef Garage_Phase  3_August 2013"/>
    <s v="7831736"/>
    <x v="2"/>
    <s v="Champions League - Vid 300x250 - AR - Oman"/>
    <s v="Kooora - Vid 300x250 - AR - Oman"/>
    <s v="FME_PrimaryBrandPhase3_300x250_AR.swf"/>
    <s v="Flash In-Page"/>
    <n v="16757"/>
    <n v="14"/>
    <n v="0"/>
    <n v="0"/>
    <n v="0"/>
    <n v="0"/>
    <n v="0"/>
    <n v="0"/>
    <n v="0"/>
    <n v="0"/>
  </r>
  <r>
    <s v="Yousef Garage_Phase  3_August 2013"/>
    <s v="7831736"/>
    <x v="2"/>
    <s v="Champions League - Vid 300x250 - AR - Oman"/>
    <s v="Kooora - Vid 300x250 - AR - Oman"/>
    <s v="FME_PrimaryBrandPhase3_300x250_Contest_AR.swf"/>
    <s v="Flash In-Page"/>
    <n v="891"/>
    <n v="1"/>
    <n v="0"/>
    <n v="0"/>
    <n v="0"/>
    <n v="0"/>
    <n v="0"/>
    <n v="0"/>
    <n v="0"/>
    <n v="0"/>
  </r>
  <r>
    <s v="Yousef Garage_Phase  3_August 2013"/>
    <s v="7831736"/>
    <x v="2"/>
    <s v="Champions League - Vid 300x250 - AR - Oman"/>
    <s v="Kooora - Vid 300x250 - AR - Oman"/>
    <s v="FME_PrimaryBrandPhase3_300x250_Simulator_AR.swf"/>
    <s v="Flash In-Page"/>
    <n v="3"/>
    <n v="0"/>
    <n v="0"/>
    <n v="0"/>
    <n v="0"/>
    <n v="0"/>
    <n v="0"/>
    <n v="0"/>
    <n v="0"/>
    <n v="0"/>
  </r>
  <r>
    <s v="Yousef Garage_Phase  3_August 2013"/>
    <s v="7831736"/>
    <x v="2"/>
    <s v="Champions League - Vid 300x250 - AR - QTR"/>
    <s v="Kooora - Vid 300x250 - AR - QTR"/>
    <s v="FME_PrimaryBrandPhase3_300x250_AR.swf"/>
    <s v="Flash In-Page"/>
    <n v="15901"/>
    <n v="12"/>
    <n v="0"/>
    <n v="0"/>
    <n v="0"/>
    <n v="0"/>
    <n v="0"/>
    <n v="0"/>
    <n v="0"/>
    <n v="0"/>
  </r>
  <r>
    <s v="Yousef Garage_Phase  3_August 2013"/>
    <s v="7831736"/>
    <x v="2"/>
    <s v="Champions League - Vid 300x250 - AR - QTR"/>
    <s v="Kooora - Vid 300x250 - AR - QTR"/>
    <s v="FME_PrimaryBrandPhase3_300x250_Contest_AR.swf"/>
    <s v="Flash In-Page"/>
    <n v="676"/>
    <n v="0"/>
    <n v="0"/>
    <n v="0"/>
    <n v="0"/>
    <n v="0"/>
    <n v="0"/>
    <n v="0"/>
    <n v="0"/>
    <n v="0"/>
  </r>
  <r>
    <s v="Yousef Garage_Phase  3_August 2013"/>
    <s v="7831736"/>
    <x v="2"/>
    <s v="Champions League - Vid 300x250 - AR - QTR"/>
    <s v="Kooora - Vid 300x250 - AR - QTR"/>
    <s v="FME_PrimaryBrandPhase3_300x250_Simulator_AR.swf"/>
    <s v="Flash In-Page"/>
    <n v="7"/>
    <n v="0"/>
    <n v="0"/>
    <n v="0"/>
    <n v="0"/>
    <n v="0"/>
    <n v="0"/>
    <n v="0"/>
    <n v="0"/>
    <n v="0"/>
  </r>
  <r>
    <s v="Yousef Garage_Phase  3_August 2013"/>
    <s v="7831736"/>
    <x v="2"/>
    <s v="Champions League - Vid 300x250 - AR - UAE"/>
    <s v="Kooora - Vid 300x250 - AR - UAE"/>
    <s v="FME_PrimaryBrandPhase3_300x250_AR.swf"/>
    <s v="Flash In-Page"/>
    <n v="15013"/>
    <n v="25"/>
    <n v="0"/>
    <n v="0"/>
    <n v="0"/>
    <n v="0"/>
    <n v="0"/>
    <n v="0"/>
    <n v="0"/>
    <n v="0"/>
  </r>
  <r>
    <s v="Yousef Garage_Phase  3_August 2013"/>
    <s v="7831736"/>
    <x v="2"/>
    <s v="Champions League - Vid 300x250 - AR - UAE"/>
    <s v="Kooora - Vid 300x250 - AR - UAE"/>
    <s v="FME_PrimaryBrandPhase3_300x250_Contest_AR.swf"/>
    <s v="Flash In-Page"/>
    <n v="911"/>
    <n v="1"/>
    <n v="0"/>
    <n v="0"/>
    <n v="0"/>
    <n v="0"/>
    <n v="0"/>
    <n v="0"/>
    <n v="0"/>
    <n v="0"/>
  </r>
  <r>
    <s v="Yousef Garage_Phase  3_August 2013"/>
    <s v="7831736"/>
    <x v="2"/>
    <s v="Champions League - Vid 300x250 - AR - UAE"/>
    <s v="Kooora - Vid 300x250 - AR - UAE"/>
    <s v="FME_PrimaryBrandPhase3_300x250_Simulator_AR.swf"/>
    <s v="Flash In-Page"/>
    <n v="4"/>
    <n v="0"/>
    <n v="0"/>
    <n v="0"/>
    <n v="0"/>
    <n v="0"/>
    <n v="0"/>
    <n v="0"/>
    <n v="0"/>
    <n v="0"/>
  </r>
  <r>
    <s v="Yousef Garage_Phase  3_August 2013"/>
    <s v="7831736"/>
    <x v="3"/>
    <s v="Behavioural Targeting - 120x600 - AR - KSA"/>
    <s v="Yahoo - BT - 120x600 - AR - KSA"/>
    <s v="REVISED_FME_Phase3_120x600_AR.swf"/>
    <s v="Flash In-Page"/>
    <n v="36350"/>
    <n v="64"/>
    <n v="0"/>
    <n v="0"/>
    <n v="0"/>
    <n v="0"/>
    <n v="0"/>
    <n v="0"/>
    <n v="0"/>
    <n v="0"/>
  </r>
  <r>
    <s v="Yousef Garage_Phase  3_August 2013"/>
    <s v="7831736"/>
    <x v="3"/>
    <s v="Behavioural Targeting - 120x600 - AR - KWT"/>
    <s v="Yahoo - BT - 120x600 - AR - KWT"/>
    <s v="REVISED_FME_Phase3_120x600_AR.swf"/>
    <s v="Flash In-Page"/>
    <n v="13833"/>
    <n v="31"/>
    <n v="0"/>
    <n v="0"/>
    <n v="0"/>
    <n v="0"/>
    <n v="0"/>
    <n v="0"/>
    <n v="0"/>
    <n v="0"/>
  </r>
  <r>
    <s v="Yousef Garage_Phase  3_August 2013"/>
    <s v="7831736"/>
    <x v="3"/>
    <s v="Behavioural Targeting - 120x600 - AR - QTR"/>
    <s v="Yahoo - BT - 120x600 - AR - QTR"/>
    <s v="FME_PrimaryBrandPhase3_120x600_AR.jpg"/>
    <s v="Gif"/>
    <n v="1"/>
    <n v="1"/>
    <n v="0"/>
    <n v="0"/>
    <n v="0"/>
    <n v="0"/>
    <n v="0"/>
    <n v="0"/>
    <n v="0"/>
    <n v="0"/>
  </r>
  <r>
    <s v="Yousef Garage_Phase  3_August 2013"/>
    <s v="7831736"/>
    <x v="3"/>
    <s v="Behavioural Targeting - 120x600 - AR - QTR"/>
    <s v="Yahoo - BT - 120x600 - AR - QTR"/>
    <s v="REVISED_FME_Phase3_120x600_AR.swf"/>
    <s v="Flash In-Page"/>
    <n v="13366"/>
    <n v="31"/>
    <n v="0"/>
    <n v="0"/>
    <n v="0"/>
    <n v="0"/>
    <n v="0"/>
    <n v="0"/>
    <n v="0"/>
    <n v="0"/>
  </r>
  <r>
    <s v="Yousef Garage_Phase  3_August 2013"/>
    <s v="7831736"/>
    <x v="3"/>
    <s v="Behavioural Targeting - 120x600 - AR - UAE"/>
    <s v="Yahoo - BT - 120x600 - AR - UAE"/>
    <s v="FME_PrimaryBrandPhase3_120x600_AR.jpg"/>
    <s v="Gif"/>
    <n v="27"/>
    <n v="0"/>
    <n v="0"/>
    <n v="0"/>
    <n v="0"/>
    <n v="0"/>
    <n v="0"/>
    <n v="0"/>
    <n v="0"/>
    <n v="0"/>
  </r>
  <r>
    <s v="Yousef Garage_Phase  3_August 2013"/>
    <s v="7831736"/>
    <x v="3"/>
    <s v="Behavioural Targeting - 120x600 - AR - UAE"/>
    <s v="Yahoo - BT - 120x600 - AR - UAE"/>
    <s v="REVISED_FME_Phase3_120x600_AR.swf"/>
    <s v="Flash In-Page"/>
    <n v="42009"/>
    <n v="60"/>
    <n v="0"/>
    <n v="0"/>
    <n v="0"/>
    <n v="0"/>
    <n v="0"/>
    <n v="0"/>
    <n v="0"/>
    <n v="0"/>
  </r>
  <r>
    <s v="Yousef Garage_Phase  3_August 2013"/>
    <s v="7831736"/>
    <x v="3"/>
    <s v="Behavioural Targeting - 120x600 - EN - BHR"/>
    <s v="120 x 600 Default Ad"/>
    <s v="FME_PrimaryBrandPhase3_120x600_EN.jpg"/>
    <s v="Gif"/>
    <n v="39204"/>
    <n v="86"/>
    <n v="0"/>
    <n v="0"/>
    <n v="0"/>
    <n v="0"/>
    <n v="0"/>
    <n v="0"/>
    <n v="0"/>
    <n v="0"/>
  </r>
  <r>
    <s v="Yousef Garage_Phase  3_August 2013"/>
    <s v="7831736"/>
    <x v="3"/>
    <s v="Behavioural Targeting - 120x600 - EN - KSA"/>
    <s v="Yahoo - BT - 120x600 - EN - BH"/>
    <s v="FME_PrimaryBrandPhase3_120x600_EN.jpg"/>
    <s v="Gif"/>
    <n v="23"/>
    <n v="0"/>
    <n v="0"/>
    <n v="0"/>
    <n v="0"/>
    <n v="0"/>
    <n v="0"/>
    <n v="0"/>
    <n v="0"/>
    <n v="0"/>
  </r>
  <r>
    <s v="Yousef Garage_Phase  3_August 2013"/>
    <s v="7831736"/>
    <x v="3"/>
    <s v="Behavioural Targeting - 120x600 - EN - KSA"/>
    <s v="Yahoo - BT - 120x600 - EN - BH"/>
    <s v="REVISED_FME_Phase3_120x600_EN.swf"/>
    <s v="Flash In-Page"/>
    <n v="20886"/>
    <n v="35"/>
    <n v="0"/>
    <n v="0"/>
    <n v="0"/>
    <n v="0"/>
    <n v="0"/>
    <n v="0"/>
    <n v="0"/>
    <n v="0"/>
  </r>
  <r>
    <s v="Yousef Garage_Phase  3_August 2013"/>
    <s v="7831736"/>
    <x v="3"/>
    <s v="Behavioural Targeting - 120x600 - EN - KSA"/>
    <s v="Yahoo - BT - 120x600 - EN - KSA"/>
    <s v="FME_PrimaryBrandPhase3_120x600_EN.jpg"/>
    <s v="Gif"/>
    <n v="25"/>
    <n v="1"/>
    <n v="0"/>
    <n v="0"/>
    <n v="0"/>
    <n v="0"/>
    <n v="0"/>
    <n v="0"/>
    <n v="0"/>
    <n v="0"/>
  </r>
  <r>
    <s v="Yousef Garage_Phase  3_August 2013"/>
    <s v="7831736"/>
    <x v="3"/>
    <s v="Behavioural Targeting - 120x600 - EN - KSA"/>
    <s v="Yahoo - BT - 120x600 - EN - KSA"/>
    <s v="REVISED_FME_Phase3_120x600_EN.swf"/>
    <s v="Flash In-Page"/>
    <n v="20792"/>
    <n v="37"/>
    <n v="0"/>
    <n v="0"/>
    <n v="0"/>
    <n v="0"/>
    <n v="0"/>
    <n v="0"/>
    <n v="0"/>
    <n v="0"/>
  </r>
  <r>
    <s v="Yousef Garage_Phase  3_August 2013"/>
    <s v="7831736"/>
    <x v="3"/>
    <s v="Behavioural Targeting - 120x600 - EN - KWT"/>
    <s v="Yahoo - BT - 120x600 - EN - KWT"/>
    <s v="FME_PrimaryBrandPhase3_120x600_EN.jpg"/>
    <s v="Gif"/>
    <n v="1"/>
    <n v="1"/>
    <n v="0"/>
    <n v="0"/>
    <n v="0"/>
    <n v="0"/>
    <n v="0"/>
    <n v="0"/>
    <n v="0"/>
    <n v="0"/>
  </r>
  <r>
    <s v="Yousef Garage_Phase  3_August 2013"/>
    <s v="7831736"/>
    <x v="3"/>
    <s v="Behavioural Targeting - 120x600 - EN - KWT"/>
    <s v="Yahoo - BT - 120x600 - EN - KWT"/>
    <s v="REVISED_FME_Phase3_120x600_EN.swf"/>
    <s v="Flash In-Page"/>
    <n v="12681"/>
    <n v="42"/>
    <n v="0"/>
    <n v="0"/>
    <n v="0"/>
    <n v="0"/>
    <n v="0"/>
    <n v="0"/>
    <n v="0"/>
    <n v="0"/>
  </r>
  <r>
    <s v="Yousef Garage_Phase  3_August 2013"/>
    <s v="7831736"/>
    <x v="3"/>
    <s v="Behavioural Targeting - 120x600 - EN - Oman"/>
    <s v="Yahoo - BT - 120x600 - EN - Oman"/>
    <s v="REVISED_FME_Phase3_120x600_EN.swf"/>
    <s v="Flash In-Page"/>
    <n v="11967"/>
    <n v="42"/>
    <n v="0"/>
    <n v="0"/>
    <n v="0"/>
    <n v="0"/>
    <n v="0"/>
    <n v="0"/>
    <n v="0"/>
    <n v="0"/>
  </r>
  <r>
    <s v="Yousef Garage_Phase  3_August 2013"/>
    <s v="7831736"/>
    <x v="3"/>
    <s v="Behavioural Targeting - 120x600 - EN - QTR"/>
    <s v="Yahoo - BT - 120x600 - EN - QTR"/>
    <s v="FME_PrimaryBrandPhase3_120x600_EN.jpg"/>
    <s v="Gif"/>
    <n v="14"/>
    <n v="0"/>
    <n v="0"/>
    <n v="0"/>
    <n v="0"/>
    <n v="0"/>
    <n v="0"/>
    <n v="0"/>
    <n v="0"/>
    <n v="0"/>
  </r>
  <r>
    <s v="Yousef Garage_Phase  3_August 2013"/>
    <s v="7831736"/>
    <x v="3"/>
    <s v="Behavioural Targeting - 120x600 - EN - QTR"/>
    <s v="Yahoo - BT - 120x600 - EN - QTR"/>
    <s v="REVISED_FME_Phase3_120x600_EN.swf"/>
    <s v="Flash In-Page"/>
    <n v="12057"/>
    <n v="56"/>
    <n v="0"/>
    <n v="0"/>
    <n v="0"/>
    <n v="0"/>
    <n v="0"/>
    <n v="0"/>
    <n v="0"/>
    <n v="0"/>
  </r>
  <r>
    <s v="Yousef Garage_Phase  3_August 2013"/>
    <s v="7831736"/>
    <x v="3"/>
    <s v="Behavioural Targeting - 120x600 - EN - UAE"/>
    <s v="120 x 600 Default Ad"/>
    <s v="FME_PrimaryBrandPhase3_120x600_EN.jpg"/>
    <s v="Gif"/>
    <n v="1"/>
    <n v="0"/>
    <n v="0"/>
    <n v="0"/>
    <n v="0"/>
    <n v="0"/>
    <n v="0"/>
    <n v="0"/>
    <n v="0"/>
    <n v="0"/>
  </r>
  <r>
    <s v="Yousef Garage_Phase  3_August 2013"/>
    <s v="7831736"/>
    <x v="3"/>
    <s v="Behavioural Targeting - 120x600 - EN - UAE"/>
    <s v="Yahoo - BT - 120x600 - EN - UAE"/>
    <s v="FME_PrimaryBrandPhase3_120x600_EN.jpg"/>
    <s v="Gif"/>
    <n v="13"/>
    <n v="1"/>
    <n v="0"/>
    <n v="0"/>
    <n v="0"/>
    <n v="0"/>
    <n v="0"/>
    <n v="0"/>
    <n v="0"/>
    <n v="0"/>
  </r>
  <r>
    <s v="Yousef Garage_Phase  3_August 2013"/>
    <s v="7831736"/>
    <x v="3"/>
    <s v="Behavioural Targeting - 120x600 - EN - UAE"/>
    <s v="Yahoo - BT - 120x600 - EN - UAE"/>
    <s v="REVISED_FME_Phase3_120x600_EN.swf"/>
    <s v="Flash In-Page"/>
    <n v="48896"/>
    <n v="101"/>
    <n v="0"/>
    <n v="0"/>
    <n v="0"/>
    <n v="0"/>
    <n v="0"/>
    <n v="0"/>
    <n v="0"/>
    <n v="0"/>
  </r>
  <r>
    <s v="Yousef Garage_Phase  3_August 2013"/>
    <s v="7831736"/>
    <x v="3"/>
    <s v="Behavioural Targeting - 728x90 - AR - BHR"/>
    <s v="Yahoo - BT - 728x90 - AR - BH"/>
    <s v="FME_PrimaryBrandPhase3_728x90_AR.jpg"/>
    <s v="Gif"/>
    <n v="20547"/>
    <n v="38"/>
    <n v="0"/>
    <n v="0"/>
    <n v="0"/>
    <n v="0"/>
    <n v="0"/>
    <n v="0"/>
    <n v="0"/>
    <n v="0"/>
  </r>
  <r>
    <s v="Yousef Garage_Phase  3_August 2013"/>
    <s v="7831736"/>
    <x v="3"/>
    <s v="Behavioural Targeting - 728x90 - AR - KSA"/>
    <s v="Yahoo - BT - 728x90 - AR - KSA"/>
    <s v="FME_PrimaryBrandPhase3_728x90_AR.jpg"/>
    <s v="Gif"/>
    <n v="45037"/>
    <n v="58"/>
    <n v="0"/>
    <n v="0"/>
    <n v="0"/>
    <n v="0"/>
    <n v="0"/>
    <n v="0"/>
    <n v="0"/>
    <n v="0"/>
  </r>
  <r>
    <s v="Yousef Garage_Phase  3_August 2013"/>
    <s v="7831736"/>
    <x v="3"/>
    <s v="Behavioural Targeting - 728x90 - AR - Oman"/>
    <s v="Yahoo - BT - 728x90 - AR - Oman"/>
    <s v="FME_PrimaryBrandPhase3_728x90_AR.jpg"/>
    <s v="Gif"/>
    <n v="14175"/>
    <n v="37"/>
    <n v="0"/>
    <n v="0"/>
    <n v="0"/>
    <n v="0"/>
    <n v="0"/>
    <n v="0"/>
    <n v="0"/>
    <n v="0"/>
  </r>
  <r>
    <s v="Yousef Garage_Phase  3_August 2013"/>
    <s v="7831736"/>
    <x v="3"/>
    <s v="Behavioural Targeting - 728x90 - AR - QTR"/>
    <s v="Yahoo - BT - 728x90 - AR - QTR"/>
    <s v="FME_PrimaryBrandPhase3_728x90_AR.jpg"/>
    <s v="Gif"/>
    <n v="13497"/>
    <n v="37"/>
    <n v="0"/>
    <n v="0"/>
    <n v="0"/>
    <n v="0"/>
    <n v="0"/>
    <n v="0"/>
    <n v="0"/>
    <n v="0"/>
  </r>
  <r>
    <s v="Yousef Garage_Phase  3_August 2013"/>
    <s v="7831736"/>
    <x v="3"/>
    <s v="Behavioural Targeting - 728x90 - AR - UAE"/>
    <s v="Yahoo - BT - 728x90 - AR - UAE"/>
    <s v="FME_PrimaryBrandPhase3_728x90_AR.jpg"/>
    <s v="Gif"/>
    <n v="46329"/>
    <n v="50"/>
    <n v="0"/>
    <n v="0"/>
    <n v="0"/>
    <n v="0"/>
    <n v="0"/>
    <n v="0"/>
    <n v="0"/>
    <n v="0"/>
  </r>
  <r>
    <s v="Yousef Garage_Phase  3_August 2013"/>
    <s v="7831736"/>
    <x v="3"/>
    <s v="Behavioural Targeting - 728x90 - EN - BHR"/>
    <s v="Yahoo - BT - 728x90 - EN - BH"/>
    <s v="FME_PrimaryBrandPhase3_728x90_EN.jpg"/>
    <s v="Gif"/>
    <n v="29480"/>
    <n v="43"/>
    <n v="0"/>
    <n v="0"/>
    <n v="0"/>
    <n v="0"/>
    <n v="0"/>
    <n v="0"/>
    <n v="0"/>
    <n v="0"/>
  </r>
  <r>
    <s v="Yousef Garage_Phase  3_August 2013"/>
    <s v="7831736"/>
    <x v="3"/>
    <s v="Behavioural Targeting - 728x90 - EN - KSA"/>
    <s v="Yahoo - BT - 728x90 - EN - KSA"/>
    <s v="FME_PrimaryBrandPhase3_728x90_EN.jpg"/>
    <s v="Gif"/>
    <n v="42806"/>
    <n v="71"/>
    <n v="0"/>
    <n v="0"/>
    <n v="0"/>
    <n v="0"/>
    <n v="0"/>
    <n v="0"/>
    <n v="0"/>
    <n v="0"/>
  </r>
  <r>
    <s v="Yousef Garage_Phase  3_August 2013"/>
    <s v="7831736"/>
    <x v="3"/>
    <s v="Behavioural Targeting - 728x90 - EN - KWT"/>
    <s v="Yahoo - BT - 728x90 - EN - KWT"/>
    <s v="FME_PrimaryBrandPhase3_728x90_EN.jpg"/>
    <s v="Gif"/>
    <n v="25561"/>
    <n v="53"/>
    <n v="0"/>
    <n v="0"/>
    <n v="0"/>
    <n v="0"/>
    <n v="0"/>
    <n v="0"/>
    <n v="0"/>
    <n v="0"/>
  </r>
  <r>
    <s v="Yousef Garage_Phase  3_August 2013"/>
    <s v="7831736"/>
    <x v="3"/>
    <s v="Behavioural Targeting - 728x90 - EN - Oman"/>
    <s v="Yahoo - BT - 728x90 - EN - Oman"/>
    <s v="FME_PrimaryBrandPhase3_728x90_EN.jpg"/>
    <s v="Gif"/>
    <n v="21650"/>
    <n v="51"/>
    <n v="0"/>
    <n v="0"/>
    <n v="0"/>
    <n v="0"/>
    <n v="0"/>
    <n v="0"/>
    <n v="0"/>
    <n v="0"/>
  </r>
  <r>
    <s v="Yousef Garage_Phase  3_August 2013"/>
    <s v="7831736"/>
    <x v="3"/>
    <s v="Behavioural Targeting - 728x90 - EN - QTR"/>
    <s v="Yahoo - BT - 728x90 - EN - QTR"/>
    <s v="FME_PrimaryBrandPhase3_728x90_EN.jpg"/>
    <s v="Gif"/>
    <n v="13280"/>
    <n v="53"/>
    <n v="0"/>
    <n v="0"/>
    <n v="0"/>
    <n v="0"/>
    <n v="0"/>
    <n v="0"/>
    <n v="0"/>
    <n v="0"/>
  </r>
  <r>
    <s v="Yousef Garage_Phase  3_August 2013"/>
    <s v="7831736"/>
    <x v="3"/>
    <s v="Behavioural Targeting - 728x90 - EN - UAE"/>
    <s v="Yahoo - BT - 728x90 - EN - UAE"/>
    <s v="FME_PrimaryBrandPhase3_728x90_EN.jpg"/>
    <s v="Gif"/>
    <n v="39551"/>
    <n v="65"/>
    <n v="0"/>
    <n v="0"/>
    <n v="0"/>
    <n v="0"/>
    <n v="0"/>
    <n v="0"/>
    <n v="0"/>
    <n v="0"/>
  </r>
  <r>
    <s v="Yousef Garage_Phase  3_August 2013"/>
    <s v="7831736"/>
    <x v="3"/>
    <s v="Behavioural Targeting - Video 300x250 - AR - BHR"/>
    <s v="Yahoo - BT - Vid 300x250 - AR - BH"/>
    <s v="FME_PrimaryBrandPhase3_300x250_AR.swf"/>
    <s v="Flash In-Page"/>
    <n v="16576"/>
    <n v="29"/>
    <n v="0"/>
    <n v="0"/>
    <n v="0"/>
    <n v="0"/>
    <n v="0"/>
    <n v="0"/>
    <n v="0"/>
    <n v="0"/>
  </r>
  <r>
    <s v="Yousef Garage_Phase  3_August 2013"/>
    <s v="7831736"/>
    <x v="3"/>
    <s v="Behavioural Targeting - Video 300x250 - AR - BHR"/>
    <s v="Yahoo - BT - Vid 300x250 - AR - BH"/>
    <s v="FME_PrimaryBrandPhase3_300x250_Contest_AR.swf"/>
    <s v="Flash In-Page"/>
    <n v="2480"/>
    <n v="4"/>
    <n v="0"/>
    <n v="0"/>
    <n v="0"/>
    <n v="0"/>
    <n v="0"/>
    <n v="0"/>
    <n v="0"/>
    <n v="0"/>
  </r>
  <r>
    <s v="Yousef Garage_Phase  3_August 2013"/>
    <s v="7831736"/>
    <x v="3"/>
    <s v="Behavioural Targeting - Video 300x250 - AR - BHR"/>
    <s v="Yahoo - BT - Vid 300x250 - AR - BH"/>
    <s v="FME_PrimaryBrandPhase3_300x250_Simulator_AR.swf"/>
    <s v="Flash In-Page"/>
    <n v="1"/>
    <n v="1"/>
    <n v="0"/>
    <n v="0"/>
    <n v="0"/>
    <n v="0"/>
    <n v="0"/>
    <n v="0"/>
    <n v="0"/>
    <n v="0"/>
  </r>
  <r>
    <s v="Yousef Garage_Phase  3_August 2013"/>
    <s v="7831736"/>
    <x v="3"/>
    <s v="Behavioural Targeting - Video 300x250 - AR - KSA"/>
    <s v="300 x 250 Default Ad"/>
    <s v="FME_PrimaryBrandPhase3_300x250_AR.jpg"/>
    <s v="Gif"/>
    <n v="117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AR - KSA"/>
    <s v="Yahoo - BT - Vid 300x250 - AR - KSA"/>
    <s v="FME_PrimaryBrandPhase3_300x250_AR.swf"/>
    <s v="Flash In-Page"/>
    <n v="64922"/>
    <n v="59"/>
    <n v="0"/>
    <n v="0"/>
    <n v="0"/>
    <n v="0"/>
    <n v="0"/>
    <n v="0"/>
    <n v="0"/>
    <n v="0"/>
  </r>
  <r>
    <s v="Yousef Garage_Phase  3_August 2013"/>
    <s v="7831736"/>
    <x v="3"/>
    <s v="Behavioural Targeting - Video 300x250 - AR - KSA"/>
    <s v="Yahoo - BT - Vid 300x250 - AR - KSA"/>
    <s v="FME_PrimaryBrandPhase3_300x250_Contest_AR.swf"/>
    <s v="Flash In-Page"/>
    <n v="10982"/>
    <n v="1"/>
    <n v="0"/>
    <n v="0"/>
    <n v="0"/>
    <n v="0"/>
    <n v="0"/>
    <n v="0"/>
    <n v="0"/>
    <n v="0"/>
  </r>
  <r>
    <s v="Yousef Garage_Phase  3_August 2013"/>
    <s v="7831736"/>
    <x v="3"/>
    <s v="Behavioural Targeting - Video 300x250 - AR - KSA"/>
    <s v="Yahoo - BT - Vid 300x250 - AR - KSA"/>
    <s v="FME_PrimaryBrandPhase3_300x250_Simulator_AR.swf"/>
    <s v="Flash In-Page"/>
    <n v="278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AR - KWT"/>
    <s v="300 x 250 Default Ad"/>
    <s v="FME_PrimaryBrandPhase3_300x250_AR.jpg"/>
    <s v="Gif"/>
    <n v="23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AR - KWT"/>
    <s v="Yahoo - BT - Vid 300x250 - AR - KWT"/>
    <s v="FME_PrimaryBrandPhase3_300x250_AR.swf"/>
    <s v="Flash In-Page"/>
    <n v="12216"/>
    <n v="46"/>
    <n v="0"/>
    <n v="0"/>
    <n v="0"/>
    <n v="0"/>
    <n v="0"/>
    <n v="0"/>
    <n v="0"/>
    <n v="0"/>
  </r>
  <r>
    <s v="Yousef Garage_Phase  3_August 2013"/>
    <s v="7831736"/>
    <x v="3"/>
    <s v="Behavioural Targeting - Video 300x250 - AR - KWT"/>
    <s v="Yahoo - BT - Vid 300x250 - AR - KWT"/>
    <s v="FME_PrimaryBrandPhase3_300x250_Contest_AR.swf"/>
    <s v="Flash In-Page"/>
    <n v="1603"/>
    <n v="6"/>
    <n v="0"/>
    <n v="0"/>
    <n v="0"/>
    <n v="0"/>
    <n v="0"/>
    <n v="0"/>
    <n v="0"/>
    <n v="0"/>
  </r>
  <r>
    <s v="Yousef Garage_Phase  3_August 2013"/>
    <s v="7831736"/>
    <x v="3"/>
    <s v="Behavioural Targeting - Video 300x250 - AR - KWT"/>
    <s v="Yahoo - BT - Vid 300x250 - AR - KWT"/>
    <s v="FME_PrimaryBrandPhase3_300x250_Simulator_AR.swf"/>
    <s v="Flash In-Page"/>
    <n v="4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AR - Oman"/>
    <s v="300 x 250 Default Ad"/>
    <s v="FME_PrimaryBrandPhase3_300x250_AR.jpg"/>
    <s v="Gif"/>
    <n v="10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AR - Oman"/>
    <s v="Yahoo - BT - Vid 300x250 - AR - Oman"/>
    <s v="FME_PrimaryBrandPhase3_300x250_AR.swf"/>
    <s v="Flash In-Page"/>
    <n v="12745"/>
    <n v="30"/>
    <n v="0"/>
    <n v="0"/>
    <n v="0"/>
    <n v="0"/>
    <n v="0"/>
    <n v="0"/>
    <n v="0"/>
    <n v="0"/>
  </r>
  <r>
    <s v="Yousef Garage_Phase  3_August 2013"/>
    <s v="7831736"/>
    <x v="3"/>
    <s v="Behavioural Targeting - Video 300x250 - AR - Oman"/>
    <s v="Yahoo - BT - Vid 300x250 - AR - Oman"/>
    <s v="FME_PrimaryBrandPhase3_300x250_Contest_AR.swf"/>
    <s v="Flash In-Page"/>
    <n v="2052"/>
    <n v="4"/>
    <n v="0"/>
    <n v="0"/>
    <n v="0"/>
    <n v="0"/>
    <n v="0"/>
    <n v="0"/>
    <n v="0"/>
    <n v="0"/>
  </r>
  <r>
    <s v="Yousef Garage_Phase  3_August 2013"/>
    <s v="7831736"/>
    <x v="3"/>
    <s v="Behavioural Targeting - Video 300x250 - AR - Oman"/>
    <s v="Yahoo - BT - Vid 300x250 - AR - Oman"/>
    <s v="FME_PrimaryBrandPhase3_300x250_Simulator_AR.swf"/>
    <s v="Flash In-Page"/>
    <n v="40"/>
    <n v="1"/>
    <n v="0"/>
    <n v="0"/>
    <n v="0"/>
    <n v="0"/>
    <n v="0"/>
    <n v="0"/>
    <n v="0"/>
    <n v="0"/>
  </r>
  <r>
    <s v="Yousef Garage_Phase  3_August 2013"/>
    <s v="7831736"/>
    <x v="3"/>
    <s v="Behavioural Targeting - Video 300x250 - AR - QTR"/>
    <s v="300 x 250 Default Ad"/>
    <s v="FME_PrimaryBrandPhase3_300x250_AR.jpg"/>
    <s v="Gif"/>
    <n v="12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AR - QTR"/>
    <s v="Yahoo - BT - Vid 300x250 - AR - QTR"/>
    <s v="FME_PrimaryBrandPhase3_300x250_AR.swf"/>
    <s v="Flash In-Page"/>
    <n v="12081"/>
    <n v="28"/>
    <n v="0"/>
    <n v="0"/>
    <n v="0"/>
    <n v="0"/>
    <n v="0"/>
    <n v="0"/>
    <n v="0"/>
    <n v="0"/>
  </r>
  <r>
    <s v="Yousef Garage_Phase  3_August 2013"/>
    <s v="7831736"/>
    <x v="3"/>
    <s v="Behavioural Targeting - Video 300x250 - AR - QTR"/>
    <s v="Yahoo - BT - Vid 300x250 - AR - QTR"/>
    <s v="FME_PrimaryBrandPhase3_300x250_Contest_AR.swf"/>
    <s v="Flash In-Page"/>
    <n v="1604"/>
    <n v="4"/>
    <n v="0"/>
    <n v="0"/>
    <n v="0"/>
    <n v="0"/>
    <n v="0"/>
    <n v="0"/>
    <n v="0"/>
    <n v="0"/>
  </r>
  <r>
    <s v="Yousef Garage_Phase  3_August 2013"/>
    <s v="7831736"/>
    <x v="3"/>
    <s v="Behavioural Targeting - Video 300x250 - AR - QTR"/>
    <s v="Yahoo - BT - Vid 300x250 - AR - QTR"/>
    <s v="FME_PrimaryBrandPhase3_300x250_Simulator_AR.swf"/>
    <s v="Flash In-Page"/>
    <n v="5"/>
    <n v="1"/>
    <n v="0"/>
    <n v="0"/>
    <n v="0"/>
    <n v="0"/>
    <n v="0"/>
    <n v="0"/>
    <n v="0"/>
    <n v="0"/>
  </r>
  <r>
    <s v="Yousef Garage_Phase  3_August 2013"/>
    <s v="7831736"/>
    <x v="3"/>
    <s v="Behavioural Targeting - Video 300x250 - AR - UAE"/>
    <s v="300 x 250 Default Ad"/>
    <s v="FME_PrimaryBrandPhase3_300x250_AR.jpg"/>
    <s v="Gif"/>
    <n v="12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AR - UAE"/>
    <s v="Yahoo - BT - Vid 300x250 - AR - UAE"/>
    <s v="FME_PrimaryBrandPhase3_300x250_AR.swf"/>
    <s v="Flash In-Page"/>
    <n v="42447"/>
    <n v="57"/>
    <n v="0"/>
    <n v="0"/>
    <n v="0"/>
    <n v="0"/>
    <n v="0"/>
    <n v="0"/>
    <n v="0"/>
    <n v="0"/>
  </r>
  <r>
    <s v="Yousef Garage_Phase  3_August 2013"/>
    <s v="7831736"/>
    <x v="3"/>
    <s v="Behavioural Targeting - Video 300x250 - AR - UAE"/>
    <s v="Yahoo - BT - Vid 300x250 - AR - UAE"/>
    <s v="FME_PrimaryBrandPhase3_300x250_Contest_AR.swf"/>
    <s v="Flash In-Page"/>
    <n v="4799"/>
    <n v="6"/>
    <n v="0"/>
    <n v="0"/>
    <n v="0"/>
    <n v="0"/>
    <n v="0"/>
    <n v="0"/>
    <n v="0"/>
    <n v="0"/>
  </r>
  <r>
    <s v="Yousef Garage_Phase  3_August 2013"/>
    <s v="7831736"/>
    <x v="3"/>
    <s v="Behavioural Targeting - Video 300x250 - AR - UAE"/>
    <s v="Yahoo - BT - Vid 300x250 - AR - UAE"/>
    <s v="FME_PrimaryBrandPhase3_300x250_Simulator_AR.swf"/>
    <s v="Flash In-Page"/>
    <n v="16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EN - KSA"/>
    <s v="300 x 250 Default Ad"/>
    <s v="FME_PrimaryBrandPhase3_300x250_AR.jpg"/>
    <s v="Gif"/>
    <n v="67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EN - KSA"/>
    <s v="Yahoo - BT - Vid 300x250 - EN - KSA"/>
    <s v="FME_PrimaryBrandPhase3_300x250_Contest_EN.swf"/>
    <s v="Flash In-Page"/>
    <n v="9748"/>
    <n v="55"/>
    <n v="0"/>
    <n v="0"/>
    <n v="0"/>
    <n v="0"/>
    <n v="0"/>
    <n v="0"/>
    <n v="0"/>
    <n v="0"/>
  </r>
  <r>
    <s v="Yousef Garage_Phase  3_August 2013"/>
    <s v="7831736"/>
    <x v="3"/>
    <s v="Behavioural Targeting - Video 300x250 - EN - KSA"/>
    <s v="Yahoo - BT - Vid 300x250 - EN - KSA"/>
    <s v="FME_PrimaryBrandPhase3_300x250_EN.swf"/>
    <s v="Flash In-Page"/>
    <n v="71416"/>
    <n v="245"/>
    <n v="0"/>
    <n v="0"/>
    <n v="0"/>
    <n v="0"/>
    <n v="0"/>
    <n v="0"/>
    <n v="0"/>
    <n v="0"/>
  </r>
  <r>
    <s v="Yousef Garage_Phase  3_August 2013"/>
    <s v="7831736"/>
    <x v="3"/>
    <s v="Behavioural Targeting - Video 300x250 - EN - KSA"/>
    <s v="Yahoo - BT - Vid 300x250 - EN - KSA"/>
    <s v="FME_PrimaryBrandPhase3_300x250_Simulator_EN.swf"/>
    <s v="Flash In-Page"/>
    <n v="64"/>
    <n v="2"/>
    <n v="0"/>
    <n v="0"/>
    <n v="0"/>
    <n v="0"/>
    <n v="0"/>
    <n v="0"/>
    <n v="0"/>
    <n v="0"/>
  </r>
  <r>
    <s v="Yousef Garage_Phase  3_August 2013"/>
    <s v="7831736"/>
    <x v="3"/>
    <s v="Behavioural Targeting - Video 300x250 - EN - KWT"/>
    <s v="300 x 250 Default Ad"/>
    <s v="FME_PrimaryBrandPhase3_300x250_AR.jpg"/>
    <s v="Gif"/>
    <n v="7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EN - KWT"/>
    <s v="Yahoo - BT - Vid 300x250 - EN - KWT"/>
    <s v="FME_PrimaryBrandPhase3_300x250_Contest_EN.swf"/>
    <s v="Flash In-Page"/>
    <n v="1618"/>
    <n v="16"/>
    <n v="0"/>
    <n v="0"/>
    <n v="0"/>
    <n v="0"/>
    <n v="0"/>
    <n v="0"/>
    <n v="0"/>
    <n v="0"/>
  </r>
  <r>
    <s v="Yousef Garage_Phase  3_August 2013"/>
    <s v="7831736"/>
    <x v="3"/>
    <s v="Behavioural Targeting - Video 300x250 - EN - KWT"/>
    <s v="Yahoo - BT - Vid 300x250 - EN - KWT"/>
    <s v="FME_PrimaryBrandPhase3_300x250_EN.swf"/>
    <s v="Flash In-Page"/>
    <n v="12463"/>
    <n v="64"/>
    <n v="0"/>
    <n v="0"/>
    <n v="0"/>
    <n v="0"/>
    <n v="0"/>
    <n v="0"/>
    <n v="0"/>
    <n v="0"/>
  </r>
  <r>
    <s v="Yousef Garage_Phase  3_August 2013"/>
    <s v="7831736"/>
    <x v="3"/>
    <s v="Behavioural Targeting - Video 300x250 - EN - KWT"/>
    <s v="Yahoo - BT - Vid 300x250 - EN - KWT"/>
    <s v="FME_PrimaryBrandPhase3_300x250_Simulator_EN.swf"/>
    <s v="Flash In-Page"/>
    <n v="42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EN - Oman"/>
    <s v="300 x 250 Default Ad"/>
    <s v="FME_PrimaryBrandPhase3_300x250_AR.jpg"/>
    <s v="Gif"/>
    <n v="3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EN - Oman"/>
    <s v="Yahoo - BT - Vid 300x250 - EN - Oman"/>
    <s v="FME_PrimaryBrandPhase3_300x250_Contest_EN.swf"/>
    <s v="Flash In-Page"/>
    <n v="2320"/>
    <n v="6"/>
    <n v="0"/>
    <n v="0"/>
    <n v="0"/>
    <n v="0"/>
    <n v="0"/>
    <n v="0"/>
    <n v="0"/>
    <n v="0"/>
  </r>
  <r>
    <s v="Yousef Garage_Phase  3_August 2013"/>
    <s v="7831736"/>
    <x v="3"/>
    <s v="Behavioural Targeting - Video 300x250 - EN - Oman"/>
    <s v="Yahoo - BT - Vid 300x250 - EN - Oman"/>
    <s v="FME_PrimaryBrandPhase3_300x250_EN.swf"/>
    <s v="Flash In-Page"/>
    <n v="12693"/>
    <n v="50"/>
    <n v="0"/>
    <n v="0"/>
    <n v="0"/>
    <n v="0"/>
    <n v="0"/>
    <n v="0"/>
    <n v="0"/>
    <n v="0"/>
  </r>
  <r>
    <s v="Yousef Garage_Phase  3_August 2013"/>
    <s v="7831736"/>
    <x v="3"/>
    <s v="Behavioural Targeting - Video 300x250 - EN - Oman"/>
    <s v="Yahoo - BT - Vid 300x250 - EN - Oman"/>
    <s v="FME_PrimaryBrandPhase3_300x250_Simulator_EN.swf"/>
    <s v="Flash In-Page"/>
    <n v="5"/>
    <n v="1"/>
    <n v="0"/>
    <n v="0"/>
    <n v="0"/>
    <n v="0"/>
    <n v="0"/>
    <n v="0"/>
    <n v="0"/>
    <n v="0"/>
  </r>
  <r>
    <s v="Yousef Garage_Phase  3_August 2013"/>
    <s v="7831736"/>
    <x v="3"/>
    <s v="Behavioural Targeting - Video 300x250 - EN - QTR"/>
    <s v="300 x 250 Default Ad"/>
    <s v="FME_PrimaryBrandPhase3_300x250_AR.jpg"/>
    <s v="Gif"/>
    <n v="2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EN - QTR"/>
    <s v="Yahoo - BT - Vid 300x250 - EN - QTR"/>
    <s v="FME_PrimaryBrandPhase3_300x250_Contest_EN.swf"/>
    <s v="Flash In-Page"/>
    <n v="1625"/>
    <n v="7"/>
    <n v="0"/>
    <n v="0"/>
    <n v="0"/>
    <n v="0"/>
    <n v="0"/>
    <n v="0"/>
    <n v="0"/>
    <n v="0"/>
  </r>
  <r>
    <s v="Yousef Garage_Phase  3_August 2013"/>
    <s v="7831736"/>
    <x v="3"/>
    <s v="Behavioural Targeting - Video 300x250 - EN - QTR"/>
    <s v="Yahoo - BT - Vid 300x250 - EN - QTR"/>
    <s v="FME_PrimaryBrandPhase3_300x250_EN.swf"/>
    <s v="Flash In-Page"/>
    <n v="13181"/>
    <n v="44"/>
    <n v="0"/>
    <n v="0"/>
    <n v="0"/>
    <n v="0"/>
    <n v="0"/>
    <n v="0"/>
    <n v="0"/>
    <n v="0"/>
  </r>
  <r>
    <s v="Yousef Garage_Phase  3_August 2013"/>
    <s v="7831736"/>
    <x v="3"/>
    <s v="Behavioural Targeting - Video 300x250 - EN - QTR"/>
    <s v="Yahoo - BT - Vid 300x250 - EN - QTR"/>
    <s v="FME_PrimaryBrandPhase3_300x250_Simulator_EN.swf"/>
    <s v="Flash In-Page"/>
    <n v="6"/>
    <n v="1"/>
    <n v="0"/>
    <n v="0"/>
    <n v="0"/>
    <n v="0"/>
    <n v="0"/>
    <n v="0"/>
    <n v="0"/>
    <n v="0"/>
  </r>
  <r>
    <s v="Yousef Garage_Phase  3_August 2013"/>
    <s v="7831736"/>
    <x v="3"/>
    <s v="Behavioural Targeting - Video 300x250 - EN - UAE"/>
    <s v="300 x 250 Default Ad"/>
    <s v="FME_PrimaryBrandPhase3_300x250_AR.jpg"/>
    <s v="Gif"/>
    <n v="8"/>
    <n v="0"/>
    <n v="0"/>
    <n v="0"/>
    <n v="0"/>
    <n v="0"/>
    <n v="0"/>
    <n v="0"/>
    <n v="0"/>
    <n v="0"/>
  </r>
  <r>
    <s v="Yousef Garage_Phase  3_August 2013"/>
    <s v="7831736"/>
    <x v="3"/>
    <s v="Behavioural Targeting - Video 300x250 - EN - UAE"/>
    <s v="Yahoo - BT - Vid 300x250 - EN - UAE"/>
    <s v="FME_PrimaryBrandPhase3_300x250_Contest_EN.swf"/>
    <s v="Flash In-Page"/>
    <n v="8670"/>
    <n v="13"/>
    <n v="0"/>
    <n v="0"/>
    <n v="0"/>
    <n v="0"/>
    <n v="0"/>
    <n v="0"/>
    <n v="0"/>
    <n v="0"/>
  </r>
  <r>
    <s v="Yousef Garage_Phase  3_August 2013"/>
    <s v="7831736"/>
    <x v="3"/>
    <s v="Behavioural Targeting - Video 300x250 - EN - UAE"/>
    <s v="Yahoo - BT - Vid 300x250 - EN - UAE"/>
    <s v="FME_PrimaryBrandPhase3_300x250_EN.swf"/>
    <s v="Flash In-Page"/>
    <n v="56632"/>
    <n v="115"/>
    <n v="0"/>
    <n v="0"/>
    <n v="0"/>
    <n v="0"/>
    <n v="0"/>
    <n v="0"/>
    <n v="0"/>
    <n v="0"/>
  </r>
  <r>
    <s v="Yousef Garage_Phase  3_August 2013"/>
    <s v="7831736"/>
    <x v="3"/>
    <s v="Behavioural Targeting - Video 300x250 - EN - UAE"/>
    <s v="Yahoo - BT - Vid 300x250 - EN - UAE"/>
    <s v="FME_PrimaryBrandPhase3_300x250_Simulator_EN.swf"/>
    <s v="Flash In-Page"/>
    <n v="118"/>
    <n v="1"/>
    <n v="0"/>
    <n v="0"/>
    <n v="0"/>
    <n v="0"/>
    <n v="0"/>
    <n v="0"/>
    <n v="0"/>
    <n v="0"/>
  </r>
  <r>
    <s v="Grand Total:"/>
    <s v="---"/>
    <x v="4"/>
    <s v="---"/>
    <s v="---"/>
    <s v="---"/>
    <s v="---"/>
    <n v="4778104"/>
    <n v="10297"/>
    <n v="1066"/>
    <n v="58039"/>
    <n v="392890"/>
    <n v="12.93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">
  <r>
    <s v="Yousef Way Vs. Ford Way_Phase 2_July2013"/>
    <x v="0"/>
    <s v="300x250Vid Gas AR"/>
    <x v="0"/>
    <n v="72864"/>
    <n v="83234"/>
    <n v="89"/>
    <n v="114172"/>
    <n v="131"/>
    <n v="33.35"/>
    <n v="278720"/>
  </r>
  <r>
    <s v="Yousef Way Vs. Ford Way_Phase 2_July2013"/>
    <x v="0"/>
    <s v="300x250Vid NoGo AR"/>
    <x v="0"/>
    <n v="73537"/>
    <n v="83659"/>
    <n v="85"/>
    <n v="114587"/>
    <n v="189"/>
    <n v="33.33"/>
    <n v="280765"/>
  </r>
  <r>
    <s v="Yousef Way Vs. Ford Way_Phase 2_July2013"/>
    <x v="1"/>
    <s v="300x250Vid Gas AR"/>
    <x v="0"/>
    <n v="105661"/>
    <n v="128404"/>
    <n v="305"/>
    <n v="189774"/>
    <n v="544"/>
    <n v="30.47"/>
    <n v="439943"/>
  </r>
  <r>
    <s v="Yousef Way Vs. Ford Way_Phase 2_July2013"/>
    <x v="1"/>
    <s v="300x250Vid NoGo AR"/>
    <x v="0"/>
    <n v="107540"/>
    <n v="129869"/>
    <n v="300"/>
    <n v="190695"/>
    <n v="908"/>
    <n v="30.65"/>
    <n v="446104"/>
  </r>
  <r>
    <s v="Yousef Way Vs. Ford Way_Phase 2_July2013"/>
    <x v="1"/>
    <s v="DO NOT USE"/>
    <x v="1"/>
    <n v="0"/>
    <n v="0"/>
    <n v="0"/>
    <n v="0"/>
    <n v="0"/>
    <n v="0"/>
    <n v="41"/>
  </r>
  <r>
    <s v="Yousef Way Vs. Ford Way_Phase 2_July2013"/>
    <x v="2"/>
    <s v="300x250Vid Gas AR"/>
    <x v="0"/>
    <n v="42668"/>
    <n v="48723"/>
    <n v="52"/>
    <n v="70863"/>
    <n v="100"/>
    <n v="30.47"/>
    <n v="166688"/>
  </r>
  <r>
    <s v="Yousef Way Vs. Ford Way_Phase 2_July2013"/>
    <x v="2"/>
    <s v="300x250Vid Gas EN"/>
    <x v="0"/>
    <n v="31088"/>
    <n v="38292"/>
    <n v="47"/>
    <n v="66181"/>
    <n v="156"/>
    <n v="25.64"/>
    <n v="141380"/>
  </r>
  <r>
    <s v="Yousef Way Vs. Ford Way_Phase 2_July2013"/>
    <x v="2"/>
    <s v="300x250Vid NoGo AR"/>
    <x v="0"/>
    <n v="42953"/>
    <n v="49279"/>
    <n v="48"/>
    <n v="71195"/>
    <n v="219"/>
    <n v="30.48"/>
    <n v="168328"/>
  </r>
  <r>
    <s v="Yousef Way Vs. Ford Way_Phase 2_July2013"/>
    <x v="2"/>
    <s v="300x250Vid NoGo EN"/>
    <x v="0"/>
    <n v="31118"/>
    <n v="38207"/>
    <n v="49"/>
    <n v="65450"/>
    <n v="315"/>
    <n v="25.86"/>
    <n v="14119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02">
  <r>
    <x v="0"/>
    <s v="Tech,World,Ent._300x250_Vid_ARE_AR"/>
    <x v="0"/>
    <s v="Standard"/>
    <s v="Rich Media In-Page Flash"/>
    <n v="2"/>
    <n v="0"/>
    <n v="0"/>
    <x v="0"/>
  </r>
  <r>
    <x v="0"/>
    <s v="Tech,World,Ent._300x250_Vid_ARE_AR"/>
    <x v="0"/>
    <s v="Standard"/>
    <s v="Rich Media In-Page Flash"/>
    <n v="1"/>
    <n v="0"/>
    <n v="0"/>
    <x v="0"/>
  </r>
  <r>
    <x v="0"/>
    <s v="Tech,World,Ent._300x250_Vid_ARE_AR"/>
    <x v="0"/>
    <s v="Standard"/>
    <s v="Rich Media In-Page Flash"/>
    <n v="2"/>
    <n v="0"/>
    <n v="0"/>
    <x v="0"/>
  </r>
  <r>
    <x v="0"/>
    <s v="Tech,World,Ent._300x250_Vid_ARE_AR"/>
    <x v="0"/>
    <s v="Standard"/>
    <s v="Rich Media In-Page Flash"/>
    <n v="6"/>
    <n v="0"/>
    <n v="0"/>
    <x v="0"/>
  </r>
  <r>
    <x v="0"/>
    <s v="Tech,World,Ent._300x250_Vid_BHR_AR"/>
    <x v="0"/>
    <s v="Standard"/>
    <s v="Rich Media In-Page Flash"/>
    <n v="1"/>
    <n v="0"/>
    <n v="0"/>
    <x v="0"/>
  </r>
  <r>
    <x v="0"/>
    <s v="Tech,World,Ent._300x250_Vid_KSA_AR"/>
    <x v="0"/>
    <s v="Standard"/>
    <s v="Rich Media In-Page Flash"/>
    <n v="2"/>
    <n v="0"/>
    <n v="0"/>
    <x v="0"/>
  </r>
  <r>
    <x v="0"/>
    <s v="Tech,World,Ent._300x250_Vid_KSA_AR"/>
    <x v="0"/>
    <s v="Standard"/>
    <s v="Rich Media In-Page Flash"/>
    <n v="2"/>
    <n v="0"/>
    <n v="0"/>
    <x v="0"/>
  </r>
  <r>
    <x v="0"/>
    <s v="Tech,World,Ent._300x250_Vid_KSA_AR"/>
    <x v="0"/>
    <s v="Standard"/>
    <s v="Rich Media In-Page Flash"/>
    <n v="2"/>
    <n v="0"/>
    <n v="0"/>
    <x v="0"/>
  </r>
  <r>
    <x v="0"/>
    <s v="Tech,World,Ent._300x250_Vid_KSA_AR"/>
    <x v="0"/>
    <s v="Standard"/>
    <s v="Rich Media In-Page Flash"/>
    <n v="10"/>
    <n v="0"/>
    <n v="0"/>
    <x v="0"/>
  </r>
  <r>
    <x v="0"/>
    <s v="Tech,World,Ent._300x250_Vid_KSA_AR"/>
    <x v="0"/>
    <s v="Standard"/>
    <s v="Rich Media In-Page Flash"/>
    <n v="11"/>
    <n v="0"/>
    <n v="0"/>
    <x v="0"/>
  </r>
  <r>
    <x v="0"/>
    <s v="Tech,World,Ent._300x250_Vid_OMN_AR"/>
    <x v="0"/>
    <s v="Standard"/>
    <s v="Rich Media In-Page Flash"/>
    <n v="1"/>
    <n v="0"/>
    <n v="0"/>
    <x v="0"/>
  </r>
  <r>
    <x v="0"/>
    <s v="Tech,World,Ent._300x250_Vid_OMN_AR"/>
    <x v="0"/>
    <s v="Standard"/>
    <s v="Rich Media In-Page Flash"/>
    <n v="2"/>
    <n v="0"/>
    <n v="0"/>
    <x v="0"/>
  </r>
  <r>
    <x v="0"/>
    <s v="Tech,World,Ent._300x250_Vid_OMN_AR"/>
    <x v="0"/>
    <s v="Standard"/>
    <s v="Rich Media In-Page Flash"/>
    <n v="2"/>
    <n v="0"/>
    <n v="0"/>
    <x v="0"/>
  </r>
  <r>
    <x v="1"/>
    <s v="Tech,World,Ent._728x270_Vid_QAT_EN"/>
    <x v="1"/>
    <s v="Standard"/>
    <s v="Rich Media Expandable"/>
    <n v="5"/>
    <n v="0"/>
    <n v="0"/>
    <x v="1"/>
  </r>
  <r>
    <x v="1"/>
    <s v="Tech,World,Ent._728x270_Vid_QAT_EN"/>
    <x v="1"/>
    <s v="Standard"/>
    <s v="Rich Media Expandable"/>
    <n v="8"/>
    <n v="0"/>
    <n v="0"/>
    <x v="1"/>
  </r>
  <r>
    <x v="1"/>
    <s v="Tech,World,Ent._728x270_Vid_QAT_EN"/>
    <x v="1"/>
    <s v="Standard"/>
    <s v="Rich Media Expandable"/>
    <n v="6"/>
    <n v="0"/>
    <n v="0"/>
    <x v="1"/>
  </r>
  <r>
    <x v="1"/>
    <s v="Tech,World,Ent._728x270_Vid_QAT_EN"/>
    <x v="1"/>
    <s v="Standard"/>
    <s v="Rich Media Expandable"/>
    <n v="2"/>
    <n v="0"/>
    <n v="0"/>
    <x v="1"/>
  </r>
  <r>
    <x v="2"/>
    <s v="Dubizzle_300x250_UAE_AR"/>
    <x v="0"/>
    <s v="Standard"/>
    <s v="Flash In-Page"/>
    <n v="41253"/>
    <n v="76"/>
    <n v="1.8422902576782296E-3"/>
    <x v="0"/>
  </r>
  <r>
    <x v="2"/>
    <s v="Dubizzle_300x250_UAE_AR"/>
    <x v="0"/>
    <s v="Standard"/>
    <s v="Flash In-Page"/>
    <n v="34048"/>
    <n v="54"/>
    <n v="1.5859962406015037E-3"/>
    <x v="0"/>
  </r>
  <r>
    <x v="2"/>
    <s v="Dubizzle_300x250_UAE_AR"/>
    <x v="0"/>
    <s v="Standard"/>
    <s v="Flash In-Page"/>
    <n v="6272"/>
    <n v="11"/>
    <n v="1.7538265306122449E-3"/>
    <x v="0"/>
  </r>
  <r>
    <x v="2"/>
    <s v="Dubizzle_300x250_UAE_EN"/>
    <x v="0"/>
    <s v="Standard"/>
    <s v="Flash In-Page"/>
    <n v="75548"/>
    <n v="270"/>
    <n v="3.5738868004447505E-3"/>
    <x v="1"/>
  </r>
  <r>
    <x v="2"/>
    <s v="Dubizzle_300x250_UAE_EN"/>
    <x v="0"/>
    <s v="Standard"/>
    <s v="Flash In-Page"/>
    <n v="98165"/>
    <n v="368"/>
    <n v="3.7487903020424797E-3"/>
    <x v="1"/>
  </r>
  <r>
    <x v="2"/>
    <s v="Dubizzle_300x250_UAE_EN"/>
    <x v="0"/>
    <s v="Standard"/>
    <s v="Flash In-Page"/>
    <n v="20833"/>
    <n v="73"/>
    <n v="3.5040560648970384E-3"/>
    <x v="1"/>
  </r>
  <r>
    <x v="2"/>
    <s v="Dubizzle_728x90_BHR_AR"/>
    <x v="1"/>
    <s v="Standard"/>
    <s v="Flash In-Page"/>
    <n v="14102"/>
    <n v="10"/>
    <n v="7.0911927386186355E-4"/>
    <x v="0"/>
  </r>
  <r>
    <x v="2"/>
    <s v="Dubizzle_728x90_BHR_AR"/>
    <x v="1"/>
    <s v="Standard"/>
    <s v="Flash In-Page"/>
    <n v="3846"/>
    <n v="2"/>
    <n v="5.2002080083203334E-4"/>
    <x v="0"/>
  </r>
  <r>
    <x v="2"/>
    <s v="Dubizzle_728x90_BHR_AR"/>
    <x v="1"/>
    <s v="Standard"/>
    <s v="Flash In-Page"/>
    <n v="498"/>
    <n v="0"/>
    <n v="0"/>
    <x v="0"/>
  </r>
  <r>
    <x v="2"/>
    <s v="Dubizzle_728x90_BHR_EN"/>
    <x v="1"/>
    <s v="Standard"/>
    <s v="Flash In-Page"/>
    <n v="2886"/>
    <n v="2"/>
    <n v="6.93000693000693E-4"/>
    <x v="1"/>
  </r>
  <r>
    <x v="2"/>
    <s v="Dubizzle_728x90_BHR_EN"/>
    <x v="1"/>
    <s v="Standard"/>
    <s v="Flash In-Page"/>
    <n v="4657"/>
    <n v="8"/>
    <n v="1.7178441056474125E-3"/>
    <x v="1"/>
  </r>
  <r>
    <x v="2"/>
    <s v="Dubizzle_728x90_BHR_EN"/>
    <x v="1"/>
    <s v="Standard"/>
    <s v="Flash In-Page"/>
    <n v="1333"/>
    <n v="4"/>
    <n v="3.0007501875468868E-3"/>
    <x v="1"/>
  </r>
  <r>
    <x v="2"/>
    <s v="Dubizzle_728x90_KSA_AR"/>
    <x v="1"/>
    <s v="Standard"/>
    <s v="Flash In-Page"/>
    <n v="30179"/>
    <n v="35"/>
    <n v="1.1597468438318036E-3"/>
    <x v="0"/>
  </r>
  <r>
    <x v="2"/>
    <s v="Dubizzle_728x90_KSA_AR"/>
    <x v="1"/>
    <s v="Standard"/>
    <s v="Flash In-Page"/>
    <n v="31234"/>
    <n v="38"/>
    <n v="1.2166229109303963E-3"/>
    <x v="0"/>
  </r>
  <r>
    <x v="2"/>
    <s v="Dubizzle_728x90_KSA_AR"/>
    <x v="1"/>
    <s v="Standard"/>
    <s v="Flash In-Page"/>
    <n v="7330"/>
    <n v="2"/>
    <n v="2.7285129604365623E-4"/>
    <x v="0"/>
  </r>
  <r>
    <x v="2"/>
    <s v="Dubizzle_728x90_KSA_EN"/>
    <x v="1"/>
    <s v="Standard"/>
    <s v="Flash In-Page"/>
    <n v="9145"/>
    <n v="8"/>
    <n v="8.747949699289229E-4"/>
    <x v="1"/>
  </r>
  <r>
    <x v="2"/>
    <s v="Dubizzle_728x90_KSA_EN"/>
    <x v="1"/>
    <s v="Standard"/>
    <s v="Flash In-Page"/>
    <n v="6253"/>
    <n v="10"/>
    <n v="1.5992323684631377E-3"/>
    <x v="1"/>
  </r>
  <r>
    <x v="2"/>
    <s v="Dubizzle_728x90_KSA_EN"/>
    <x v="1"/>
    <s v="Standard"/>
    <s v="Flash In-Page"/>
    <n v="1391"/>
    <n v="2"/>
    <n v="1.4378145219266715E-3"/>
    <x v="1"/>
  </r>
  <r>
    <x v="2"/>
    <s v="Dubizzle_728x90_KWT_AR"/>
    <x v="1"/>
    <s v="Standard"/>
    <s v="Flash In-Page"/>
    <n v="9871"/>
    <n v="10"/>
    <n v="1.013068584743187E-3"/>
    <x v="0"/>
  </r>
  <r>
    <x v="2"/>
    <s v="Dubizzle_728x90_KWT_AR"/>
    <x v="1"/>
    <s v="Standard"/>
    <s v="Flash In-Page"/>
    <n v="11667"/>
    <n v="5"/>
    <n v="4.2855918402331364E-4"/>
    <x v="0"/>
  </r>
  <r>
    <x v="2"/>
    <s v="Dubizzle_728x90_KWT_AR"/>
    <x v="1"/>
    <s v="Standard"/>
    <s v="Flash In-Page"/>
    <n v="2206"/>
    <n v="0"/>
    <n v="0"/>
    <x v="0"/>
  </r>
  <r>
    <x v="2"/>
    <s v="Dubizzle_728x90_KWT_EN"/>
    <x v="1"/>
    <s v="Standard"/>
    <s v="Flash In-Page"/>
    <n v="3250"/>
    <n v="1"/>
    <n v="3.076923076923077E-4"/>
    <x v="1"/>
  </r>
  <r>
    <x v="2"/>
    <s v="Dubizzle_728x90_KWT_EN"/>
    <x v="1"/>
    <s v="Standard"/>
    <s v="Flash In-Page"/>
    <n v="3905"/>
    <n v="4"/>
    <n v="1.0243277848911651E-3"/>
    <x v="1"/>
  </r>
  <r>
    <x v="2"/>
    <s v="Dubizzle_728x90_KWT_EN"/>
    <x v="1"/>
    <s v="Standard"/>
    <s v="Flash In-Page"/>
    <n v="52"/>
    <n v="0"/>
    <n v="0"/>
    <x v="1"/>
  </r>
  <r>
    <x v="2"/>
    <s v="Dubizzle_728x90_OMN_AR"/>
    <x v="1"/>
    <s v="Standard"/>
    <s v="Flash In-Page"/>
    <n v="2979"/>
    <n v="5"/>
    <n v="1.6784155756965425E-3"/>
    <x v="0"/>
  </r>
  <r>
    <x v="2"/>
    <s v="Dubizzle_728x90_OMN_AR"/>
    <x v="1"/>
    <s v="Standard"/>
    <s v="Flash In-Page"/>
    <n v="4595"/>
    <n v="3"/>
    <n v="6.5288356909684435E-4"/>
    <x v="0"/>
  </r>
  <r>
    <x v="2"/>
    <s v="Dubizzle_728x90_OMN_AR"/>
    <x v="1"/>
    <s v="Standard"/>
    <s v="Flash In-Page"/>
    <n v="1443"/>
    <n v="1"/>
    <n v="6.93000693000693E-4"/>
    <x v="0"/>
  </r>
  <r>
    <x v="2"/>
    <s v="Dubizzle_728x90_OMN_EN"/>
    <x v="1"/>
    <s v="Standard"/>
    <s v="Flash In-Page"/>
    <n v="2918"/>
    <n v="1"/>
    <n v="3.4270047978067172E-4"/>
    <x v="1"/>
  </r>
  <r>
    <x v="2"/>
    <s v="Dubizzle_728x90_OMN_EN"/>
    <x v="1"/>
    <s v="Standard"/>
    <s v="Flash In-Page"/>
    <n v="4618"/>
    <n v="7"/>
    <n v="1.5158077089649198E-3"/>
    <x v="1"/>
  </r>
  <r>
    <x v="2"/>
    <s v="Dubizzle_728x90_OMN_EN"/>
    <x v="1"/>
    <s v="Standard"/>
    <s v="Flash In-Page"/>
    <n v="1377"/>
    <n v="1"/>
    <n v="7.2621641249092229E-4"/>
    <x v="1"/>
  </r>
  <r>
    <x v="2"/>
    <s v="Dubizzle_728x90_QAT_AR"/>
    <x v="1"/>
    <s v="Standard"/>
    <s v="Flash In-Page"/>
    <n v="16643"/>
    <n v="22"/>
    <n v="1.3218770654329147E-3"/>
    <x v="0"/>
  </r>
  <r>
    <x v="2"/>
    <s v="Dubizzle_728x90_QAT_AR"/>
    <x v="1"/>
    <s v="Standard"/>
    <s v="Flash In-Page"/>
    <n v="13632"/>
    <n v="8"/>
    <n v="5.8685446009389673E-4"/>
    <x v="0"/>
  </r>
  <r>
    <x v="2"/>
    <s v="Dubizzle_728x90_QAT_AR"/>
    <x v="1"/>
    <s v="Standard"/>
    <s v="Flash In-Page"/>
    <n v="2887"/>
    <n v="2"/>
    <n v="6.9276065119501214E-4"/>
    <x v="0"/>
  </r>
  <r>
    <x v="2"/>
    <s v="Dubizzle_728x90_QAT_EN"/>
    <x v="1"/>
    <s v="Standard"/>
    <s v="Flash In-Page"/>
    <n v="4146"/>
    <n v="4"/>
    <n v="9.6478533526290404E-4"/>
    <x v="1"/>
  </r>
  <r>
    <x v="2"/>
    <s v="Dubizzle_728x90_QAT_EN"/>
    <x v="1"/>
    <s v="Standard"/>
    <s v="Flash In-Page"/>
    <n v="7483"/>
    <n v="12"/>
    <n v="1.6036349057864494E-3"/>
    <x v="1"/>
  </r>
  <r>
    <x v="2"/>
    <s v="Dubizzle_728x90_QAT_EN"/>
    <x v="1"/>
    <s v="Standard"/>
    <s v="Flash In-Page"/>
    <n v="1846"/>
    <n v="1"/>
    <n v="5.4171180931744309E-4"/>
    <x v="1"/>
  </r>
  <r>
    <x v="3"/>
    <s v="Ikoo_Auto_Channels_300x250_KSA_AR"/>
    <x v="0"/>
    <s v="Default"/>
    <s v="Gif"/>
    <n v="1"/>
    <n v="0"/>
    <n v="0"/>
    <x v="0"/>
  </r>
  <r>
    <x v="3"/>
    <s v="Ikoo_Automotive_300x250_BHR_AR"/>
    <x v="0"/>
    <s v="Standard"/>
    <s v="Flash In-Page"/>
    <n v="23783"/>
    <n v="1"/>
    <n v="4.2046840179960479E-5"/>
    <x v="0"/>
  </r>
  <r>
    <x v="3"/>
    <s v="Ikoo_Automotive_300x250_BHR_AR"/>
    <x v="0"/>
    <s v="Standard"/>
    <s v="Flash In-Page"/>
    <n v="53276"/>
    <n v="1"/>
    <n v="1.8770177941286883E-5"/>
    <x v="0"/>
  </r>
  <r>
    <x v="3"/>
    <s v="Ikoo_Automotive_300x250_BHR_AR"/>
    <x v="0"/>
    <s v="Standard"/>
    <s v="Flash In-Page"/>
    <n v="40625"/>
    <n v="2"/>
    <n v="4.9230769230769232E-5"/>
    <x v="0"/>
  </r>
  <r>
    <x v="3"/>
    <s v="Ikoo_Automotive_300x250_BHR_AR"/>
    <x v="0"/>
    <s v="Standard"/>
    <s v="Flash In-Page"/>
    <n v="50996"/>
    <n v="2"/>
    <n v="3.9218762255863202E-5"/>
    <x v="0"/>
  </r>
  <r>
    <x v="3"/>
    <s v="Ikoo_Automotive_300x250_BHR_AR"/>
    <x v="0"/>
    <s v="Standard"/>
    <s v="Flash In-Page"/>
    <n v="33372"/>
    <n v="4"/>
    <n v="1.1986096128490951E-4"/>
    <x v="0"/>
  </r>
  <r>
    <x v="3"/>
    <s v="Ikoo_Automotive_300x250_KSA_AR"/>
    <x v="0"/>
    <s v="Standard"/>
    <s v="Flash In-Page"/>
    <n v="2837"/>
    <n v="0"/>
    <n v="0"/>
    <x v="0"/>
  </r>
  <r>
    <x v="3"/>
    <s v="Ikoo_Automotive_300x250_KSA_AR"/>
    <x v="0"/>
    <s v="Standard"/>
    <s v="Flash In-Page"/>
    <n v="8670"/>
    <n v="14"/>
    <n v="1.6147635524798155E-3"/>
    <x v="0"/>
  </r>
  <r>
    <x v="3"/>
    <s v="Ikoo_Automotive_300x250_KSA_AR"/>
    <x v="0"/>
    <s v="Standard"/>
    <s v="Flash In-Page"/>
    <n v="20748"/>
    <n v="19"/>
    <n v="9.1575091575091575E-4"/>
    <x v="0"/>
  </r>
  <r>
    <x v="3"/>
    <s v="Ikoo_Automotive_300x250_KSA_AR"/>
    <x v="0"/>
    <s v="Standard"/>
    <s v="Flash In-Page"/>
    <n v="28243"/>
    <n v="30"/>
    <n v="1.0622101051588004E-3"/>
    <x v="0"/>
  </r>
  <r>
    <x v="3"/>
    <s v="Ikoo_Automotive_300x250_KSA_AR"/>
    <x v="0"/>
    <s v="Standard"/>
    <s v="Flash In-Page"/>
    <n v="13736"/>
    <n v="21"/>
    <n v="1.5288293535235876E-3"/>
    <x v="0"/>
  </r>
  <r>
    <x v="3"/>
    <s v="Ikoo_Automotive_300x250_KWT_AR"/>
    <x v="0"/>
    <s v="Standard"/>
    <s v="Flash In-Page"/>
    <n v="8796"/>
    <n v="22"/>
    <n v="2.5011368804001817E-3"/>
    <x v="0"/>
  </r>
  <r>
    <x v="3"/>
    <s v="Ikoo_Automotive_300x250_KWT_AR"/>
    <x v="0"/>
    <s v="Standard"/>
    <s v="Flash In-Page"/>
    <n v="21341"/>
    <n v="36"/>
    <n v="1.6868937725504896E-3"/>
    <x v="0"/>
  </r>
  <r>
    <x v="3"/>
    <s v="Ikoo_Automotive_300x250_KWT_AR"/>
    <x v="0"/>
    <s v="Standard"/>
    <s v="Flash In-Page"/>
    <n v="25091"/>
    <n v="42"/>
    <n v="1.6739069785979036E-3"/>
    <x v="0"/>
  </r>
  <r>
    <x v="3"/>
    <s v="Ikoo_Automotive_300x250_KWT_AR"/>
    <x v="0"/>
    <s v="Standard"/>
    <s v="Flash In-Page"/>
    <n v="28763"/>
    <n v="34"/>
    <n v="1.1820741925390259E-3"/>
    <x v="0"/>
  </r>
  <r>
    <x v="3"/>
    <s v="Ikoo_Automotive_300x250_KWT_AR"/>
    <x v="0"/>
    <s v="Standard"/>
    <s v="Flash In-Page"/>
    <n v="59747"/>
    <n v="53"/>
    <n v="8.870738279746263E-4"/>
    <x v="0"/>
  </r>
  <r>
    <x v="3"/>
    <s v="Ikoo_Automotive_300x250_OMN_AR"/>
    <x v="0"/>
    <s v="Standard"/>
    <s v="Flash In-Page"/>
    <n v="2493"/>
    <n v="4"/>
    <n v="1.604492579221821E-3"/>
    <x v="0"/>
  </r>
  <r>
    <x v="3"/>
    <s v="Ikoo_Automotive_300x250_OMN_AR"/>
    <x v="0"/>
    <s v="Standard"/>
    <s v="Flash In-Page"/>
    <n v="8354"/>
    <n v="7"/>
    <n v="8.379219535551831E-4"/>
    <x v="0"/>
  </r>
  <r>
    <x v="3"/>
    <s v="Ikoo_Automotive_300x250_OMN_AR"/>
    <x v="0"/>
    <s v="Standard"/>
    <s v="Flash In-Page"/>
    <n v="17341"/>
    <n v="25"/>
    <n v="1.4416700305634046E-3"/>
    <x v="0"/>
  </r>
  <r>
    <x v="3"/>
    <s v="Ikoo_Automotive_300x250_OMN_AR"/>
    <x v="0"/>
    <s v="Standard"/>
    <s v="Flash In-Page"/>
    <n v="10798"/>
    <n v="25"/>
    <n v="2.315243563622893E-3"/>
    <x v="0"/>
  </r>
  <r>
    <x v="3"/>
    <s v="Ikoo_Automotive_300x250_OMN_AR"/>
    <x v="0"/>
    <s v="Standard"/>
    <s v="Flash In-Page"/>
    <n v="13195"/>
    <n v="35"/>
    <n v="2.6525198938992041E-3"/>
    <x v="0"/>
  </r>
  <r>
    <x v="3"/>
    <s v="Ikoo_Automotive_300x250_QAT_AR"/>
    <x v="0"/>
    <s v="Standard"/>
    <s v="Flash In-Page"/>
    <n v="108535"/>
    <n v="209"/>
    <n v="1.9256461049431059E-3"/>
    <x v="0"/>
  </r>
  <r>
    <x v="3"/>
    <s v="Ikoo_Automotive_300x250_QAT_AR"/>
    <x v="0"/>
    <s v="Standard"/>
    <s v="Flash In-Page"/>
    <n v="152172"/>
    <n v="307"/>
    <n v="2.0174539337065953E-3"/>
    <x v="0"/>
  </r>
  <r>
    <x v="3"/>
    <s v="Ikoo_Automotive_300x250_QAT_AR"/>
    <x v="0"/>
    <s v="Standard"/>
    <s v="Flash In-Page"/>
    <n v="78388"/>
    <n v="142"/>
    <n v="1.8115017604735419E-3"/>
    <x v="0"/>
  </r>
  <r>
    <x v="3"/>
    <s v="Ikoo_Automotive_300x250_QAT_AR"/>
    <x v="0"/>
    <s v="Standard"/>
    <s v="Flash In-Page"/>
    <n v="145466"/>
    <n v="178"/>
    <n v="1.2236536372760645E-3"/>
    <x v="0"/>
  </r>
  <r>
    <x v="3"/>
    <s v="Ikoo_Automotive_300x250_QAT_AR"/>
    <x v="0"/>
    <s v="Standard"/>
    <s v="Flash In-Page"/>
    <n v="110541"/>
    <n v="166"/>
    <n v="1.5017052496358817E-3"/>
    <x v="0"/>
  </r>
  <r>
    <x v="3"/>
    <s v="Ikoo_Automotive_300x250_UAE_AR"/>
    <x v="0"/>
    <s v="Standard"/>
    <s v="Flash In-Page"/>
    <n v="3821"/>
    <n v="4"/>
    <n v="1.0468463752944255E-3"/>
    <x v="0"/>
  </r>
  <r>
    <x v="3"/>
    <s v="Ikoo_Automotive_300x250_UAE_AR"/>
    <x v="0"/>
    <s v="Standard"/>
    <s v="Flash In-Page"/>
    <n v="3295"/>
    <n v="2"/>
    <n v="6.0698027314112291E-4"/>
    <x v="0"/>
  </r>
  <r>
    <x v="3"/>
    <s v="Ikoo_Automotive_300x250_UAE_AR"/>
    <x v="0"/>
    <s v="Standard"/>
    <s v="Flash In-Page"/>
    <n v="4261"/>
    <n v="6"/>
    <n v="1.4081201595869514E-3"/>
    <x v="0"/>
  </r>
  <r>
    <x v="3"/>
    <s v="Ikoo_Automotive_300x250_UAE_AR"/>
    <x v="0"/>
    <s v="Standard"/>
    <s v="Flash In-Page"/>
    <n v="5689"/>
    <n v="1"/>
    <n v="1.7577781683951485E-4"/>
    <x v="0"/>
  </r>
  <r>
    <x v="3"/>
    <s v="Ikoo_Automotive_300x250_UAE_AR"/>
    <x v="0"/>
    <s v="Standard"/>
    <s v="Flash In-Page"/>
    <n v="3409"/>
    <n v="2"/>
    <n v="5.8668231152830743E-4"/>
    <x v="0"/>
  </r>
  <r>
    <x v="3"/>
    <s v="Ikoo_Automotive_728x90_BHR_AR"/>
    <x v="1"/>
    <s v="Standard"/>
    <s v="Flash In-Page"/>
    <n v="18670"/>
    <n v="3"/>
    <n v="1.6068559185859668E-4"/>
    <x v="0"/>
  </r>
  <r>
    <x v="3"/>
    <s v="Ikoo_Automotive_728x90_BHR_AR"/>
    <x v="1"/>
    <s v="Standard"/>
    <s v="Flash In-Page"/>
    <n v="41364"/>
    <n v="0"/>
    <n v="0"/>
    <x v="0"/>
  </r>
  <r>
    <x v="3"/>
    <s v="Ikoo_Automotive_728x90_BHR_AR"/>
    <x v="1"/>
    <s v="Standard"/>
    <s v="Flash In-Page"/>
    <n v="32313"/>
    <n v="1"/>
    <n v="3.0947296753628568E-5"/>
    <x v="0"/>
  </r>
  <r>
    <x v="3"/>
    <s v="Ikoo_Automotive_728x90_BHR_AR"/>
    <x v="1"/>
    <s v="Standard"/>
    <s v="Flash In-Page"/>
    <n v="40519"/>
    <n v="16"/>
    <n v="3.9487647770181892E-4"/>
    <x v="0"/>
  </r>
  <r>
    <x v="3"/>
    <s v="Ikoo_Automotive_728x90_BHR_AR"/>
    <x v="1"/>
    <s v="Standard"/>
    <s v="Flash In-Page"/>
    <n v="26363"/>
    <n v="10"/>
    <n v="3.7931950081553691E-4"/>
    <x v="0"/>
  </r>
  <r>
    <x v="3"/>
    <s v="Ikoo_Automotive_728x90_KSA_AR"/>
    <x v="1"/>
    <s v="Standard"/>
    <s v="Flash In-Page"/>
    <n v="27111"/>
    <n v="23"/>
    <n v="8.4836413263988789E-4"/>
    <x v="0"/>
  </r>
  <r>
    <x v="3"/>
    <s v="Ikoo_Automotive_728x90_KSA_AR"/>
    <x v="1"/>
    <s v="Standard"/>
    <s v="Flash In-Page"/>
    <n v="24134"/>
    <n v="42"/>
    <n v="1.7402834175851496E-3"/>
    <x v="0"/>
  </r>
  <r>
    <x v="3"/>
    <s v="Ikoo_Automotive_728x90_KSA_AR"/>
    <x v="1"/>
    <s v="Standard"/>
    <s v="Flash In-Page"/>
    <n v="41857"/>
    <n v="79"/>
    <n v="1.8873784552165707E-3"/>
    <x v="0"/>
  </r>
  <r>
    <x v="3"/>
    <s v="Ikoo_Automotive_728x90_KSA_AR"/>
    <x v="1"/>
    <s v="Standard"/>
    <s v="Flash In-Page"/>
    <n v="38159"/>
    <n v="63"/>
    <n v="1.6509866610760239E-3"/>
    <x v="0"/>
  </r>
  <r>
    <x v="3"/>
    <s v="Ikoo_Automotive_728x90_KSA_AR"/>
    <x v="1"/>
    <s v="Standard"/>
    <s v="Flash In-Page"/>
    <n v="27095"/>
    <n v="45"/>
    <n v="1.6608230300793503E-3"/>
    <x v="0"/>
  </r>
  <r>
    <x v="3"/>
    <s v="Ikoo_Automotive_728x90_KWT_AR"/>
    <x v="1"/>
    <s v="Standard"/>
    <s v="Flash In-Page"/>
    <n v="6101"/>
    <n v="41"/>
    <n v="6.7202098016718569E-3"/>
    <x v="0"/>
  </r>
  <r>
    <x v="3"/>
    <s v="Ikoo_Automotive_728x90_KWT_AR"/>
    <x v="1"/>
    <s v="Standard"/>
    <s v="Flash In-Page"/>
    <n v="34664"/>
    <n v="173"/>
    <n v="4.990768520655435E-3"/>
    <x v="0"/>
  </r>
  <r>
    <x v="3"/>
    <s v="Ikoo_Automotive_728x90_KWT_AR"/>
    <x v="1"/>
    <s v="Standard"/>
    <s v="Flash In-Page"/>
    <n v="80293"/>
    <n v="276"/>
    <n v="3.4374104841019765E-3"/>
    <x v="0"/>
  </r>
  <r>
    <x v="3"/>
    <s v="Ikoo_Automotive_728x90_KWT_AR"/>
    <x v="1"/>
    <s v="Standard"/>
    <s v="Flash In-Page"/>
    <n v="83994"/>
    <n v="329"/>
    <n v="3.9169464485558489E-3"/>
    <x v="0"/>
  </r>
  <r>
    <x v="3"/>
    <s v="Ikoo_Automotive_728x90_KWT_AR"/>
    <x v="1"/>
    <s v="Standard"/>
    <s v="Flash In-Page"/>
    <n v="93489"/>
    <n v="334"/>
    <n v="3.5726128207596614E-3"/>
    <x v="0"/>
  </r>
  <r>
    <x v="3"/>
    <s v="Ikoo_Automotive_728x90_OMN_AR"/>
    <x v="1"/>
    <s v="Standard"/>
    <s v="Flash In-Page"/>
    <n v="2219"/>
    <n v="23"/>
    <n v="1.0365029292474088E-2"/>
    <x v="0"/>
  </r>
  <r>
    <x v="3"/>
    <s v="Ikoo_Automotive_728x90_OMN_AR"/>
    <x v="1"/>
    <s v="Standard"/>
    <s v="Flash In-Page"/>
    <n v="6723"/>
    <n v="28"/>
    <n v="4.1648073776587831E-3"/>
    <x v="0"/>
  </r>
  <r>
    <x v="3"/>
    <s v="Ikoo_Automotive_728x90_OMN_AR"/>
    <x v="1"/>
    <s v="Standard"/>
    <s v="Flash In-Page"/>
    <n v="14386"/>
    <n v="91"/>
    <n v="6.3255943278187126E-3"/>
    <x v="0"/>
  </r>
  <r>
    <x v="3"/>
    <s v="Ikoo_Automotive_728x90_OMN_AR"/>
    <x v="1"/>
    <s v="Standard"/>
    <s v="Flash In-Page"/>
    <n v="9269"/>
    <n v="76"/>
    <n v="8.1993742582802884E-3"/>
    <x v="0"/>
  </r>
  <r>
    <x v="3"/>
    <s v="Ikoo_Automotive_728x90_OMN_AR"/>
    <x v="1"/>
    <s v="Standard"/>
    <s v="Flash In-Page"/>
    <n v="11104"/>
    <n v="73"/>
    <n v="6.574207492795389E-3"/>
    <x v="0"/>
  </r>
  <r>
    <x v="3"/>
    <s v="Ikoo_Automotive_728x90_QAT_AR"/>
    <x v="1"/>
    <s v="Standard"/>
    <s v="Flash In-Page"/>
    <n v="85529"/>
    <n v="355"/>
    <n v="4.1506389645617273E-3"/>
    <x v="0"/>
  </r>
  <r>
    <x v="3"/>
    <s v="Ikoo_Automotive_728x90_QAT_AR"/>
    <x v="1"/>
    <s v="Standard"/>
    <s v="Flash In-Page"/>
    <n v="117625"/>
    <n v="590"/>
    <n v="5.0159404888416581E-3"/>
    <x v="0"/>
  </r>
  <r>
    <x v="3"/>
    <s v="Ikoo_Automotive_728x90_QAT_AR"/>
    <x v="1"/>
    <s v="Standard"/>
    <s v="Flash In-Page"/>
    <n v="60152"/>
    <n v="253"/>
    <n v="4.2060114376911827E-3"/>
    <x v="0"/>
  </r>
  <r>
    <x v="3"/>
    <s v="Ikoo_Automotive_728x90_QAT_AR"/>
    <x v="1"/>
    <s v="Standard"/>
    <s v="Flash In-Page"/>
    <n v="113036"/>
    <n v="309"/>
    <n v="2.733642379418946E-3"/>
    <x v="0"/>
  </r>
  <r>
    <x v="3"/>
    <s v="Ikoo_Automotive_728x90_QAT_AR"/>
    <x v="1"/>
    <s v="Standard"/>
    <s v="Flash In-Page"/>
    <n v="86268"/>
    <n v="267"/>
    <n v="3.0950062595632216E-3"/>
    <x v="0"/>
  </r>
  <r>
    <x v="3"/>
    <s v="Ikoo_Automotive_728x90_UAE_AR"/>
    <x v="1"/>
    <s v="Standard"/>
    <s v="Flash In-Page"/>
    <n v="78477"/>
    <n v="254"/>
    <n v="3.2366170980032368E-3"/>
    <x v="0"/>
  </r>
  <r>
    <x v="3"/>
    <s v="Ikoo_Automotive_728x90_UAE_AR"/>
    <x v="1"/>
    <s v="Standard"/>
    <s v="Flash In-Page"/>
    <n v="167594"/>
    <n v="544"/>
    <n v="3.2459395921095027E-3"/>
    <x v="0"/>
  </r>
  <r>
    <x v="3"/>
    <s v="Ikoo_Automotive_728x90_UAE_AR"/>
    <x v="1"/>
    <s v="Standard"/>
    <s v="Flash In-Page"/>
    <n v="215887"/>
    <n v="528"/>
    <n v="2.4457239203842752E-3"/>
    <x v="0"/>
  </r>
  <r>
    <x v="3"/>
    <s v="Ikoo_Automotive_728x90_UAE_AR"/>
    <x v="1"/>
    <s v="Standard"/>
    <s v="Flash In-Page"/>
    <n v="81747"/>
    <n v="169"/>
    <n v="2.0673541536692479E-3"/>
    <x v="0"/>
  </r>
  <r>
    <x v="3"/>
    <s v="Ikoo_Automotive_728x90_UAE_AR"/>
    <x v="1"/>
    <s v="Standard"/>
    <s v="Flash In-Page"/>
    <n v="71188"/>
    <n v="201"/>
    <n v="2.8235095802663372E-3"/>
    <x v="0"/>
  </r>
  <r>
    <x v="3"/>
    <s v="Ikoo_Fun&amp;Ent_300x250Vid_Torque_KSA_AR"/>
    <x v="0"/>
    <s v="Standard"/>
    <s v="Rich Media In-Page Flash"/>
    <n v="1"/>
    <n v="0"/>
    <n v="0"/>
    <x v="0"/>
  </r>
  <r>
    <x v="4"/>
    <s v="Jeeran_Motors_Powertrain_728x90Exp_SAU_AR"/>
    <x v="1"/>
    <s v="Default"/>
    <s v="Gif"/>
    <n v="1"/>
    <n v="0"/>
    <n v="0"/>
    <x v="0"/>
  </r>
  <r>
    <x v="5"/>
    <s v="Kooora_300x250_BHR_AR"/>
    <x v="0"/>
    <s v="Standard"/>
    <s v="Flash In-Page"/>
    <n v="3481"/>
    <n v="3"/>
    <n v="8.6182131571387532E-4"/>
    <x v="0"/>
  </r>
  <r>
    <x v="5"/>
    <s v="Kooora_300x250_BHR_AR"/>
    <x v="0"/>
    <s v="Standard"/>
    <s v="Flash In-Page"/>
    <n v="7725"/>
    <n v="11"/>
    <n v="1.4239482200647249E-3"/>
    <x v="0"/>
  </r>
  <r>
    <x v="5"/>
    <s v="Kooora_300x250_BHR_AR"/>
    <x v="0"/>
    <s v="Standard"/>
    <s v="Flash In-Page"/>
    <n v="8068"/>
    <n v="12"/>
    <n v="1.4873574615765989E-3"/>
    <x v="0"/>
  </r>
  <r>
    <x v="5"/>
    <s v="Kooora_300x250_BHR_AR"/>
    <x v="0"/>
    <s v="Standard"/>
    <s v="Flash In-Page"/>
    <n v="4990"/>
    <n v="6"/>
    <n v="1.2024048096192384E-3"/>
    <x v="0"/>
  </r>
  <r>
    <x v="5"/>
    <s v="Kooora_300x250_BHR_AR"/>
    <x v="0"/>
    <s v="Standard"/>
    <s v="Flash In-Page"/>
    <n v="6808"/>
    <n v="7"/>
    <n v="1.0282021151586369E-3"/>
    <x v="0"/>
  </r>
  <r>
    <x v="5"/>
    <s v="Kooora_300x250_KSA_AR"/>
    <x v="0"/>
    <s v="Standard"/>
    <s v="Flash In-Page"/>
    <n v="19873"/>
    <n v="32"/>
    <n v="1.6102249282946711E-3"/>
    <x v="0"/>
  </r>
  <r>
    <x v="5"/>
    <s v="Kooora_300x250_KSA_AR"/>
    <x v="0"/>
    <s v="Standard"/>
    <s v="Flash In-Page"/>
    <n v="44971"/>
    <n v="75"/>
    <n v="1.6677414333681707E-3"/>
    <x v="0"/>
  </r>
  <r>
    <x v="5"/>
    <s v="Kooora_300x250_KSA_AR"/>
    <x v="0"/>
    <s v="Standard"/>
    <s v="Flash In-Page"/>
    <n v="34446"/>
    <n v="76"/>
    <n v="2.2063519712013004E-3"/>
    <x v="0"/>
  </r>
  <r>
    <x v="5"/>
    <s v="Kooora_300x250_KSA_AR"/>
    <x v="0"/>
    <s v="Standard"/>
    <s v="Flash In-Page"/>
    <n v="32770"/>
    <n v="55"/>
    <n v="1.6783643576441867E-3"/>
    <x v="0"/>
  </r>
  <r>
    <x v="5"/>
    <s v="Kooora_300x250_KSA_AR"/>
    <x v="0"/>
    <s v="Standard"/>
    <s v="Flash In-Page"/>
    <n v="99937"/>
    <n v="99"/>
    <n v="9.9062409317870266E-4"/>
    <x v="0"/>
  </r>
  <r>
    <x v="5"/>
    <s v="Kooora_300x250_KWT_AR"/>
    <x v="0"/>
    <s v="Standard"/>
    <s v="Flash In-Page"/>
    <n v="3164"/>
    <n v="8"/>
    <n v="2.5284450063211127E-3"/>
    <x v="0"/>
  </r>
  <r>
    <x v="5"/>
    <s v="Kooora_300x250_KWT_AR"/>
    <x v="0"/>
    <s v="Standard"/>
    <s v="Flash In-Page"/>
    <n v="7724"/>
    <n v="19"/>
    <n v="2.4598653547384776E-3"/>
    <x v="0"/>
  </r>
  <r>
    <x v="5"/>
    <s v="Kooora_300x250_KWT_AR"/>
    <x v="0"/>
    <s v="Standard"/>
    <s v="Flash In-Page"/>
    <n v="6592"/>
    <n v="18"/>
    <n v="2.7305825242718447E-3"/>
    <x v="0"/>
  </r>
  <r>
    <x v="5"/>
    <s v="Kooora_300x250_KWT_AR"/>
    <x v="0"/>
    <s v="Standard"/>
    <s v="Flash In-Page"/>
    <n v="5632"/>
    <n v="11"/>
    <n v="1.953125E-3"/>
    <x v="0"/>
  </r>
  <r>
    <x v="5"/>
    <s v="Kooora_300x250_KWT_AR"/>
    <x v="0"/>
    <s v="Standard"/>
    <s v="Flash In-Page"/>
    <n v="5449"/>
    <n v="14"/>
    <n v="2.5692787667461921E-3"/>
    <x v="0"/>
  </r>
  <r>
    <x v="5"/>
    <s v="Kooora_300x250_OMN_AR"/>
    <x v="0"/>
    <s v="Standard"/>
    <s v="Flash In-Page"/>
    <n v="3835"/>
    <n v="8"/>
    <n v="2.0860495436766623E-3"/>
    <x v="0"/>
  </r>
  <r>
    <x v="5"/>
    <s v="Kooora_300x250_OMN_AR"/>
    <x v="0"/>
    <s v="Standard"/>
    <s v="Flash In-Page"/>
    <n v="8957"/>
    <n v="7"/>
    <n v="7.8151166685274092E-4"/>
    <x v="0"/>
  </r>
  <r>
    <x v="5"/>
    <s v="Kooora_300x250_OMN_AR"/>
    <x v="0"/>
    <s v="Standard"/>
    <s v="Flash In-Page"/>
    <n v="9050"/>
    <n v="7"/>
    <n v="7.7348066298342543E-4"/>
    <x v="0"/>
  </r>
  <r>
    <x v="5"/>
    <s v="Kooora_300x250_OMN_AR"/>
    <x v="0"/>
    <s v="Standard"/>
    <s v="Flash In-Page"/>
    <n v="3881"/>
    <n v="7"/>
    <n v="1.8036588508116465E-3"/>
    <x v="0"/>
  </r>
  <r>
    <x v="5"/>
    <s v="Kooora_300x250_OMN_AR"/>
    <x v="0"/>
    <s v="Standard"/>
    <s v="Flash In-Page"/>
    <n v="7272"/>
    <n v="7"/>
    <n v="9.6259625962596257E-4"/>
    <x v="0"/>
  </r>
  <r>
    <x v="5"/>
    <s v="Kooora_300x250_QAT_AR"/>
    <x v="0"/>
    <s v="Standard"/>
    <s v="Flash In-Page"/>
    <n v="3099"/>
    <n v="8"/>
    <n v="2.5814778960955146E-3"/>
    <x v="0"/>
  </r>
  <r>
    <x v="5"/>
    <s v="Kooora_300x250_QAT_AR"/>
    <x v="0"/>
    <s v="Standard"/>
    <s v="Flash In-Page"/>
    <n v="6788"/>
    <n v="7"/>
    <n v="1.0312315851502651E-3"/>
    <x v="0"/>
  </r>
  <r>
    <x v="5"/>
    <s v="Kooora_300x250_QAT_AR"/>
    <x v="0"/>
    <s v="Standard"/>
    <s v="Flash In-Page"/>
    <n v="3668"/>
    <n v="2"/>
    <n v="5.4525627044711017E-4"/>
    <x v="0"/>
  </r>
  <r>
    <x v="5"/>
    <s v="Kooora_300x250_QAT_AR"/>
    <x v="0"/>
    <s v="Standard"/>
    <s v="Flash In-Page"/>
    <n v="827"/>
    <n v="0"/>
    <n v="0"/>
    <x v="0"/>
  </r>
  <r>
    <x v="5"/>
    <s v="Kooora_300x250_QAT_AR"/>
    <x v="0"/>
    <s v="Standard"/>
    <s v="Flash In-Page"/>
    <n v="6578"/>
    <n v="6"/>
    <n v="9.1213134691395562E-4"/>
    <x v="0"/>
  </r>
  <r>
    <x v="5"/>
    <s v="Kooora_300x250_UAE_AR"/>
    <x v="0"/>
    <s v="Standard"/>
    <s v="Flash In-Page"/>
    <n v="21230"/>
    <n v="20"/>
    <n v="9.4206311822892137E-4"/>
    <x v="0"/>
  </r>
  <r>
    <x v="5"/>
    <s v="Kooora_300x250_UAE_AR"/>
    <x v="0"/>
    <s v="Standard"/>
    <s v="Flash In-Page"/>
    <n v="49913"/>
    <n v="55"/>
    <n v="1.1019173361649271E-3"/>
    <x v="0"/>
  </r>
  <r>
    <x v="5"/>
    <s v="Kooora_300x250_UAE_AR"/>
    <x v="0"/>
    <s v="Standard"/>
    <s v="Flash In-Page"/>
    <n v="39904"/>
    <n v="41"/>
    <n v="1.0274659182036888E-3"/>
    <x v="0"/>
  </r>
  <r>
    <x v="5"/>
    <s v="Kooora_300x250_UAE_AR"/>
    <x v="0"/>
    <s v="Standard"/>
    <s v="Flash In-Page"/>
    <n v="18929"/>
    <n v="18"/>
    <n v="9.5092186592001687E-4"/>
    <x v="0"/>
  </r>
  <r>
    <x v="5"/>
    <s v="Kooora_300x250_UAE_AR"/>
    <x v="0"/>
    <s v="Standard"/>
    <s v="Flash In-Page"/>
    <n v="42097"/>
    <n v="47"/>
    <n v="1.1164691070622609E-3"/>
    <x v="0"/>
  </r>
  <r>
    <x v="5"/>
    <s v="Kooora_728x90_BHR_AR"/>
    <x v="1"/>
    <s v="Standard"/>
    <s v="Flash In-Page"/>
    <n v="5173"/>
    <n v="12"/>
    <n v="2.3197370964624011E-3"/>
    <x v="0"/>
  </r>
  <r>
    <x v="5"/>
    <s v="Kooora_728x90_BHR_AR"/>
    <x v="1"/>
    <s v="Standard"/>
    <s v="Flash In-Page"/>
    <n v="12519"/>
    <n v="12"/>
    <n v="9.5854301461778101E-4"/>
    <x v="0"/>
  </r>
  <r>
    <x v="5"/>
    <s v="Kooora_728x90_BHR_AR"/>
    <x v="1"/>
    <s v="Standard"/>
    <s v="Flash In-Page"/>
    <n v="13016"/>
    <n v="8"/>
    <n v="6.1462814996926854E-4"/>
    <x v="0"/>
  </r>
  <r>
    <x v="5"/>
    <s v="Kooora_728x90_BHR_AR"/>
    <x v="1"/>
    <s v="Standard"/>
    <s v="Flash In-Page"/>
    <n v="12961"/>
    <n v="14"/>
    <n v="1.0801635676259548E-3"/>
    <x v="0"/>
  </r>
  <r>
    <x v="5"/>
    <s v="Kooora_728x90_BHR_AR"/>
    <x v="1"/>
    <s v="Standard"/>
    <s v="Flash In-Page"/>
    <n v="8414"/>
    <n v="6"/>
    <n v="7.1309721892084618E-4"/>
    <x v="0"/>
  </r>
  <r>
    <x v="5"/>
    <s v="Kooora_728x90_KSA_AR"/>
    <x v="1"/>
    <s v="Standard"/>
    <s v="Flash In-Page"/>
    <n v="19767"/>
    <n v="14"/>
    <n v="7.0825112561339611E-4"/>
    <x v="0"/>
  </r>
  <r>
    <x v="5"/>
    <s v="Kooora_728x90_KSA_AR"/>
    <x v="1"/>
    <s v="Standard"/>
    <s v="Flash In-Page"/>
    <n v="45969"/>
    <n v="34"/>
    <n v="7.3962888033239789E-4"/>
    <x v="0"/>
  </r>
  <r>
    <x v="5"/>
    <s v="Kooora_728x90_KSA_AR"/>
    <x v="1"/>
    <s v="Standard"/>
    <s v="Flash In-Page"/>
    <n v="44739"/>
    <n v="28"/>
    <n v="6.2585216477793423E-4"/>
    <x v="0"/>
  </r>
  <r>
    <x v="5"/>
    <s v="Kooora_728x90_KSA_AR"/>
    <x v="1"/>
    <s v="Standard"/>
    <s v="Flash In-Page"/>
    <n v="53540"/>
    <n v="26"/>
    <n v="4.8561822936122527E-4"/>
    <x v="0"/>
  </r>
  <r>
    <x v="5"/>
    <s v="Kooora_728x90_KSA_AR"/>
    <x v="1"/>
    <s v="Standard"/>
    <s v="Flash In-Page"/>
    <n v="43723"/>
    <n v="16"/>
    <n v="3.6594012304736639E-4"/>
    <x v="0"/>
  </r>
  <r>
    <x v="5"/>
    <s v="Kooora_728x90_KWT_AR"/>
    <x v="1"/>
    <s v="Standard"/>
    <s v="Flash In-Page"/>
    <n v="5089"/>
    <n v="3"/>
    <n v="5.8950677932796225E-4"/>
    <x v="0"/>
  </r>
  <r>
    <x v="5"/>
    <s v="Kooora_728x90_KWT_AR"/>
    <x v="1"/>
    <s v="Standard"/>
    <s v="Flash In-Page"/>
    <n v="12000"/>
    <n v="3"/>
    <n v="2.5000000000000001E-4"/>
    <x v="0"/>
  </r>
  <r>
    <x v="5"/>
    <s v="Kooora_728x90_KWT_AR"/>
    <x v="1"/>
    <s v="Standard"/>
    <s v="Flash In-Page"/>
    <n v="10571"/>
    <n v="6"/>
    <n v="5.6759057799640527E-4"/>
    <x v="0"/>
  </r>
  <r>
    <x v="5"/>
    <s v="Kooora_728x90_KWT_AR"/>
    <x v="1"/>
    <s v="Standard"/>
    <s v="Flash In-Page"/>
    <n v="10251"/>
    <n v="6"/>
    <n v="5.8530875036581797E-4"/>
    <x v="0"/>
  </r>
  <r>
    <x v="5"/>
    <s v="Kooora_728x90_KWT_AR"/>
    <x v="1"/>
    <s v="Standard"/>
    <s v="Flash In-Page"/>
    <n v="7523"/>
    <n v="5"/>
    <n v="6.6462847268376974E-4"/>
    <x v="0"/>
  </r>
  <r>
    <x v="5"/>
    <s v="Kooora_728x90_OMN_AR"/>
    <x v="1"/>
    <s v="Standard"/>
    <s v="Flash In-Page"/>
    <n v="4927"/>
    <n v="4"/>
    <n v="8.1185305459711792E-4"/>
    <x v="0"/>
  </r>
  <r>
    <x v="5"/>
    <s v="Kooora_728x90_OMN_AR"/>
    <x v="1"/>
    <s v="Standard"/>
    <s v="Flash In-Page"/>
    <n v="12159"/>
    <n v="5"/>
    <n v="4.112180277983387E-4"/>
    <x v="0"/>
  </r>
  <r>
    <x v="5"/>
    <s v="Kooora_728x90_OMN_AR"/>
    <x v="1"/>
    <s v="Standard"/>
    <s v="Flash In-Page"/>
    <n v="11902"/>
    <n v="14"/>
    <n v="1.1762728953117123E-3"/>
    <x v="0"/>
  </r>
  <r>
    <x v="5"/>
    <s v="Kooora_728x90_OMN_AR"/>
    <x v="1"/>
    <s v="Standard"/>
    <s v="Flash In-Page"/>
    <n v="12679"/>
    <n v="13"/>
    <n v="1.0253174540578911E-3"/>
    <x v="0"/>
  </r>
  <r>
    <x v="5"/>
    <s v="Kooora_728x90_OMN_AR"/>
    <x v="1"/>
    <s v="Standard"/>
    <s v="Flash In-Page"/>
    <n v="8323"/>
    <n v="2"/>
    <n v="2.4029796948215788E-4"/>
    <x v="0"/>
  </r>
  <r>
    <x v="5"/>
    <s v="Kooora_728x90_QAT_AR"/>
    <x v="1"/>
    <s v="Standard"/>
    <s v="Flash In-Page"/>
    <n v="5224"/>
    <n v="5"/>
    <n v="9.5712098009188363E-4"/>
    <x v="0"/>
  </r>
  <r>
    <x v="5"/>
    <s v="Kooora_728x90_QAT_AR"/>
    <x v="1"/>
    <s v="Standard"/>
    <s v="Flash In-Page"/>
    <n v="12716"/>
    <n v="7"/>
    <n v="5.5048757470902798E-4"/>
    <x v="0"/>
  </r>
  <r>
    <x v="5"/>
    <s v="Kooora_728x90_QAT_AR"/>
    <x v="1"/>
    <s v="Standard"/>
    <s v="Flash In-Page"/>
    <n v="12454"/>
    <n v="5"/>
    <n v="4.0147743696804239E-4"/>
    <x v="0"/>
  </r>
  <r>
    <x v="5"/>
    <s v="Kooora_728x90_QAT_AR"/>
    <x v="1"/>
    <s v="Standard"/>
    <s v="Flash In-Page"/>
    <n v="12834"/>
    <n v="8"/>
    <n v="6.2334424185756584E-4"/>
    <x v="0"/>
  </r>
  <r>
    <x v="5"/>
    <s v="Kooora_728x90_QAT_AR"/>
    <x v="1"/>
    <s v="Standard"/>
    <s v="Flash In-Page"/>
    <n v="8505"/>
    <n v="4"/>
    <n v="4.7031158142269255E-4"/>
    <x v="0"/>
  </r>
  <r>
    <x v="5"/>
    <s v="Kooora_728x90_UAE_AR"/>
    <x v="1"/>
    <s v="Standard"/>
    <s v="Flash In-Page"/>
    <n v="21380"/>
    <n v="12"/>
    <n v="5.6127221702525728E-4"/>
    <x v="0"/>
  </r>
  <r>
    <x v="5"/>
    <s v="Kooora_728x90_UAE_AR"/>
    <x v="1"/>
    <s v="Standard"/>
    <s v="Flash In-Page"/>
    <n v="51019"/>
    <n v="27"/>
    <n v="5.2921460632313457E-4"/>
    <x v="0"/>
  </r>
  <r>
    <x v="5"/>
    <s v="Kooora_728x90_UAE_AR"/>
    <x v="1"/>
    <s v="Standard"/>
    <s v="Flash In-Page"/>
    <n v="52234"/>
    <n v="37"/>
    <n v="7.0835088256691046E-4"/>
    <x v="0"/>
  </r>
  <r>
    <x v="5"/>
    <s v="Kooora_728x90_UAE_AR"/>
    <x v="1"/>
    <s v="Standard"/>
    <s v="Flash In-Page"/>
    <n v="52360"/>
    <n v="27"/>
    <n v="5.1566080977845689E-4"/>
    <x v="0"/>
  </r>
  <r>
    <x v="5"/>
    <s v="Kooora_728x90_UAE_AR"/>
    <x v="1"/>
    <s v="Standard"/>
    <s v="Flash In-Page"/>
    <n v="33651"/>
    <n v="21"/>
    <n v="6.2405277703485784E-4"/>
    <x v="0"/>
  </r>
  <r>
    <x v="5"/>
    <s v="Koora_ROS_300x250_AR"/>
    <x v="0"/>
    <s v="Standard"/>
    <s v="Flash In-Page"/>
    <n v="178320"/>
    <n v="300"/>
    <n v="1.6823687752355316E-3"/>
    <x v="0"/>
  </r>
  <r>
    <x v="5"/>
    <s v="Koora_ROS_300x250_AR"/>
    <x v="0"/>
    <s v="Standard"/>
    <s v="Gif"/>
    <n v="1"/>
    <n v="1"/>
    <n v="1"/>
    <x v="0"/>
  </r>
  <r>
    <x v="5"/>
    <s v="Koora_ROS_300x250_AR"/>
    <x v="0"/>
    <s v="Standard"/>
    <s v="Flash In-Page"/>
    <n v="37030"/>
    <n v="55"/>
    <n v="1.4852822036186875E-3"/>
    <x v="0"/>
  </r>
  <r>
    <x v="5"/>
    <s v="Koora_ROS_300x250_AR"/>
    <x v="0"/>
    <s v="Standard"/>
    <s v="Flash In-Page"/>
    <n v="7"/>
    <n v="0"/>
    <n v="0"/>
    <x v="0"/>
  </r>
  <r>
    <x v="5"/>
    <s v="Koora_ROS_728x90_AR"/>
    <x v="1"/>
    <s v="Standard"/>
    <s v="Flash In-Page"/>
    <n v="177587"/>
    <n v="224"/>
    <n v="1.2613535900713453E-3"/>
    <x v="0"/>
  </r>
  <r>
    <x v="5"/>
    <s v="Koora_ROS_728x90_AR"/>
    <x v="1"/>
    <s v="Standard"/>
    <s v="Gif"/>
    <n v="2"/>
    <n v="1"/>
    <n v="0.5"/>
    <x v="0"/>
  </r>
  <r>
    <x v="5"/>
    <s v="Koora_ROS_728x90_AR"/>
    <x v="1"/>
    <s v="Standard"/>
    <s v="Flash In-Page"/>
    <n v="36320"/>
    <n v="32"/>
    <n v="8.81057268722467E-4"/>
    <x v="0"/>
  </r>
  <r>
    <x v="5"/>
    <s v="Koora_ROS_728x90_AR"/>
    <x v="1"/>
    <s v="Standard"/>
    <s v="Flash In-Page"/>
    <n v="15"/>
    <n v="0"/>
    <n v="0"/>
    <x v="0"/>
  </r>
  <r>
    <x v="6"/>
    <s v="MBC-300x250_Microsite"/>
    <x v="0"/>
    <s v="Standard"/>
    <s v="Flash In-Page"/>
    <n v="4681"/>
    <n v="10"/>
    <n v="2.1362956633198035E-3"/>
    <x v="2"/>
  </r>
  <r>
    <x v="6"/>
    <s v="MBC-300x250_Microsite"/>
    <x v="0"/>
    <s v="Standard"/>
    <s v="Flash In-Page"/>
    <n v="6384"/>
    <n v="15"/>
    <n v="2.3496240601503758E-3"/>
    <x v="2"/>
  </r>
  <r>
    <x v="6"/>
    <s v="MBC-300x250_Microsite"/>
    <x v="0"/>
    <s v="Standard"/>
    <s v="Flash In-Page"/>
    <n v="6286"/>
    <n v="8"/>
    <n v="1.2726694241170856E-3"/>
    <x v="2"/>
  </r>
  <r>
    <x v="6"/>
    <s v="MBC-300x250_Microsite"/>
    <x v="0"/>
    <s v="Standard"/>
    <s v="Flash In-Page"/>
    <n v="7833"/>
    <n v="14"/>
    <n v="1.7873100983020554E-3"/>
    <x v="2"/>
  </r>
  <r>
    <x v="6"/>
    <s v="MBC-300x250_Microsite"/>
    <x v="0"/>
    <s v="Standard"/>
    <s v="Flash In-Page"/>
    <n v="10309"/>
    <n v="21"/>
    <n v="2.0370550004850129E-3"/>
    <x v="2"/>
  </r>
  <r>
    <x v="6"/>
    <s v="MBC-728x90-Microsite"/>
    <x v="1"/>
    <s v="Standard"/>
    <s v="Flash In-Page"/>
    <n v="4730"/>
    <n v="8"/>
    <n v="1.6913319238900633E-3"/>
    <x v="2"/>
  </r>
  <r>
    <x v="6"/>
    <s v="MBC-728x90-Microsite"/>
    <x v="1"/>
    <s v="Standard"/>
    <s v="Flash In-Page"/>
    <n v="6451"/>
    <n v="7"/>
    <n v="1.0851030847930554E-3"/>
    <x v="2"/>
  </r>
  <r>
    <x v="6"/>
    <s v="MBC-728x90-Microsite"/>
    <x v="1"/>
    <s v="Standard"/>
    <s v="Flash In-Page"/>
    <n v="6355"/>
    <n v="8"/>
    <n v="1.2588512981904013E-3"/>
    <x v="2"/>
  </r>
  <r>
    <x v="6"/>
    <s v="MBC-728x90-Microsite"/>
    <x v="1"/>
    <s v="Standard"/>
    <s v="Flash In-Page"/>
    <n v="7917"/>
    <n v="5"/>
    <n v="6.3155235569028675E-4"/>
    <x v="2"/>
  </r>
  <r>
    <x v="6"/>
    <s v="MBC-728x90-Microsite"/>
    <x v="1"/>
    <s v="Standard"/>
    <s v="Flash In-Page"/>
    <n v="10418"/>
    <n v="7"/>
    <n v="6.7191399500863885E-4"/>
    <x v="2"/>
  </r>
  <r>
    <x v="7"/>
    <s v="Ikoo_Shamy_728x90_SAU_AR"/>
    <x v="1"/>
    <s v="Default"/>
    <s v="Gif"/>
    <n v="2"/>
    <n v="0"/>
    <n v="0"/>
    <x v="0"/>
  </r>
  <r>
    <x v="8"/>
    <s v="Souq_Motors_300x250_BHR_EN"/>
    <x v="0"/>
    <s v="Standard"/>
    <s v="Flash In-Page"/>
    <n v="489"/>
    <n v="1"/>
    <n v="2.0449897750511249E-3"/>
    <x v="1"/>
  </r>
  <r>
    <x v="8"/>
    <s v="Souq_Motors_300x250_BHR_EN"/>
    <x v="0"/>
    <s v="Standard"/>
    <s v="Flash In-Page"/>
    <n v="3614"/>
    <n v="6"/>
    <n v="1.6602102933038186E-3"/>
    <x v="1"/>
  </r>
  <r>
    <x v="8"/>
    <s v="Souq_Motors_300x250_BHR_EN"/>
    <x v="0"/>
    <s v="Standard"/>
    <s v="Flash In-Page"/>
    <n v="4069"/>
    <n v="19"/>
    <n v="4.6694519537970021E-3"/>
    <x v="1"/>
  </r>
  <r>
    <x v="8"/>
    <s v="Souq_Motors_300x250_BHR_EN"/>
    <x v="0"/>
    <s v="Standard"/>
    <s v="Flash In-Page"/>
    <n v="3646"/>
    <n v="3"/>
    <n v="8.2281952825013713E-4"/>
    <x v="1"/>
  </r>
  <r>
    <x v="8"/>
    <s v="Souq_Motors_300x250_BHR_EN"/>
    <x v="0"/>
    <s v="Standard"/>
    <s v="Flash In-Page"/>
    <n v="182"/>
    <n v="2"/>
    <n v="1.098901098901099E-2"/>
    <x v="1"/>
  </r>
  <r>
    <x v="8"/>
    <s v="Souq_Motors_300x250_KSA_EN"/>
    <x v="0"/>
    <s v="Standard"/>
    <s v="Flash In-Page"/>
    <n v="7657"/>
    <n v="40"/>
    <n v="5.2239780592921508E-3"/>
    <x v="1"/>
  </r>
  <r>
    <x v="8"/>
    <s v="Souq_Motors_300x250_KSA_EN"/>
    <x v="0"/>
    <s v="Standard"/>
    <s v="Flash In-Page"/>
    <n v="36088"/>
    <n v="128"/>
    <n v="3.5468853912657946E-3"/>
    <x v="1"/>
  </r>
  <r>
    <x v="8"/>
    <s v="Souq_Motors_300x250_KSA_EN"/>
    <x v="0"/>
    <s v="Standard"/>
    <s v="Flash In-Page"/>
    <n v="71337"/>
    <n v="226"/>
    <n v="3.1680614547850345E-3"/>
    <x v="1"/>
  </r>
  <r>
    <x v="8"/>
    <s v="Souq_Motors_300x250_KSA_EN"/>
    <x v="0"/>
    <s v="Standard"/>
    <s v="Flash In-Page"/>
    <n v="53199"/>
    <n v="208"/>
    <n v="3.9098479294723586E-3"/>
    <x v="1"/>
  </r>
  <r>
    <x v="8"/>
    <s v="Souq_Motors_300x250_KSA_EN"/>
    <x v="0"/>
    <s v="Standard"/>
    <s v="Flash In-Page"/>
    <n v="56375"/>
    <n v="235"/>
    <n v="4.1685144124168514E-3"/>
    <x v="1"/>
  </r>
  <r>
    <x v="8"/>
    <s v="Souq_Motors_300x250_KWT_EN"/>
    <x v="0"/>
    <s v="Standard"/>
    <s v="Flash In-Page"/>
    <n v="2"/>
    <n v="1"/>
    <n v="0.5"/>
    <x v="1"/>
  </r>
  <r>
    <x v="8"/>
    <s v="Souq_Motors_300x250_KWT_EN"/>
    <x v="0"/>
    <s v="Standard"/>
    <s v="Flash In-Page"/>
    <n v="624"/>
    <n v="2"/>
    <n v="3.205128205128205E-3"/>
    <x v="1"/>
  </r>
  <r>
    <x v="8"/>
    <s v="Souq_Motors_300x250_KWT_EN"/>
    <x v="0"/>
    <s v="Standard"/>
    <s v="Flash In-Page"/>
    <n v="959"/>
    <n v="7"/>
    <n v="7.2992700729927005E-3"/>
    <x v="1"/>
  </r>
  <r>
    <x v="8"/>
    <s v="Souq_Motors_300x250_KWT_EN"/>
    <x v="0"/>
    <s v="Standard"/>
    <s v="Flash In-Page"/>
    <n v="1851"/>
    <n v="7"/>
    <n v="3.7817396002160996E-3"/>
    <x v="1"/>
  </r>
  <r>
    <x v="8"/>
    <s v="Souq_Motors_300x250_KWT_EN"/>
    <x v="0"/>
    <s v="Standard"/>
    <s v="Flash In-Page"/>
    <n v="429"/>
    <n v="2"/>
    <n v="4.662004662004662E-3"/>
    <x v="1"/>
  </r>
  <r>
    <x v="8"/>
    <s v="Souq_Motors_300x250_OMN_EN"/>
    <x v="0"/>
    <s v="Standard"/>
    <s v="Flash In-Page"/>
    <n v="1210"/>
    <n v="0"/>
    <n v="0"/>
    <x v="1"/>
  </r>
  <r>
    <x v="8"/>
    <s v="Souq_Motors_300x250_OMN_EN"/>
    <x v="0"/>
    <s v="Standard"/>
    <s v="Flash In-Page"/>
    <n v="8358"/>
    <n v="11"/>
    <n v="1.316104331179708E-3"/>
    <x v="1"/>
  </r>
  <r>
    <x v="8"/>
    <s v="Souq_Motors_300x250_OMN_EN"/>
    <x v="0"/>
    <s v="Standard"/>
    <s v="Flash In-Page"/>
    <n v="13128"/>
    <n v="27"/>
    <n v="2.0566727605118829E-3"/>
    <x v="1"/>
  </r>
  <r>
    <x v="8"/>
    <s v="Souq_Motors_300x250_OMN_EN"/>
    <x v="0"/>
    <s v="Standard"/>
    <s v="Flash In-Page"/>
    <n v="11924"/>
    <n v="28"/>
    <n v="2.3482053002348204E-3"/>
    <x v="1"/>
  </r>
  <r>
    <x v="8"/>
    <s v="Souq_Motors_300x250_OMN_EN"/>
    <x v="0"/>
    <s v="Standard"/>
    <s v="Flash In-Page"/>
    <n v="1383"/>
    <n v="2"/>
    <n v="1.4461315979754157E-3"/>
    <x v="1"/>
  </r>
  <r>
    <x v="8"/>
    <s v="Souq_Motors_300x250_QAT_EN"/>
    <x v="0"/>
    <s v="Standard"/>
    <s v="Flash In-Page"/>
    <n v="308"/>
    <n v="1"/>
    <n v="3.246753246753247E-3"/>
    <x v="1"/>
  </r>
  <r>
    <x v="8"/>
    <s v="Souq_Motors_300x250_QAT_EN"/>
    <x v="0"/>
    <s v="Standard"/>
    <s v="Flash In-Page"/>
    <n v="8099"/>
    <n v="21"/>
    <n v="2.5929127052722557E-3"/>
    <x v="1"/>
  </r>
  <r>
    <x v="8"/>
    <s v="Souq_Motors_300x250_QAT_EN"/>
    <x v="0"/>
    <s v="Standard"/>
    <s v="Flash In-Page"/>
    <n v="12653"/>
    <n v="38"/>
    <n v="3.0032403382597014E-3"/>
    <x v="1"/>
  </r>
  <r>
    <x v="8"/>
    <s v="Souq_Motors_300x250_QAT_EN"/>
    <x v="0"/>
    <s v="Standard"/>
    <s v="Flash In-Page"/>
    <n v="9680"/>
    <n v="21"/>
    <n v="2.1694214876033058E-3"/>
    <x v="1"/>
  </r>
  <r>
    <x v="8"/>
    <s v="Souq_Motors_300x250_QAT_EN"/>
    <x v="0"/>
    <s v="Standard"/>
    <s v="Flash In-Page"/>
    <n v="2361"/>
    <n v="1"/>
    <n v="4.2354934349851756E-4"/>
    <x v="1"/>
  </r>
  <r>
    <x v="8"/>
    <s v="Souq_Motors_300x250_UAE_EN"/>
    <x v="0"/>
    <s v="Standard"/>
    <s v="Flash In-Page"/>
    <n v="11391"/>
    <n v="49"/>
    <n v="4.3016416469142307E-3"/>
    <x v="1"/>
  </r>
  <r>
    <x v="8"/>
    <s v="Souq_Motors_300x250_UAE_EN"/>
    <x v="0"/>
    <s v="Standard"/>
    <s v="Flash In-Page"/>
    <n v="42646"/>
    <n v="91"/>
    <n v="2.1338460816958216E-3"/>
    <x v="1"/>
  </r>
  <r>
    <x v="8"/>
    <s v="Souq_Motors_300x250_UAE_EN"/>
    <x v="0"/>
    <s v="Standard"/>
    <s v="Flash In-Page"/>
    <n v="69264"/>
    <n v="174"/>
    <n v="2.5121275121275121E-3"/>
    <x v="1"/>
  </r>
  <r>
    <x v="8"/>
    <s v="Souq_Motors_300x250_UAE_EN"/>
    <x v="0"/>
    <s v="Standard"/>
    <s v="Flash In-Page"/>
    <n v="54740"/>
    <n v="146"/>
    <n v="2.6671538180489587E-3"/>
    <x v="1"/>
  </r>
  <r>
    <x v="8"/>
    <s v="Souq_Motors_300x250_UAE_EN"/>
    <x v="0"/>
    <s v="Standard"/>
    <s v="Flash In-Page"/>
    <n v="53283"/>
    <n v="191"/>
    <n v="3.584632997391288E-3"/>
    <x v="1"/>
  </r>
  <r>
    <x v="8"/>
    <s v="Souq_Motors_728x90_BHR_EN"/>
    <x v="1"/>
    <s v="Standard"/>
    <s v="Flash In-Page"/>
    <n v="1011"/>
    <n v="3"/>
    <n v="2.967359050445104E-3"/>
    <x v="1"/>
  </r>
  <r>
    <x v="8"/>
    <s v="Souq_Motors_728x90_BHR_EN"/>
    <x v="1"/>
    <s v="Standard"/>
    <s v="Flash In-Page"/>
    <n v="5101"/>
    <n v="6"/>
    <n v="1.1762399529504019E-3"/>
    <x v="1"/>
  </r>
  <r>
    <x v="8"/>
    <s v="Souq_Motors_728x90_BHR_EN"/>
    <x v="1"/>
    <s v="Standard"/>
    <s v="Flash In-Page"/>
    <n v="6000"/>
    <n v="5"/>
    <n v="8.3333333333333339E-4"/>
    <x v="1"/>
  </r>
  <r>
    <x v="8"/>
    <s v="Souq_Motors_728x90_BHR_EN"/>
    <x v="1"/>
    <s v="Standard"/>
    <s v="Flash In-Page"/>
    <n v="3616"/>
    <n v="5"/>
    <n v="1.3827433628318584E-3"/>
    <x v="1"/>
  </r>
  <r>
    <x v="8"/>
    <s v="Souq_Motors_728x90_BHR_EN"/>
    <x v="1"/>
    <s v="Standard"/>
    <s v="Flash In-Page"/>
    <n v="1319"/>
    <n v="3"/>
    <n v="2.2744503411675512E-3"/>
    <x v="1"/>
  </r>
  <r>
    <x v="8"/>
    <s v="Souq_Motors_728x90_KSA_EN"/>
    <x v="1"/>
    <s v="Standard"/>
    <s v="Flash In-Page"/>
    <n v="3579"/>
    <n v="17"/>
    <n v="4.7499301480860576E-3"/>
    <x v="1"/>
  </r>
  <r>
    <x v="8"/>
    <s v="Souq_Motors_728x90_KSA_EN"/>
    <x v="1"/>
    <s v="Standard"/>
    <s v="Flash In-Page"/>
    <n v="22098"/>
    <n v="60"/>
    <n v="2.7151778441487917E-3"/>
    <x v="1"/>
  </r>
  <r>
    <x v="8"/>
    <s v="Souq_Motors_728x90_KSA_EN"/>
    <x v="1"/>
    <s v="Standard"/>
    <s v="Flash In-Page"/>
    <n v="62349"/>
    <n v="125"/>
    <n v="2.0048437023849619E-3"/>
    <x v="1"/>
  </r>
  <r>
    <x v="8"/>
    <s v="Souq_Motors_728x90_KSA_EN"/>
    <x v="1"/>
    <s v="Standard"/>
    <s v="Flash In-Page"/>
    <n v="35702"/>
    <n v="69"/>
    <n v="1.9326648367038262E-3"/>
    <x v="1"/>
  </r>
  <r>
    <x v="8"/>
    <s v="Souq_Motors_728x90_KSA_EN"/>
    <x v="1"/>
    <s v="Standard"/>
    <s v="Flash In-Page"/>
    <n v="27459"/>
    <n v="48"/>
    <n v="1.7480607451108925E-3"/>
    <x v="1"/>
  </r>
  <r>
    <x v="8"/>
    <s v="Souq_Motors_728x90_KWT_EN"/>
    <x v="1"/>
    <s v="Standard"/>
    <s v="Flash In-Page"/>
    <n v="3201"/>
    <n v="8"/>
    <n v="2.4992189940643548E-3"/>
    <x v="1"/>
  </r>
  <r>
    <x v="8"/>
    <s v="Souq_Motors_728x90_KWT_EN"/>
    <x v="1"/>
    <s v="Standard"/>
    <s v="Flash In-Page"/>
    <n v="12425"/>
    <n v="23"/>
    <n v="1.8511066398390341E-3"/>
    <x v="1"/>
  </r>
  <r>
    <x v="8"/>
    <s v="Souq_Motors_728x90_KWT_EN"/>
    <x v="1"/>
    <s v="Standard"/>
    <s v="Flash In-Page"/>
    <n v="15388"/>
    <n v="13"/>
    <n v="8.4481414088900439E-4"/>
    <x v="1"/>
  </r>
  <r>
    <x v="8"/>
    <s v="Souq_Motors_728x90_KWT_EN"/>
    <x v="1"/>
    <s v="Standard"/>
    <s v="Flash In-Page"/>
    <n v="11397"/>
    <n v="20"/>
    <n v="1.7548477669562166E-3"/>
    <x v="1"/>
  </r>
  <r>
    <x v="8"/>
    <s v="Souq_Motors_728x90_KWT_EN"/>
    <x v="1"/>
    <s v="Standard"/>
    <s v="Flash In-Page"/>
    <n v="1424"/>
    <n v="5"/>
    <n v="3.5112359550561797E-3"/>
    <x v="1"/>
  </r>
  <r>
    <x v="8"/>
    <s v="Souq_Motors_728x90_QAT_EN"/>
    <x v="1"/>
    <s v="Standard"/>
    <s v="Flash In-Page"/>
    <n v="597"/>
    <n v="2"/>
    <n v="3.3500837520938024E-3"/>
    <x v="1"/>
  </r>
  <r>
    <x v="8"/>
    <s v="Souq_Motors_728x90_QAT_EN"/>
    <x v="1"/>
    <s v="Standard"/>
    <s v="Flash In-Page"/>
    <n v="5413"/>
    <n v="2"/>
    <n v="3.6948087936449289E-4"/>
    <x v="1"/>
  </r>
  <r>
    <x v="8"/>
    <s v="Souq_Motors_728x90_QAT_EN"/>
    <x v="1"/>
    <s v="Standard"/>
    <s v="Flash In-Page"/>
    <n v="9326"/>
    <n v="6"/>
    <n v="6.4336264207591682E-4"/>
    <x v="1"/>
  </r>
  <r>
    <x v="8"/>
    <s v="Souq_Motors_728x90_QAT_EN"/>
    <x v="1"/>
    <s v="Standard"/>
    <s v="Flash In-Page"/>
    <n v="7868"/>
    <n v="8"/>
    <n v="1.0167768174885613E-3"/>
    <x v="1"/>
  </r>
  <r>
    <x v="8"/>
    <s v="Souq_Motors_728x90_QAT_EN"/>
    <x v="1"/>
    <s v="Standard"/>
    <s v="Flash In-Page"/>
    <n v="478"/>
    <n v="1"/>
    <n v="2.0920502092050207E-3"/>
    <x v="1"/>
  </r>
  <r>
    <x v="8"/>
    <s v="Souq_Motors_728x90_UAE_EN"/>
    <x v="1"/>
    <s v="Standard"/>
    <s v="Flash In-Page"/>
    <n v="3714"/>
    <n v="7"/>
    <n v="1.884760366182014E-3"/>
    <x v="1"/>
  </r>
  <r>
    <x v="8"/>
    <s v="Souq_Motors_728x90_UAE_EN"/>
    <x v="1"/>
    <s v="Standard"/>
    <s v="Flash In-Page"/>
    <n v="14227"/>
    <n v="37"/>
    <n v="2.6006888310958036E-3"/>
    <x v="1"/>
  </r>
  <r>
    <x v="8"/>
    <s v="Souq_Motors_728x90_UAE_EN"/>
    <x v="1"/>
    <s v="Standard"/>
    <s v="Flash In-Page"/>
    <n v="29389"/>
    <n v="64"/>
    <n v="2.1776855285991358E-3"/>
    <x v="1"/>
  </r>
  <r>
    <x v="8"/>
    <s v="Souq_Motors_728x90_UAE_EN"/>
    <x v="1"/>
    <s v="Standard"/>
    <s v="Flash In-Page"/>
    <n v="17340"/>
    <n v="46"/>
    <n v="2.6528258362168398E-3"/>
    <x v="1"/>
  </r>
  <r>
    <x v="8"/>
    <s v="Souq_Motors_728x90_UAE_EN"/>
    <x v="1"/>
    <s v="Standard"/>
    <s v="Flash In-Page"/>
    <n v="15372"/>
    <n v="48"/>
    <n v="3.1225604996096799E-3"/>
    <x v="1"/>
  </r>
  <r>
    <x v="9"/>
    <s v="FrancoisHabchi_EN_BAH_Tech_Blis_b468x60"/>
    <x v="2"/>
    <s v="Standard"/>
    <s v="Rich Media In-Page Flash"/>
    <n v="4"/>
    <n v="0"/>
    <n v="0"/>
    <x v="3"/>
  </r>
  <r>
    <x v="9"/>
    <s v="FrancoisHabchi_EN_BAH_Tech_Blis_b468x60"/>
    <x v="2"/>
    <s v="Standard"/>
    <s v="Rich Media In-Page Flash"/>
    <n v="6"/>
    <n v="0"/>
    <n v="0"/>
    <x v="3"/>
  </r>
  <r>
    <x v="9"/>
    <s v="FrancoisHabchi_EN_BAH_Tech_Blis_b468x60"/>
    <x v="2"/>
    <s v="Standard"/>
    <s v="Rich Media In-Page Flash"/>
    <n v="14"/>
    <n v="0"/>
    <n v="0"/>
    <x v="3"/>
  </r>
  <r>
    <x v="9"/>
    <s v="FrancoisHabchi_EN_BAH_Tech_Blis_b468x60"/>
    <x v="2"/>
    <s v="Standard"/>
    <s v="Rich Media In-Page Flash"/>
    <n v="3"/>
    <n v="0"/>
    <n v="0"/>
    <x v="3"/>
  </r>
  <r>
    <x v="9"/>
    <s v="FrancoisHabchi_EN_BAH_Tech_Blis_b468x60"/>
    <x v="2"/>
    <s v="Standard"/>
    <s v="Rich Media In-Page Flash"/>
    <n v="1"/>
    <n v="0"/>
    <n v="0"/>
    <x v="3"/>
  </r>
  <r>
    <x v="9"/>
    <s v="FrancoisHabchi_EN_KSA_Tech_Blis_b468x60"/>
    <x v="2"/>
    <s v="Standard"/>
    <s v="Rich Media In-Page Flash"/>
    <n v="8"/>
    <n v="0"/>
    <n v="0"/>
    <x v="3"/>
  </r>
  <r>
    <x v="9"/>
    <s v="FrancoisHabchi_EN_KSA_Tech_Blis_b468x60"/>
    <x v="2"/>
    <s v="Standard"/>
    <s v="Rich Media In-Page Flash"/>
    <n v="24"/>
    <n v="1"/>
    <n v="4.1666666666666664E-2"/>
    <x v="3"/>
  </r>
  <r>
    <x v="9"/>
    <s v="FrancoisHabchi_EN_KSA_Tech_Blis_b468x60"/>
    <x v="2"/>
    <s v="Standard"/>
    <s v="Rich Media In-Page Flash"/>
    <n v="10"/>
    <n v="0"/>
    <n v="0"/>
    <x v="3"/>
  </r>
  <r>
    <x v="9"/>
    <s v="FrancoisHabchi_EN_KSA_Tech_Blis_b468x60"/>
    <x v="2"/>
    <s v="Standard"/>
    <s v="Rich Media In-Page Flash"/>
    <n v="4"/>
    <n v="0"/>
    <n v="0"/>
    <x v="3"/>
  </r>
  <r>
    <x v="9"/>
    <s v="FrancoisHabchi_EN_KSA_Tech_Blis_b468x60"/>
    <x v="2"/>
    <s v="Standard"/>
    <s v="Rich Media In-Page Flash"/>
    <n v="1"/>
    <n v="0"/>
    <n v="0"/>
    <x v="3"/>
  </r>
  <r>
    <x v="9"/>
    <s v="FrancoisHabchi_EN_KWT_Tech_Blis_b468x60"/>
    <x v="2"/>
    <s v="Standard"/>
    <s v="Rich Media In-Page Flash"/>
    <n v="3"/>
    <n v="0"/>
    <n v="0"/>
    <x v="3"/>
  </r>
  <r>
    <x v="9"/>
    <s v="FrancoisHabchi_EN_KWT_Tech_Blis_b468x60"/>
    <x v="2"/>
    <s v="Standard"/>
    <s v="Rich Media In-Page Flash"/>
    <n v="8"/>
    <n v="0"/>
    <n v="0"/>
    <x v="3"/>
  </r>
  <r>
    <x v="9"/>
    <s v="FrancoisHabchi_EN_KWT_Tech_Blis_b468x60"/>
    <x v="2"/>
    <s v="Standard"/>
    <s v="Rich Media In-Page Flash"/>
    <n v="7"/>
    <n v="0"/>
    <n v="0"/>
    <x v="3"/>
  </r>
  <r>
    <x v="9"/>
    <s v="FrancoisHabchi_EN_KWT_Tech_Blis_b468x60"/>
    <x v="2"/>
    <s v="Standard"/>
    <s v="Rich Media In-Page Flash"/>
    <n v="7"/>
    <n v="0"/>
    <n v="0"/>
    <x v="3"/>
  </r>
  <r>
    <x v="9"/>
    <s v="FrancoisHabchi_EN_KWT_Tech_Blis_b468x60"/>
    <x v="2"/>
    <s v="Standard"/>
    <s v="Rich Media In-Page Flash"/>
    <n v="4"/>
    <n v="0"/>
    <n v="0"/>
    <x v="3"/>
  </r>
  <r>
    <x v="9"/>
    <s v="FrancoisHabchi_EN_OMN_Tech_Blis_b468x60"/>
    <x v="2"/>
    <s v="Standard"/>
    <s v="Rich Media In-Page Flash"/>
    <n v="7"/>
    <n v="0"/>
    <n v="0"/>
    <x v="3"/>
  </r>
  <r>
    <x v="9"/>
    <s v="FrancoisHabchi_EN_OMN_Tech_Blis_b468x60"/>
    <x v="2"/>
    <s v="Standard"/>
    <s v="Rich Media In-Page Flash"/>
    <n v="6"/>
    <n v="0"/>
    <n v="0"/>
    <x v="3"/>
  </r>
  <r>
    <x v="9"/>
    <s v="FrancoisHabchi_EN_OMN_Tech_Blis_b468x60"/>
    <x v="2"/>
    <s v="Standard"/>
    <s v="Rich Media In-Page Flash"/>
    <n v="4"/>
    <n v="0"/>
    <n v="0"/>
    <x v="3"/>
  </r>
  <r>
    <x v="9"/>
    <s v="FrancoisHabchi_EN_OMN_Tech_Blis_b468x60"/>
    <x v="2"/>
    <s v="Standard"/>
    <s v="Rich Media In-Page Flash"/>
    <n v="5"/>
    <n v="0"/>
    <n v="0"/>
    <x v="3"/>
  </r>
  <r>
    <x v="9"/>
    <s v="FrancoisHabchi_EN_OMN_Tech_Blis_b468x60"/>
    <x v="2"/>
    <s v="Standard"/>
    <s v="Rich Media In-Page Flash"/>
    <n v="4"/>
    <n v="0"/>
    <n v="0"/>
    <x v="3"/>
  </r>
  <r>
    <x v="9"/>
    <s v="FrancoisHabchi_EN_QAT_Tech_Blis_b468x60"/>
    <x v="2"/>
    <s v="Standard"/>
    <s v="Rich Media In-Page Flash"/>
    <n v="8"/>
    <n v="0"/>
    <n v="0"/>
    <x v="3"/>
  </r>
  <r>
    <x v="9"/>
    <s v="FrancoisHabchi_EN_QAT_Tech_Blis_b468x60"/>
    <x v="2"/>
    <s v="Standard"/>
    <s v="Rich Media In-Page Flash"/>
    <n v="5"/>
    <n v="0"/>
    <n v="0"/>
    <x v="3"/>
  </r>
  <r>
    <x v="9"/>
    <s v="FrancoisHabchi_EN_QAT_Tech_Blis_b468x60"/>
    <x v="2"/>
    <s v="Standard"/>
    <s v="Rich Media In-Page Flash"/>
    <n v="6"/>
    <n v="0"/>
    <n v="0"/>
    <x v="3"/>
  </r>
  <r>
    <x v="9"/>
    <s v="FrancoisHabchi_EN_QAT_Tech_Blis_b468x60"/>
    <x v="2"/>
    <s v="Standard"/>
    <s v="Rich Media In-Page Flash"/>
    <n v="5"/>
    <n v="0"/>
    <n v="0"/>
    <x v="3"/>
  </r>
  <r>
    <x v="9"/>
    <s v="FrancoisHabchi_EN_QAT_Tech_Blis_b468x60"/>
    <x v="2"/>
    <s v="Standard"/>
    <s v="Rich Media In-Page Flash"/>
    <n v="5"/>
    <n v="0"/>
    <n v="0"/>
    <x v="3"/>
  </r>
  <r>
    <x v="9"/>
    <s v="FrancoisHabchi_EN_UAE_Tech_Blis_b468x60"/>
    <x v="2"/>
    <s v="Standard"/>
    <s v="Rich Media In-Page Flash"/>
    <n v="103"/>
    <n v="0"/>
    <n v="0"/>
    <x v="3"/>
  </r>
  <r>
    <x v="9"/>
    <s v="FrancoisHabchi_EN_UAE_Tech_Blis_b468x60"/>
    <x v="2"/>
    <s v="Standard"/>
    <s v="Rich Media In-Page Flash"/>
    <n v="118"/>
    <n v="0"/>
    <n v="0"/>
    <x v="3"/>
  </r>
  <r>
    <x v="9"/>
    <s v="FrancoisHabchi_EN_UAE_Tech_Blis_b468x60"/>
    <x v="2"/>
    <s v="Standard"/>
    <s v="Rich Media In-Page Flash"/>
    <n v="137"/>
    <n v="0"/>
    <n v="0"/>
    <x v="3"/>
  </r>
  <r>
    <x v="9"/>
    <s v="FrancoisHabchi_EN_UAE_Tech_Blis_b468x60"/>
    <x v="2"/>
    <s v="Standard"/>
    <s v="Rich Media In-Page Flash"/>
    <n v="166"/>
    <n v="0"/>
    <n v="0"/>
    <x v="3"/>
  </r>
  <r>
    <x v="9"/>
    <s v="FrancoisHabchi_EN_UAE_Tech_Blis_b468x60"/>
    <x v="2"/>
    <s v="Standard"/>
    <s v="Rich Media In-Page Flash"/>
    <n v="95"/>
    <n v="1"/>
    <n v="1.0526315789473684E-2"/>
    <x v="3"/>
  </r>
  <r>
    <x v="10"/>
    <s v="Tech,Family,Lifestyle_16x600_Exp_KSA_EN"/>
    <x v="3"/>
    <s v="Default"/>
    <s v="Gif"/>
    <n v="1"/>
    <n v="0"/>
    <n v="0"/>
    <x v="1"/>
  </r>
  <r>
    <x v="10"/>
    <s v="TribalFusion_728x90_BHR_AR"/>
    <x v="1"/>
    <s v="Default"/>
    <s v="Gif"/>
    <n v="1"/>
    <n v="0"/>
    <n v="0"/>
    <x v="0"/>
  </r>
  <r>
    <x v="10"/>
    <s v="TribalFusion_728x90_KSA_AR"/>
    <x v="1"/>
    <s v="Default"/>
    <s v="Gif"/>
    <n v="3"/>
    <n v="0"/>
    <n v="0"/>
    <x v="0"/>
  </r>
  <r>
    <x v="10"/>
    <s v="TribalFusion_728x90_KWT_AR"/>
    <x v="1"/>
    <s v="Default"/>
    <s v="Gif"/>
    <n v="1"/>
    <n v="0"/>
    <n v="0"/>
    <x v="0"/>
  </r>
  <r>
    <x v="10"/>
    <s v="TribalFusion_728x90_UAE_AR"/>
    <x v="1"/>
    <s v="Default"/>
    <s v="Gif"/>
    <n v="2"/>
    <n v="0"/>
    <n v="0"/>
    <x v="0"/>
  </r>
  <r>
    <x v="11"/>
    <s v="Adzouk_300x250_KSA_AR"/>
    <x v="0"/>
    <s v="Default"/>
    <s v="Gif"/>
    <n v="9"/>
    <n v="0"/>
    <n v="0"/>
    <x v="0"/>
  </r>
  <r>
    <x v="11"/>
    <s v="Adzouk_300x250_KSA_AR"/>
    <x v="0"/>
    <s v="Default"/>
    <s v="Gif"/>
    <n v="62"/>
    <n v="0"/>
    <n v="0"/>
    <x v="0"/>
  </r>
  <r>
    <x v="11"/>
    <s v="Adzouk_300x250_KSA_AR"/>
    <x v="0"/>
    <s v="Default"/>
    <s v="Gif"/>
    <n v="39"/>
    <n v="0"/>
    <n v="0"/>
    <x v="0"/>
  </r>
  <r>
    <x v="11"/>
    <s v="Adzouk_300x250_KSA_AR"/>
    <x v="0"/>
    <s v="Default"/>
    <s v="Gif"/>
    <n v="26"/>
    <n v="0"/>
    <n v="0"/>
    <x v="0"/>
  </r>
  <r>
    <x v="11"/>
    <s v="Adzouk_300x250_KSA_AR"/>
    <x v="0"/>
    <s v="Default"/>
    <s v="Gif"/>
    <n v="210"/>
    <n v="0"/>
    <n v="0"/>
    <x v="0"/>
  </r>
  <r>
    <x v="11"/>
    <s v="Adzouk_300x250_KSA_AR"/>
    <x v="0"/>
    <s v="Standard"/>
    <s v="Flash In-Page"/>
    <n v="24689"/>
    <n v="35"/>
    <n v="1.4176353841791891E-3"/>
    <x v="0"/>
  </r>
  <r>
    <x v="11"/>
    <s v="Adzouk_300x250_KSA_AR"/>
    <x v="0"/>
    <s v="Standard"/>
    <s v="Flash In-Page"/>
    <n v="59547"/>
    <n v="74"/>
    <n v="1.2427158379095505E-3"/>
    <x v="0"/>
  </r>
  <r>
    <x v="11"/>
    <s v="Adzouk_300x250_KSA_AR"/>
    <x v="0"/>
    <s v="Standard"/>
    <s v="Flash In-Page"/>
    <n v="59049"/>
    <n v="69"/>
    <n v="1.1685210587816899E-3"/>
    <x v="0"/>
  </r>
  <r>
    <x v="11"/>
    <s v="Adzouk_300x250_KSA_AR"/>
    <x v="0"/>
    <s v="Standard"/>
    <s v="Flash In-Page"/>
    <n v="58763"/>
    <n v="91"/>
    <n v="1.548593502714293E-3"/>
    <x v="0"/>
  </r>
  <r>
    <x v="11"/>
    <s v="Adzouk_300x250_KSA_AR"/>
    <x v="0"/>
    <s v="Standard"/>
    <s v="Flash In-Page"/>
    <n v="573467"/>
    <n v="599"/>
    <n v="1.044523922039106E-3"/>
    <x v="0"/>
  </r>
  <r>
    <x v="11"/>
    <s v="Adzouk_300x250_KSA_EN"/>
    <x v="0"/>
    <s v="Default"/>
    <s v="Gif"/>
    <n v="5"/>
    <n v="0"/>
    <n v="0"/>
    <x v="1"/>
  </r>
  <r>
    <x v="11"/>
    <s v="Adzouk_300x250_KSA_EN"/>
    <x v="0"/>
    <s v="Default"/>
    <s v="Gif"/>
    <n v="16"/>
    <n v="0"/>
    <n v="0"/>
    <x v="1"/>
  </r>
  <r>
    <x v="11"/>
    <s v="Adzouk_300x250_KSA_EN"/>
    <x v="0"/>
    <s v="Default"/>
    <s v="Gif"/>
    <n v="6"/>
    <n v="0"/>
    <n v="0"/>
    <x v="1"/>
  </r>
  <r>
    <x v="11"/>
    <s v="Adzouk_300x250_KSA_EN"/>
    <x v="0"/>
    <s v="Default"/>
    <s v="Gif"/>
    <n v="70"/>
    <n v="0"/>
    <n v="0"/>
    <x v="1"/>
  </r>
  <r>
    <x v="11"/>
    <s v="Adzouk_300x250_KSA_EN"/>
    <x v="0"/>
    <s v="Standard"/>
    <s v="Flash In-Page"/>
    <n v="23257"/>
    <n v="21"/>
    <n v="9.0295394934858321E-4"/>
    <x v="1"/>
  </r>
  <r>
    <x v="11"/>
    <s v="Adzouk_300x250_KSA_EN"/>
    <x v="0"/>
    <s v="Standard"/>
    <s v="Flash In-Page"/>
    <n v="35630"/>
    <n v="34"/>
    <n v="9.5425203480213302E-4"/>
    <x v="1"/>
  </r>
  <r>
    <x v="11"/>
    <s v="Adzouk_300x250_KSA_EN"/>
    <x v="0"/>
    <s v="Standard"/>
    <s v="Flash In-Page"/>
    <n v="61592"/>
    <n v="20"/>
    <n v="3.2471749577867254E-4"/>
    <x v="1"/>
  </r>
  <r>
    <x v="11"/>
    <s v="Adzouk_300x250_KSA_EN"/>
    <x v="0"/>
    <s v="Standard"/>
    <s v="Flash In-Page"/>
    <n v="62113"/>
    <n v="17"/>
    <n v="2.7369471769194857E-4"/>
    <x v="1"/>
  </r>
  <r>
    <x v="11"/>
    <s v="Adzouk_300x250_KSA_EN"/>
    <x v="0"/>
    <s v="Standard"/>
    <s v="Flash In-Page"/>
    <n v="171527"/>
    <n v="92"/>
    <n v="5.3635870737551528E-4"/>
    <x v="1"/>
  </r>
  <r>
    <x v="11"/>
    <s v="Adzouk_300x250_UAE_AR"/>
    <x v="0"/>
    <s v="Default"/>
    <s v="Gif"/>
    <n v="9"/>
    <n v="0"/>
    <n v="0"/>
    <x v="0"/>
  </r>
  <r>
    <x v="11"/>
    <s v="Adzouk_300x250_UAE_AR"/>
    <x v="0"/>
    <s v="Default"/>
    <s v="Gif"/>
    <n v="21"/>
    <n v="0"/>
    <n v="0"/>
    <x v="0"/>
  </r>
  <r>
    <x v="11"/>
    <s v="Adzouk_300x250_UAE_AR"/>
    <x v="0"/>
    <s v="Default"/>
    <s v="Gif"/>
    <n v="5"/>
    <n v="0"/>
    <n v="0"/>
    <x v="0"/>
  </r>
  <r>
    <x v="11"/>
    <s v="Adzouk_300x250_UAE_AR"/>
    <x v="0"/>
    <s v="Default"/>
    <s v="Gif"/>
    <n v="37"/>
    <n v="0"/>
    <n v="0"/>
    <x v="0"/>
  </r>
  <r>
    <x v="11"/>
    <s v="Adzouk_300x250_UAE_AR"/>
    <x v="0"/>
    <s v="Default"/>
    <s v="Gif"/>
    <n v="25"/>
    <n v="0"/>
    <n v="0"/>
    <x v="0"/>
  </r>
  <r>
    <x v="11"/>
    <s v="Adzouk_300x250_UAE_AR"/>
    <x v="0"/>
    <s v="Standard"/>
    <s v="Flash In-Page"/>
    <n v="16139"/>
    <n v="13"/>
    <n v="8.0550219964062211E-4"/>
    <x v="0"/>
  </r>
  <r>
    <x v="11"/>
    <s v="Adzouk_300x250_UAE_AR"/>
    <x v="0"/>
    <s v="Standard"/>
    <s v="Flash In-Page"/>
    <n v="23941"/>
    <n v="23"/>
    <n v="9.6069504197819643E-4"/>
    <x v="0"/>
  </r>
  <r>
    <x v="11"/>
    <s v="Adzouk_300x250_UAE_AR"/>
    <x v="0"/>
    <s v="Standard"/>
    <s v="Flash In-Page"/>
    <n v="16087"/>
    <n v="10"/>
    <n v="6.2161994156772549E-4"/>
    <x v="0"/>
  </r>
  <r>
    <x v="11"/>
    <s v="Adzouk_300x250_UAE_AR"/>
    <x v="0"/>
    <s v="Standard"/>
    <s v="Flash In-Page"/>
    <n v="29334"/>
    <n v="25"/>
    <n v="8.5225335787823006E-4"/>
    <x v="0"/>
  </r>
  <r>
    <x v="11"/>
    <s v="Adzouk_300x250_UAE_AR"/>
    <x v="0"/>
    <s v="Standard"/>
    <s v="Flash In-Page"/>
    <n v="34491"/>
    <n v="31"/>
    <n v="8.9878519033950884E-4"/>
    <x v="0"/>
  </r>
  <r>
    <x v="11"/>
    <s v="Adzouk_300x250_UAE_EN"/>
    <x v="0"/>
    <s v="Default"/>
    <s v="Gif"/>
    <n v="4"/>
    <n v="0"/>
    <n v="0"/>
    <x v="1"/>
  </r>
  <r>
    <x v="11"/>
    <s v="Adzouk_300x250_UAE_EN"/>
    <x v="0"/>
    <s v="Standard"/>
    <s v="Flash In-Page"/>
    <n v="461"/>
    <n v="0"/>
    <n v="0"/>
    <x v="1"/>
  </r>
  <r>
    <x v="11"/>
    <s v="Adzouk_300x250_UAE_EN"/>
    <x v="0"/>
    <s v="Standard"/>
    <s v="Flash In-Page"/>
    <n v="1"/>
    <n v="0"/>
    <n v="0"/>
    <x v="1"/>
  </r>
  <r>
    <x v="11"/>
    <s v="Adzouk_300x250_UAE_EN"/>
    <x v="0"/>
    <s v="Standard"/>
    <s v="Flash In-Page"/>
    <n v="1"/>
    <n v="0"/>
    <n v="0"/>
    <x v="1"/>
  </r>
  <r>
    <x v="11"/>
    <s v="Adzouk_300x250_UAE_EN"/>
    <x v="0"/>
    <s v="Standard"/>
    <s v="Flash In-Page"/>
    <n v="2451"/>
    <n v="1"/>
    <n v="4.0799673602611179E-4"/>
    <x v="1"/>
  </r>
  <r>
    <x v="11"/>
    <s v="Adzouk_300x250_UAE_EN"/>
    <x v="0"/>
    <s v="Standard"/>
    <s v="Flash In-Page"/>
    <n v="15275"/>
    <n v="8"/>
    <n v="5.2373158756137482E-4"/>
    <x v="1"/>
  </r>
  <r>
    <x v="11"/>
    <s v="Adzouk_728x90_KSA_AR"/>
    <x v="1"/>
    <s v="Default"/>
    <s v="Gif"/>
    <n v="3"/>
    <n v="0"/>
    <n v="0"/>
    <x v="0"/>
  </r>
  <r>
    <x v="11"/>
    <s v="Adzouk_728x90_KSA_AR"/>
    <x v="1"/>
    <s v="Default"/>
    <s v="Gif"/>
    <n v="18"/>
    <n v="0"/>
    <n v="0"/>
    <x v="0"/>
  </r>
  <r>
    <x v="11"/>
    <s v="Adzouk_728x90_KSA_AR"/>
    <x v="1"/>
    <s v="Default"/>
    <s v="Gif"/>
    <n v="18"/>
    <n v="0"/>
    <n v="0"/>
    <x v="0"/>
  </r>
  <r>
    <x v="11"/>
    <s v="Adzouk_728x90_KSA_AR"/>
    <x v="1"/>
    <s v="Default"/>
    <s v="Gif"/>
    <n v="10"/>
    <n v="0"/>
    <n v="0"/>
    <x v="0"/>
  </r>
  <r>
    <x v="11"/>
    <s v="Adzouk_728x90_KSA_AR"/>
    <x v="1"/>
    <s v="Default"/>
    <s v="Gif"/>
    <n v="71"/>
    <n v="0"/>
    <n v="0"/>
    <x v="0"/>
  </r>
  <r>
    <x v="11"/>
    <s v="Adzouk_728x90_KSA_AR"/>
    <x v="1"/>
    <s v="Standard"/>
    <s v="Flash In-Page"/>
    <n v="6754"/>
    <n v="3"/>
    <n v="4.4418122594018359E-4"/>
    <x v="0"/>
  </r>
  <r>
    <x v="11"/>
    <s v="Adzouk_728x90_KSA_AR"/>
    <x v="1"/>
    <s v="Standard"/>
    <s v="Flash In-Page"/>
    <n v="36275"/>
    <n v="28"/>
    <n v="7.7188146106133698E-4"/>
    <x v="0"/>
  </r>
  <r>
    <x v="11"/>
    <s v="Adzouk_728x90_KSA_AR"/>
    <x v="1"/>
    <s v="Standard"/>
    <s v="Flash In-Page"/>
    <n v="36420"/>
    <n v="24"/>
    <n v="6.5897858319604609E-4"/>
    <x v="0"/>
  </r>
  <r>
    <x v="11"/>
    <s v="Adzouk_728x90_KSA_AR"/>
    <x v="1"/>
    <s v="Standard"/>
    <s v="Flash In-Page"/>
    <n v="6733"/>
    <n v="8"/>
    <n v="1.1881776325560671E-3"/>
    <x v="0"/>
  </r>
  <r>
    <x v="11"/>
    <s v="Adzouk_728x90_KSA_AR"/>
    <x v="1"/>
    <s v="Standard"/>
    <s v="Flash In-Page"/>
    <n v="196053"/>
    <n v="141"/>
    <n v="7.1919327936833405E-4"/>
    <x v="0"/>
  </r>
  <r>
    <x v="11"/>
    <s v="Adzouk_728x90_KSA_EN"/>
    <x v="1"/>
    <s v="Default"/>
    <s v="Gif"/>
    <n v="4"/>
    <n v="0"/>
    <n v="0"/>
    <x v="1"/>
  </r>
  <r>
    <x v="11"/>
    <s v="Adzouk_728x90_KSA_EN"/>
    <x v="1"/>
    <s v="Default"/>
    <s v="Gif"/>
    <n v="8"/>
    <n v="0"/>
    <n v="0"/>
    <x v="1"/>
  </r>
  <r>
    <x v="11"/>
    <s v="Adzouk_728x90_KSA_EN"/>
    <x v="1"/>
    <s v="Default"/>
    <s v="Gif"/>
    <n v="3"/>
    <n v="0"/>
    <n v="0"/>
    <x v="1"/>
  </r>
  <r>
    <x v="11"/>
    <s v="Adzouk_728x90_KSA_EN"/>
    <x v="1"/>
    <s v="Default"/>
    <s v="Gif"/>
    <n v="18"/>
    <n v="0"/>
    <n v="0"/>
    <x v="1"/>
  </r>
  <r>
    <x v="11"/>
    <s v="Adzouk_728x90_KSA_EN"/>
    <x v="1"/>
    <s v="Standard"/>
    <s v="Flash In-Page"/>
    <n v="13714"/>
    <n v="10"/>
    <n v="7.2918185795537403E-4"/>
    <x v="1"/>
  </r>
  <r>
    <x v="11"/>
    <s v="Adzouk_728x90_KSA_EN"/>
    <x v="1"/>
    <s v="Standard"/>
    <s v="Flash In-Page"/>
    <n v="30071"/>
    <n v="10"/>
    <n v="3.3254630707325996E-4"/>
    <x v="1"/>
  </r>
  <r>
    <x v="11"/>
    <s v="Adzouk_728x90_KSA_EN"/>
    <x v="1"/>
    <s v="Standard"/>
    <s v="Flash In-Page"/>
    <n v="46548"/>
    <n v="28"/>
    <n v="6.0152960384978946E-4"/>
    <x v="1"/>
  </r>
  <r>
    <x v="11"/>
    <s v="Adzouk_728x90_KSA_EN"/>
    <x v="1"/>
    <s v="Standard"/>
    <s v="Flash In-Page"/>
    <n v="47065"/>
    <n v="26"/>
    <n v="5.5242749389142675E-4"/>
    <x v="1"/>
  </r>
  <r>
    <x v="11"/>
    <s v="Adzouk_728x90_KSA_EN"/>
    <x v="1"/>
    <s v="Standard"/>
    <s v="Flash In-Page"/>
    <n v="133641"/>
    <n v="55"/>
    <n v="4.1155034757297534E-4"/>
    <x v="1"/>
  </r>
  <r>
    <x v="11"/>
    <s v="Adzouk_728x90_UAE_AR"/>
    <x v="1"/>
    <s v="Default"/>
    <s v="Gif"/>
    <n v="3"/>
    <n v="0"/>
    <n v="0"/>
    <x v="0"/>
  </r>
  <r>
    <x v="11"/>
    <s v="Adzouk_728x90_UAE_AR"/>
    <x v="1"/>
    <s v="Default"/>
    <s v="Gif"/>
    <n v="9"/>
    <n v="0"/>
    <n v="0"/>
    <x v="0"/>
  </r>
  <r>
    <x v="11"/>
    <s v="Adzouk_728x90_UAE_AR"/>
    <x v="1"/>
    <s v="Default"/>
    <s v="Gif"/>
    <n v="15"/>
    <n v="0"/>
    <n v="0"/>
    <x v="0"/>
  </r>
  <r>
    <x v="11"/>
    <s v="Adzouk_728x90_UAE_AR"/>
    <x v="1"/>
    <s v="Default"/>
    <s v="Gif"/>
    <n v="137"/>
    <n v="0"/>
    <n v="0"/>
    <x v="0"/>
  </r>
  <r>
    <x v="11"/>
    <s v="Adzouk_728x90_UAE_AR"/>
    <x v="1"/>
    <s v="Default"/>
    <s v="Gif"/>
    <n v="23"/>
    <n v="0"/>
    <n v="0"/>
    <x v="0"/>
  </r>
  <r>
    <x v="11"/>
    <s v="Adzouk_728x90_UAE_AR"/>
    <x v="1"/>
    <s v="Standard"/>
    <s v="Flash In-Page"/>
    <n v="16624"/>
    <n v="7"/>
    <n v="4.2107795957651586E-4"/>
    <x v="0"/>
  </r>
  <r>
    <x v="11"/>
    <s v="Adzouk_728x90_UAE_AR"/>
    <x v="1"/>
    <s v="Standard"/>
    <s v="Flash In-Page"/>
    <n v="30667"/>
    <n v="20"/>
    <n v="6.5216682427364915E-4"/>
    <x v="0"/>
  </r>
  <r>
    <x v="11"/>
    <s v="Adzouk_728x90_UAE_AR"/>
    <x v="1"/>
    <s v="Standard"/>
    <s v="Flash In-Page"/>
    <n v="32752"/>
    <n v="13"/>
    <n v="3.9692232535417683E-4"/>
    <x v="0"/>
  </r>
  <r>
    <x v="11"/>
    <s v="Adzouk_728x90_UAE_AR"/>
    <x v="1"/>
    <s v="Standard"/>
    <s v="Flash In-Page"/>
    <n v="32892"/>
    <n v="15"/>
    <n v="4.5603794235680409E-4"/>
    <x v="0"/>
  </r>
  <r>
    <x v="11"/>
    <s v="Adzouk_728x90_UAE_AR"/>
    <x v="1"/>
    <s v="Standard"/>
    <s v="Flash In-Page"/>
    <n v="15567"/>
    <n v="4"/>
    <n v="2.5695381255219375E-4"/>
    <x v="0"/>
  </r>
  <r>
    <x v="11"/>
    <s v="Adzouk_728x90_UAE_EN"/>
    <x v="1"/>
    <s v="Default"/>
    <s v="Gif"/>
    <n v="29"/>
    <n v="0"/>
    <n v="0"/>
    <x v="1"/>
  </r>
  <r>
    <x v="11"/>
    <s v="Adzouk_728x90_UAE_EN"/>
    <x v="1"/>
    <s v="Default"/>
    <s v="Gif"/>
    <n v="8"/>
    <n v="0"/>
    <n v="0"/>
    <x v="1"/>
  </r>
  <r>
    <x v="11"/>
    <s v="Adzouk_728x90_UAE_EN"/>
    <x v="1"/>
    <s v="Default"/>
    <s v="Gif"/>
    <n v="6"/>
    <n v="0"/>
    <n v="0"/>
    <x v="1"/>
  </r>
  <r>
    <x v="11"/>
    <s v="Adzouk_728x90_UAE_EN"/>
    <x v="1"/>
    <s v="Default"/>
    <s v="Gif"/>
    <n v="3"/>
    <n v="0"/>
    <n v="0"/>
    <x v="1"/>
  </r>
  <r>
    <x v="11"/>
    <s v="Adzouk_728x90_UAE_EN"/>
    <x v="1"/>
    <s v="Default"/>
    <s v="Gif"/>
    <n v="12"/>
    <n v="0"/>
    <n v="0"/>
    <x v="1"/>
  </r>
  <r>
    <x v="11"/>
    <s v="Adzouk_728x90_UAE_EN"/>
    <x v="1"/>
    <s v="Standard"/>
    <s v="Flash In-Page"/>
    <n v="6228"/>
    <n v="1"/>
    <n v="1.6056518946692356E-4"/>
    <x v="1"/>
  </r>
  <r>
    <x v="11"/>
    <s v="Adzouk_728x90_UAE_EN"/>
    <x v="1"/>
    <s v="Standard"/>
    <s v="Flash In-Page"/>
    <n v="18231"/>
    <n v="8"/>
    <n v="4.3881301080577037E-4"/>
    <x v="1"/>
  </r>
  <r>
    <x v="11"/>
    <s v="Adzouk_728x90_UAE_EN"/>
    <x v="1"/>
    <s v="Standard"/>
    <s v="Flash In-Page"/>
    <n v="30829"/>
    <n v="18"/>
    <n v="5.8386584060462555E-4"/>
    <x v="1"/>
  </r>
  <r>
    <x v="11"/>
    <s v="Adzouk_728x90_UAE_EN"/>
    <x v="1"/>
    <s v="Standard"/>
    <s v="Flash In-Page"/>
    <n v="18422"/>
    <n v="13"/>
    <n v="7.0567799370318098E-4"/>
    <x v="1"/>
  </r>
  <r>
    <x v="11"/>
    <s v="Adzouk_728x90_UAE_EN"/>
    <x v="1"/>
    <s v="Standard"/>
    <s v="Flash In-Page"/>
    <n v="14559"/>
    <n v="1"/>
    <n v="6.8686036128855007E-5"/>
    <x v="1"/>
  </r>
  <r>
    <x v="11"/>
    <s v="Adzouk_Autos_300x250_BHR_EN"/>
    <x v="0"/>
    <s v="Default"/>
    <s v="Gif"/>
    <n v="10"/>
    <n v="0"/>
    <n v="0"/>
    <x v="1"/>
  </r>
  <r>
    <x v="11"/>
    <s v="Adzouk_Autos_300x250_BHR_EN"/>
    <x v="0"/>
    <s v="Standard"/>
    <s v="Flash In-Page"/>
    <n v="4692"/>
    <n v="2"/>
    <n v="4.2625745950554135E-4"/>
    <x v="1"/>
  </r>
  <r>
    <x v="11"/>
    <s v="Adzouk_Autos_300x250_BHR_EN"/>
    <x v="0"/>
    <s v="Standard"/>
    <s v="Flash In-Page"/>
    <n v="7243"/>
    <n v="2"/>
    <n v="2.7612867596299873E-4"/>
    <x v="1"/>
  </r>
  <r>
    <x v="11"/>
    <s v="Adzouk_Autos_300x250_BHR_EN"/>
    <x v="0"/>
    <s v="Standard"/>
    <s v="Flash In-Page"/>
    <n v="10514"/>
    <n v="5"/>
    <n v="4.7555640098915732E-4"/>
    <x v="1"/>
  </r>
  <r>
    <x v="11"/>
    <s v="Adzouk_Autos_300x250_BHR_EN"/>
    <x v="0"/>
    <s v="Standard"/>
    <s v="Flash In-Page"/>
    <n v="12999"/>
    <n v="5"/>
    <n v="3.8464497269020693E-4"/>
    <x v="1"/>
  </r>
  <r>
    <x v="11"/>
    <s v="Adzouk_Autos_300x250_BHR_EN"/>
    <x v="0"/>
    <s v="Standard"/>
    <s v="Flash In-Page"/>
    <n v="10920"/>
    <n v="4"/>
    <n v="3.663003663003663E-4"/>
    <x v="1"/>
  </r>
  <r>
    <x v="11"/>
    <s v="Adzouk_Autos_300x250_KSA_AR"/>
    <x v="0"/>
    <s v="Default"/>
    <s v="Gif"/>
    <n v="1"/>
    <n v="0"/>
    <n v="0"/>
    <x v="0"/>
  </r>
  <r>
    <x v="11"/>
    <s v="Adzouk_Autos_300x250_KSA_AR"/>
    <x v="0"/>
    <s v="Default"/>
    <s v="Gif"/>
    <n v="1"/>
    <n v="0"/>
    <n v="0"/>
    <x v="0"/>
  </r>
  <r>
    <x v="11"/>
    <s v="Adzouk_Autos_300x250_KSA_AR"/>
    <x v="0"/>
    <s v="Default"/>
    <s v="Gif"/>
    <n v="2"/>
    <n v="0"/>
    <n v="0"/>
    <x v="0"/>
  </r>
  <r>
    <x v="11"/>
    <s v="Adzouk_Autos_300x250_KSA_AR"/>
    <x v="0"/>
    <s v="Default"/>
    <s v="Gif"/>
    <n v="2"/>
    <n v="0"/>
    <n v="0"/>
    <x v="0"/>
  </r>
  <r>
    <x v="11"/>
    <s v="Adzouk_Autos_300x250_KSA_AR"/>
    <x v="0"/>
    <s v="Default"/>
    <s v="Gif"/>
    <n v="2"/>
    <n v="0"/>
    <n v="0"/>
    <x v="0"/>
  </r>
  <r>
    <x v="11"/>
    <s v="Adzouk_Autos_300x250_KSA_AR"/>
    <x v="0"/>
    <s v="Standard"/>
    <s v="Flash In-Page"/>
    <n v="7159"/>
    <n v="35"/>
    <n v="4.8889509708059786E-3"/>
    <x v="0"/>
  </r>
  <r>
    <x v="11"/>
    <s v="Adzouk_Autos_300x250_KSA_AR"/>
    <x v="0"/>
    <s v="Standard"/>
    <s v="Flash In-Page"/>
    <n v="13297"/>
    <n v="49"/>
    <n v="3.6850417387380612E-3"/>
    <x v="0"/>
  </r>
  <r>
    <x v="11"/>
    <s v="Adzouk_Autos_300x250_KSA_AR"/>
    <x v="0"/>
    <s v="Standard"/>
    <s v="Flash In-Page"/>
    <n v="13175"/>
    <n v="53"/>
    <n v="4.0227703984819733E-3"/>
    <x v="0"/>
  </r>
  <r>
    <x v="11"/>
    <s v="Adzouk_Autos_300x250_KSA_AR"/>
    <x v="0"/>
    <s v="Standard"/>
    <s v="Flash In-Page"/>
    <n v="9178"/>
    <n v="24"/>
    <n v="2.6149487905861844E-3"/>
    <x v="0"/>
  </r>
  <r>
    <x v="11"/>
    <s v="Adzouk_Autos_300x250_KSA_AR"/>
    <x v="0"/>
    <s v="Standard"/>
    <s v="Flash In-Page"/>
    <n v="8641"/>
    <n v="8"/>
    <n v="9.2581877097558157E-4"/>
    <x v="0"/>
  </r>
  <r>
    <x v="11"/>
    <s v="Adzouk_Autos_300x250_KSA_EN"/>
    <x v="0"/>
    <s v="Default"/>
    <s v="Gif"/>
    <n v="1"/>
    <n v="0"/>
    <n v="0"/>
    <x v="1"/>
  </r>
  <r>
    <x v="11"/>
    <s v="Adzouk_Autos_300x250_KSA_EN"/>
    <x v="0"/>
    <s v="Default"/>
    <s v="Gif"/>
    <n v="9"/>
    <n v="0"/>
    <n v="0"/>
    <x v="1"/>
  </r>
  <r>
    <x v="11"/>
    <s v="Adzouk_Autos_300x250_KSA_EN"/>
    <x v="0"/>
    <s v="Default"/>
    <s v="Gif"/>
    <n v="3"/>
    <n v="0"/>
    <n v="0"/>
    <x v="1"/>
  </r>
  <r>
    <x v="11"/>
    <s v="Adzouk_Autos_300x250_KSA_EN"/>
    <x v="0"/>
    <s v="Default"/>
    <s v="Gif"/>
    <n v="1"/>
    <n v="0"/>
    <n v="0"/>
    <x v="1"/>
  </r>
  <r>
    <x v="11"/>
    <s v="Adzouk_Autos_300x250_KSA_EN"/>
    <x v="0"/>
    <s v="Default"/>
    <s v="Gif"/>
    <n v="21"/>
    <n v="0"/>
    <n v="0"/>
    <x v="1"/>
  </r>
  <r>
    <x v="11"/>
    <s v="Adzouk_Autos_300x250_KSA_EN"/>
    <x v="0"/>
    <s v="Standard"/>
    <s v="Flash In-Page"/>
    <n v="11667"/>
    <n v="9"/>
    <n v="7.7140653124196457E-4"/>
    <x v="1"/>
  </r>
  <r>
    <x v="11"/>
    <s v="Adzouk_Autos_300x250_KSA_EN"/>
    <x v="0"/>
    <s v="Standard"/>
    <s v="Flash In-Page"/>
    <n v="24569"/>
    <n v="28"/>
    <n v="1.1396475233017218E-3"/>
    <x v="1"/>
  </r>
  <r>
    <x v="11"/>
    <s v="Adzouk_Autos_300x250_KSA_EN"/>
    <x v="0"/>
    <s v="Standard"/>
    <s v="Flash In-Page"/>
    <n v="24607"/>
    <n v="23"/>
    <n v="9.3469337993253953E-4"/>
    <x v="1"/>
  </r>
  <r>
    <x v="11"/>
    <s v="Adzouk_Autos_300x250_KSA_EN"/>
    <x v="0"/>
    <s v="Standard"/>
    <s v="Flash In-Page"/>
    <n v="28693"/>
    <n v="21"/>
    <n v="7.318858258111735E-4"/>
    <x v="1"/>
  </r>
  <r>
    <x v="11"/>
    <s v="Adzouk_Autos_300x250_KSA_EN"/>
    <x v="0"/>
    <s v="Standard"/>
    <s v="Flash In-Page"/>
    <n v="23879"/>
    <n v="25"/>
    <n v="1.0469450144478412E-3"/>
    <x v="1"/>
  </r>
  <r>
    <x v="11"/>
    <s v="Adzouk_Autos_300x250_KWT_AR"/>
    <x v="0"/>
    <s v="Standard"/>
    <s v="Flash In-Page"/>
    <n v="182"/>
    <n v="0"/>
    <n v="0"/>
    <x v="0"/>
  </r>
  <r>
    <x v="11"/>
    <s v="Adzouk_Autos_300x250_KWT_AR"/>
    <x v="0"/>
    <s v="Standard"/>
    <s v="Flash In-Page"/>
    <n v="371"/>
    <n v="0"/>
    <n v="0"/>
    <x v="0"/>
  </r>
  <r>
    <x v="11"/>
    <s v="Adzouk_Autos_300x250_KWT_AR"/>
    <x v="0"/>
    <s v="Standard"/>
    <s v="Flash In-Page"/>
    <n v="422"/>
    <n v="1"/>
    <n v="2.3696682464454978E-3"/>
    <x v="0"/>
  </r>
  <r>
    <x v="11"/>
    <s v="Adzouk_Autos_300x250_KWT_AR"/>
    <x v="0"/>
    <s v="Standard"/>
    <s v="Flash In-Page"/>
    <n v="338"/>
    <n v="1"/>
    <n v="2.9585798816568047E-3"/>
    <x v="0"/>
  </r>
  <r>
    <x v="11"/>
    <s v="Adzouk_Autos_300x250_KWT_AR"/>
    <x v="0"/>
    <s v="Standard"/>
    <s v="Flash In-Page"/>
    <n v="639"/>
    <n v="1"/>
    <n v="1.5649452269170579E-3"/>
    <x v="0"/>
  </r>
  <r>
    <x v="11"/>
    <s v="Adzouk_Autos_300x250_KWT_EN"/>
    <x v="0"/>
    <s v="Default"/>
    <s v="Gif"/>
    <n v="2"/>
    <n v="0"/>
    <n v="0"/>
    <x v="1"/>
  </r>
  <r>
    <x v="11"/>
    <s v="Adzouk_Autos_300x250_KWT_EN"/>
    <x v="0"/>
    <s v="Standard"/>
    <s v="Flash In-Page"/>
    <n v="7602"/>
    <n v="5"/>
    <n v="6.5772165219679028E-4"/>
    <x v="1"/>
  </r>
  <r>
    <x v="11"/>
    <s v="Adzouk_Autos_300x250_KWT_EN"/>
    <x v="0"/>
    <s v="Standard"/>
    <s v="Flash In-Page"/>
    <n v="11459"/>
    <n v="8"/>
    <n v="6.981411990575094E-4"/>
    <x v="1"/>
  </r>
  <r>
    <x v="11"/>
    <s v="Adzouk_Autos_300x250_KWT_EN"/>
    <x v="0"/>
    <s v="Standard"/>
    <s v="Flash In-Page"/>
    <n v="17295"/>
    <n v="6"/>
    <n v="3.4692107545533391E-4"/>
    <x v="1"/>
  </r>
  <r>
    <x v="11"/>
    <s v="Adzouk_Autos_300x250_KWT_EN"/>
    <x v="0"/>
    <s v="Standard"/>
    <s v="Flash In-Page"/>
    <n v="17534"/>
    <n v="12"/>
    <n v="6.8438462415877719E-4"/>
    <x v="1"/>
  </r>
  <r>
    <x v="11"/>
    <s v="Adzouk_Autos_300x250_KWT_EN"/>
    <x v="0"/>
    <s v="Standard"/>
    <s v="Flash In-Page"/>
    <n v="14472"/>
    <n v="8"/>
    <n v="5.5279159756771695E-4"/>
    <x v="1"/>
  </r>
  <r>
    <x v="11"/>
    <s v="Adzouk_Autos_300x250_OMN_EN"/>
    <x v="0"/>
    <s v="Default"/>
    <s v="Gif"/>
    <n v="4"/>
    <n v="0"/>
    <n v="0"/>
    <x v="1"/>
  </r>
  <r>
    <x v="11"/>
    <s v="Adzouk_Autos_300x250_OMN_EN"/>
    <x v="0"/>
    <s v="Default"/>
    <s v="Gif"/>
    <n v="8"/>
    <n v="0"/>
    <n v="0"/>
    <x v="1"/>
  </r>
  <r>
    <x v="11"/>
    <s v="Adzouk_Autos_300x250_OMN_EN"/>
    <x v="0"/>
    <s v="Default"/>
    <s v="Gif"/>
    <n v="3"/>
    <n v="0"/>
    <n v="0"/>
    <x v="1"/>
  </r>
  <r>
    <x v="11"/>
    <s v="Adzouk_Autos_300x250_OMN_EN"/>
    <x v="0"/>
    <s v="Standard"/>
    <s v="Flash In-Page"/>
    <n v="3863"/>
    <n v="2"/>
    <n v="5.1773233238415744E-4"/>
    <x v="1"/>
  </r>
  <r>
    <x v="11"/>
    <s v="Adzouk_Autos_300x250_OMN_EN"/>
    <x v="0"/>
    <s v="Standard"/>
    <s v="Flash In-Page"/>
    <n v="8510"/>
    <n v="3"/>
    <n v="3.5252643948296123E-4"/>
    <x v="1"/>
  </r>
  <r>
    <x v="11"/>
    <s v="Adzouk_Autos_300x250_OMN_EN"/>
    <x v="0"/>
    <s v="Standard"/>
    <s v="Flash In-Page"/>
    <n v="12408"/>
    <n v="4"/>
    <n v="3.2237266279819472E-4"/>
    <x v="1"/>
  </r>
  <r>
    <x v="11"/>
    <s v="Adzouk_Autos_300x250_OMN_EN"/>
    <x v="0"/>
    <s v="Standard"/>
    <s v="Flash In-Page"/>
    <n v="15910"/>
    <n v="9"/>
    <n v="5.6568196103079819E-4"/>
    <x v="1"/>
  </r>
  <r>
    <x v="11"/>
    <s v="Adzouk_Autos_300x250_OMN_EN"/>
    <x v="0"/>
    <s v="Standard"/>
    <s v="Flash In-Page"/>
    <n v="14770"/>
    <n v="8"/>
    <n v="5.4163845633039946E-4"/>
    <x v="1"/>
  </r>
  <r>
    <x v="11"/>
    <s v="Adzouk_Autos_300x250_QAT_EN"/>
    <x v="0"/>
    <s v="Default"/>
    <s v="Gif"/>
    <n v="6"/>
    <n v="0"/>
    <n v="0"/>
    <x v="1"/>
  </r>
  <r>
    <x v="11"/>
    <s v="Adzouk_Autos_300x250_QAT_EN"/>
    <x v="0"/>
    <s v="Default"/>
    <s v="Gif"/>
    <n v="23"/>
    <n v="0"/>
    <n v="0"/>
    <x v="1"/>
  </r>
  <r>
    <x v="11"/>
    <s v="Adzouk_Autos_300x250_QAT_EN"/>
    <x v="0"/>
    <s v="Default"/>
    <s v="Gif"/>
    <n v="32"/>
    <n v="0"/>
    <n v="0"/>
    <x v="1"/>
  </r>
  <r>
    <x v="11"/>
    <s v="Adzouk_Autos_300x250_QAT_EN"/>
    <x v="0"/>
    <s v="Default"/>
    <s v="Gif"/>
    <n v="22"/>
    <n v="0"/>
    <n v="0"/>
    <x v="1"/>
  </r>
  <r>
    <x v="11"/>
    <s v="Adzouk_Autos_300x250_QAT_EN"/>
    <x v="0"/>
    <s v="Standard"/>
    <s v="Flash In-Page"/>
    <n v="6220"/>
    <n v="1"/>
    <n v="1.6077170418006431E-4"/>
    <x v="1"/>
  </r>
  <r>
    <x v="11"/>
    <s v="Adzouk_Autos_300x250_QAT_EN"/>
    <x v="0"/>
    <s v="Standard"/>
    <s v="Flash In-Page"/>
    <n v="13346"/>
    <n v="5"/>
    <n v="3.7464408811628953E-4"/>
    <x v="1"/>
  </r>
  <r>
    <x v="11"/>
    <s v="Adzouk_Autos_300x250_QAT_EN"/>
    <x v="0"/>
    <s v="Standard"/>
    <s v="Flash In-Page"/>
    <n v="17707"/>
    <n v="5"/>
    <n v="2.8237420229287852E-4"/>
    <x v="1"/>
  </r>
  <r>
    <x v="11"/>
    <s v="Adzouk_Autos_300x250_QAT_EN"/>
    <x v="0"/>
    <s v="Standard"/>
    <s v="Flash In-Page"/>
    <n v="17956"/>
    <n v="8"/>
    <n v="4.4553352639786146E-4"/>
    <x v="1"/>
  </r>
  <r>
    <x v="11"/>
    <s v="Adzouk_Autos_300x250_QAT_EN"/>
    <x v="0"/>
    <s v="Standard"/>
    <s v="Flash In-Page"/>
    <n v="15430"/>
    <n v="7"/>
    <n v="4.5366169799092678E-4"/>
    <x v="1"/>
  </r>
  <r>
    <x v="11"/>
    <s v="Adzouk_Autos_300x250_UAE_AR"/>
    <x v="0"/>
    <s v="Default"/>
    <s v="Gif"/>
    <n v="1"/>
    <n v="0"/>
    <n v="0"/>
    <x v="0"/>
  </r>
  <r>
    <x v="11"/>
    <s v="Adzouk_Autos_300x250_UAE_AR"/>
    <x v="0"/>
    <s v="Default"/>
    <s v="Gif"/>
    <n v="1"/>
    <n v="0"/>
    <n v="0"/>
    <x v="0"/>
  </r>
  <r>
    <x v="11"/>
    <s v="Adzouk_Autos_300x250_UAE_AR"/>
    <x v="0"/>
    <s v="Default"/>
    <s v="Gif"/>
    <n v="2"/>
    <n v="0"/>
    <n v="0"/>
    <x v="0"/>
  </r>
  <r>
    <x v="11"/>
    <s v="Adzouk_Autos_300x250_UAE_AR"/>
    <x v="0"/>
    <s v="Standard"/>
    <s v="Flash In-Page"/>
    <n v="254"/>
    <n v="4"/>
    <n v="1.5748031496062992E-2"/>
    <x v="0"/>
  </r>
  <r>
    <x v="11"/>
    <s v="Adzouk_Autos_300x250_UAE_AR"/>
    <x v="0"/>
    <s v="Standard"/>
    <s v="Flash In-Page"/>
    <n v="447"/>
    <n v="1"/>
    <n v="2.2371364653243847E-3"/>
    <x v="0"/>
  </r>
  <r>
    <x v="11"/>
    <s v="Adzouk_Autos_300x250_UAE_AR"/>
    <x v="0"/>
    <s v="Standard"/>
    <s v="Flash In-Page"/>
    <n v="262"/>
    <n v="1"/>
    <n v="3.8167938931297708E-3"/>
    <x v="0"/>
  </r>
  <r>
    <x v="11"/>
    <s v="Adzouk_Autos_300x250_UAE_AR"/>
    <x v="0"/>
    <s v="Standard"/>
    <s v="Flash In-Page"/>
    <n v="472"/>
    <n v="1"/>
    <n v="2.1186440677966102E-3"/>
    <x v="0"/>
  </r>
  <r>
    <x v="11"/>
    <s v="Adzouk_Autos_300x250_UAE_AR"/>
    <x v="0"/>
    <s v="Standard"/>
    <s v="Flash In-Page"/>
    <n v="1331"/>
    <n v="7"/>
    <n v="5.2592036063110444E-3"/>
    <x v="0"/>
  </r>
  <r>
    <x v="11"/>
    <s v="Adzouk_Autos_300x250_UAE_EN"/>
    <x v="0"/>
    <s v="Default"/>
    <s v="Gif"/>
    <n v="4"/>
    <n v="0"/>
    <n v="0"/>
    <x v="1"/>
  </r>
  <r>
    <x v="11"/>
    <s v="Adzouk_Autos_300x250_UAE_EN"/>
    <x v="0"/>
    <s v="Default"/>
    <s v="Gif"/>
    <n v="2"/>
    <n v="0"/>
    <n v="0"/>
    <x v="1"/>
  </r>
  <r>
    <x v="11"/>
    <s v="Adzouk_Autos_300x250_UAE_EN"/>
    <x v="0"/>
    <s v="Standard"/>
    <s v="Flash In-Page"/>
    <n v="9463"/>
    <n v="8"/>
    <n v="8.4539786537038994E-4"/>
    <x v="1"/>
  </r>
  <r>
    <x v="11"/>
    <s v="Adzouk_Autos_300x250_UAE_EN"/>
    <x v="0"/>
    <s v="Standard"/>
    <s v="Flash In-Page"/>
    <n v="16804"/>
    <n v="17"/>
    <n v="1.0116638895501071E-3"/>
    <x v="1"/>
  </r>
  <r>
    <x v="11"/>
    <s v="Adzouk_Autos_300x250_UAE_EN"/>
    <x v="0"/>
    <s v="Standard"/>
    <s v="Flash In-Page"/>
    <n v="16620"/>
    <n v="10"/>
    <n v="6.0168471720818293E-4"/>
    <x v="1"/>
  </r>
  <r>
    <x v="11"/>
    <s v="Adzouk_Autos_300x250_UAE_EN"/>
    <x v="0"/>
    <s v="Standard"/>
    <s v="Flash In-Page"/>
    <n v="16488"/>
    <n v="6"/>
    <n v="3.63901018922853E-4"/>
    <x v="1"/>
  </r>
  <r>
    <x v="11"/>
    <s v="Adzouk_Autos_300x250_UAE_EN"/>
    <x v="0"/>
    <s v="Standard"/>
    <s v="Flash In-Page"/>
    <n v="14712"/>
    <n v="10"/>
    <n v="6.7971723762914632E-4"/>
    <x v="1"/>
  </r>
  <r>
    <x v="11"/>
    <s v="Adzouk_Autos_728x90_BHR_AR"/>
    <x v="1"/>
    <s v="Default"/>
    <s v="Gif"/>
    <n v="7"/>
    <n v="0"/>
    <n v="0"/>
    <x v="0"/>
  </r>
  <r>
    <x v="11"/>
    <s v="Adzouk_Autos_728x90_BHR_AR"/>
    <x v="1"/>
    <s v="Standard"/>
    <s v="Flash In-Page"/>
    <n v="71"/>
    <n v="0"/>
    <n v="0"/>
    <x v="0"/>
  </r>
  <r>
    <x v="11"/>
    <s v="Adzouk_Autos_728x90_BHR_AR"/>
    <x v="1"/>
    <s v="Standard"/>
    <s v="Flash In-Page"/>
    <n v="626"/>
    <n v="1"/>
    <n v="1.5974440894568689E-3"/>
    <x v="0"/>
  </r>
  <r>
    <x v="11"/>
    <s v="Adzouk_Autos_728x90_BHR_AR"/>
    <x v="1"/>
    <s v="Standard"/>
    <s v="Flash In-Page"/>
    <n v="345"/>
    <n v="0"/>
    <n v="0"/>
    <x v="0"/>
  </r>
  <r>
    <x v="11"/>
    <s v="Adzouk_Autos_728x90_BHR_AR"/>
    <x v="1"/>
    <s v="Standard"/>
    <s v="Flash In-Page"/>
    <n v="640"/>
    <n v="0"/>
    <n v="0"/>
    <x v="0"/>
  </r>
  <r>
    <x v="11"/>
    <s v="Adzouk_Autos_728x90_BHR_AR"/>
    <x v="1"/>
    <s v="Standard"/>
    <s v="Flash In-Page"/>
    <n v="1429"/>
    <n v="4"/>
    <n v="2.7991602519244225E-3"/>
    <x v="0"/>
  </r>
  <r>
    <x v="11"/>
    <s v="Adzouk_Autos_728x90_BHR_EN"/>
    <x v="1"/>
    <s v="Standard"/>
    <s v="Flash In-Page"/>
    <n v="14441"/>
    <n v="14"/>
    <n v="9.6946194861851677E-4"/>
    <x v="1"/>
  </r>
  <r>
    <x v="11"/>
    <s v="Adzouk_Autos_728x90_BHR_EN"/>
    <x v="1"/>
    <s v="Standard"/>
    <s v="Flash In-Page"/>
    <n v="18808"/>
    <n v="9"/>
    <n v="4.7851977881752447E-4"/>
    <x v="1"/>
  </r>
  <r>
    <x v="11"/>
    <s v="Adzouk_Autos_728x90_BHR_EN"/>
    <x v="1"/>
    <s v="Standard"/>
    <s v="Flash In-Page"/>
    <n v="15466"/>
    <n v="8"/>
    <n v="5.1726367515841204E-4"/>
    <x v="1"/>
  </r>
  <r>
    <x v="11"/>
    <s v="Adzouk_Autos_728x90_KSA_AR"/>
    <x v="1"/>
    <s v="Default"/>
    <s v="Gif"/>
    <n v="20"/>
    <n v="0"/>
    <n v="0"/>
    <x v="0"/>
  </r>
  <r>
    <x v="11"/>
    <s v="Adzouk_Autos_728x90_KSA_AR"/>
    <x v="1"/>
    <s v="Default"/>
    <s v="Gif"/>
    <n v="14"/>
    <n v="0"/>
    <n v="0"/>
    <x v="0"/>
  </r>
  <r>
    <x v="11"/>
    <s v="Adzouk_Autos_728x90_KSA_AR"/>
    <x v="1"/>
    <s v="Default"/>
    <s v="Gif"/>
    <n v="7"/>
    <n v="0"/>
    <n v="0"/>
    <x v="0"/>
  </r>
  <r>
    <x v="11"/>
    <s v="Adzouk_Autos_728x90_KSA_AR"/>
    <x v="1"/>
    <s v="Standard"/>
    <s v="Flash In-Page"/>
    <n v="13701"/>
    <n v="17"/>
    <n v="1.2407853441354646E-3"/>
    <x v="0"/>
  </r>
  <r>
    <x v="11"/>
    <s v="Adzouk_Autos_728x90_KSA_AR"/>
    <x v="1"/>
    <s v="Standard"/>
    <s v="Flash In-Page"/>
    <n v="28244"/>
    <n v="12"/>
    <n v="4.2486899872539298E-4"/>
    <x v="0"/>
  </r>
  <r>
    <x v="11"/>
    <s v="Adzouk_Autos_728x90_KSA_AR"/>
    <x v="1"/>
    <s v="Standard"/>
    <s v="Flash In-Page"/>
    <n v="31008"/>
    <n v="33"/>
    <n v="1.0642414860681114E-3"/>
    <x v="0"/>
  </r>
  <r>
    <x v="11"/>
    <s v="Adzouk_Autos_728x90_KSA_EN"/>
    <x v="1"/>
    <s v="Default"/>
    <s v="Gif"/>
    <n v="3"/>
    <n v="0"/>
    <n v="0"/>
    <x v="1"/>
  </r>
  <r>
    <x v="11"/>
    <s v="Adzouk_Autos_728x90_KSA_EN"/>
    <x v="1"/>
    <s v="Standard"/>
    <s v="Flash In-Page"/>
    <n v="9011"/>
    <n v="9"/>
    <n v="9.9877926978137821E-4"/>
    <x v="1"/>
  </r>
  <r>
    <x v="11"/>
    <s v="Adzouk_Autos_728x90_KSA_EN"/>
    <x v="1"/>
    <s v="Standard"/>
    <s v="Flash In-Page"/>
    <n v="17429"/>
    <n v="11"/>
    <n v="6.311320213437375E-4"/>
    <x v="1"/>
  </r>
  <r>
    <x v="11"/>
    <s v="Adzouk_Autos_728x90_KSA_EN"/>
    <x v="1"/>
    <s v="Standard"/>
    <s v="Flash In-Page"/>
    <n v="18944"/>
    <n v="7"/>
    <n v="3.6951013513513516E-4"/>
    <x v="1"/>
  </r>
  <r>
    <x v="11"/>
    <s v="Adzouk_Autos_728x90_KSA_EN"/>
    <x v="1"/>
    <s v="Standard"/>
    <s v="Flash In-Page"/>
    <n v="17997"/>
    <n v="15"/>
    <n v="8.33472245374229E-4"/>
    <x v="1"/>
  </r>
  <r>
    <x v="11"/>
    <s v="Adzouk_Autos_728x90_KSA_EN"/>
    <x v="1"/>
    <s v="Standard"/>
    <s v="Flash In-Page"/>
    <n v="14346"/>
    <n v="3"/>
    <n v="2.0911752404851526E-4"/>
    <x v="1"/>
  </r>
  <r>
    <x v="11"/>
    <s v="Adzouk_Autos_728x90_KWT_AR"/>
    <x v="1"/>
    <s v="Default"/>
    <s v="Gif"/>
    <n v="4"/>
    <n v="0"/>
    <n v="0"/>
    <x v="0"/>
  </r>
  <r>
    <x v="11"/>
    <s v="Adzouk_Autos_728x90_KWT_AR"/>
    <x v="1"/>
    <s v="Default"/>
    <s v="Gif"/>
    <n v="1"/>
    <n v="0"/>
    <n v="0"/>
    <x v="0"/>
  </r>
  <r>
    <x v="11"/>
    <s v="Adzouk_Autos_728x90_KWT_AR"/>
    <x v="1"/>
    <s v="Standard"/>
    <s v="Flash In-Page"/>
    <n v="133"/>
    <n v="0"/>
    <n v="0"/>
    <x v="0"/>
  </r>
  <r>
    <x v="11"/>
    <s v="Adzouk_Autos_728x90_KWT_AR"/>
    <x v="1"/>
    <s v="Standard"/>
    <s v="Flash In-Page"/>
    <n v="1849"/>
    <n v="0"/>
    <n v="0"/>
    <x v="0"/>
  </r>
  <r>
    <x v="11"/>
    <s v="Adzouk_Autos_728x90_KWT_AR"/>
    <x v="1"/>
    <s v="Standard"/>
    <s v="Flash In-Page"/>
    <n v="997"/>
    <n v="1"/>
    <n v="1.0030090270812437E-3"/>
    <x v="0"/>
  </r>
  <r>
    <x v="11"/>
    <s v="Adzouk_Autos_728x90_KWT_AR"/>
    <x v="1"/>
    <s v="Standard"/>
    <s v="Flash In-Page"/>
    <n v="2457"/>
    <n v="1"/>
    <n v="4.0700040700040698E-4"/>
    <x v="0"/>
  </r>
  <r>
    <x v="11"/>
    <s v="Adzouk_Autos_728x90_KWT_AR"/>
    <x v="1"/>
    <s v="Standard"/>
    <s v="Flash In-Page"/>
    <n v="3198"/>
    <n v="3"/>
    <n v="9.3808630393996248E-4"/>
    <x v="0"/>
  </r>
  <r>
    <x v="11"/>
    <s v="Adzouk_Autos_728x90_OMN_AR"/>
    <x v="1"/>
    <s v="Default"/>
    <s v="Gif"/>
    <n v="1"/>
    <n v="0"/>
    <n v="0"/>
    <x v="0"/>
  </r>
  <r>
    <x v="11"/>
    <s v="Adzouk_Autos_728x90_OMN_AR"/>
    <x v="1"/>
    <s v="Default"/>
    <s v="Gif"/>
    <n v="7"/>
    <n v="0"/>
    <n v="0"/>
    <x v="0"/>
  </r>
  <r>
    <x v="11"/>
    <s v="Adzouk_Autos_728x90_OMN_AR"/>
    <x v="1"/>
    <s v="Default"/>
    <s v="Gif"/>
    <n v="2"/>
    <n v="0"/>
    <n v="0"/>
    <x v="0"/>
  </r>
  <r>
    <x v="11"/>
    <s v="Adzouk_Autos_728x90_OMN_AR"/>
    <x v="1"/>
    <s v="Default"/>
    <s v="Gif"/>
    <n v="1"/>
    <n v="0"/>
    <n v="0"/>
    <x v="0"/>
  </r>
  <r>
    <x v="11"/>
    <s v="Adzouk_Autos_728x90_OMN_AR"/>
    <x v="1"/>
    <s v="Standard"/>
    <s v="Flash In-Page"/>
    <n v="178"/>
    <n v="0"/>
    <n v="0"/>
    <x v="0"/>
  </r>
  <r>
    <x v="11"/>
    <s v="Adzouk_Autos_728x90_OMN_AR"/>
    <x v="1"/>
    <s v="Standard"/>
    <s v="Flash In-Page"/>
    <n v="1112"/>
    <n v="0"/>
    <n v="0"/>
    <x v="0"/>
  </r>
  <r>
    <x v="11"/>
    <s v="Adzouk_Autos_728x90_OMN_AR"/>
    <x v="1"/>
    <s v="Standard"/>
    <s v="Flash In-Page"/>
    <n v="1157"/>
    <n v="0"/>
    <n v="0"/>
    <x v="0"/>
  </r>
  <r>
    <x v="11"/>
    <s v="Adzouk_Autos_728x90_OMN_AR"/>
    <x v="1"/>
    <s v="Standard"/>
    <s v="Flash In-Page"/>
    <n v="1603"/>
    <n v="3"/>
    <n v="1.8714909544603868E-3"/>
    <x v="0"/>
  </r>
  <r>
    <x v="11"/>
    <s v="Adzouk_Autos_728x90_OMN_AR"/>
    <x v="1"/>
    <s v="Standard"/>
    <s v="Flash In-Page"/>
    <n v="3869"/>
    <n v="1"/>
    <n v="2.5846471956577927E-4"/>
    <x v="0"/>
  </r>
  <r>
    <x v="11"/>
    <s v="Adzouk_Autos_728x90_OMN_EN"/>
    <x v="1"/>
    <s v="Default"/>
    <s v="Gif"/>
    <n v="2"/>
    <n v="0"/>
    <n v="0"/>
    <x v="1"/>
  </r>
  <r>
    <x v="11"/>
    <s v="Adzouk_Autos_728x90_OMN_EN"/>
    <x v="1"/>
    <s v="Default"/>
    <s v="Gif"/>
    <n v="2"/>
    <n v="0"/>
    <n v="0"/>
    <x v="1"/>
  </r>
  <r>
    <x v="11"/>
    <s v="Adzouk_Autos_728x90_OMN_EN"/>
    <x v="1"/>
    <s v="Default"/>
    <s v="Gif"/>
    <n v="1"/>
    <n v="0"/>
    <n v="0"/>
    <x v="1"/>
  </r>
  <r>
    <x v="11"/>
    <s v="Adzouk_Autos_728x90_OMN_EN"/>
    <x v="1"/>
    <s v="Default"/>
    <s v="Gif"/>
    <n v="3"/>
    <n v="0"/>
    <n v="0"/>
    <x v="1"/>
  </r>
  <r>
    <x v="11"/>
    <s v="Adzouk_Autos_728x90_OMN_EN"/>
    <x v="1"/>
    <s v="Standard"/>
    <s v="Flash In-Page"/>
    <n v="3391"/>
    <n v="2"/>
    <n v="5.8979652020053083E-4"/>
    <x v="1"/>
  </r>
  <r>
    <x v="11"/>
    <s v="Adzouk_Autos_728x90_OMN_EN"/>
    <x v="1"/>
    <s v="Standard"/>
    <s v="Flash In-Page"/>
    <n v="8770"/>
    <n v="9"/>
    <n v="1.0262257696693272E-3"/>
    <x v="1"/>
  </r>
  <r>
    <x v="11"/>
    <s v="Adzouk_Autos_728x90_OMN_EN"/>
    <x v="1"/>
    <s v="Standard"/>
    <s v="Flash In-Page"/>
    <n v="9366"/>
    <n v="11"/>
    <n v="1.1744608157164211E-3"/>
    <x v="1"/>
  </r>
  <r>
    <x v="11"/>
    <s v="Adzouk_Autos_728x90_OMN_EN"/>
    <x v="1"/>
    <s v="Standard"/>
    <s v="Flash In-Page"/>
    <n v="10122"/>
    <n v="5"/>
    <n v="4.9397352301916615E-4"/>
    <x v="1"/>
  </r>
  <r>
    <x v="11"/>
    <s v="Adzouk_Autos_728x90_OMN_EN"/>
    <x v="1"/>
    <s v="Standard"/>
    <s v="Flash In-Page"/>
    <n v="6095"/>
    <n v="3"/>
    <n v="4.9220672682526666E-4"/>
    <x v="1"/>
  </r>
  <r>
    <x v="11"/>
    <s v="Adzouk_Autos_728x90_QAT_AR"/>
    <x v="1"/>
    <s v="Standard"/>
    <s v="Flash In-Page"/>
    <n v="176"/>
    <n v="0"/>
    <n v="0"/>
    <x v="0"/>
  </r>
  <r>
    <x v="11"/>
    <s v="Adzouk_Autos_728x90_QAT_AR"/>
    <x v="1"/>
    <s v="Standard"/>
    <s v="Flash In-Page"/>
    <n v="2626"/>
    <n v="0"/>
    <n v="0"/>
    <x v="0"/>
  </r>
  <r>
    <x v="11"/>
    <s v="Adzouk_Autos_728x90_QAT_AR"/>
    <x v="1"/>
    <s v="Standard"/>
    <s v="Flash In-Page"/>
    <n v="1072"/>
    <n v="2"/>
    <n v="1.8656716417910447E-3"/>
    <x v="0"/>
  </r>
  <r>
    <x v="11"/>
    <s v="Adzouk_Autos_728x90_QAT_AR"/>
    <x v="1"/>
    <s v="Standard"/>
    <s v="Flash In-Page"/>
    <n v="2501"/>
    <n v="0"/>
    <n v="0"/>
    <x v="0"/>
  </r>
  <r>
    <x v="11"/>
    <s v="Adzouk_Autos_728x90_QAT_AR"/>
    <x v="1"/>
    <s v="Standard"/>
    <s v="Flash In-Page"/>
    <n v="4101"/>
    <n v="3"/>
    <n v="7.3152889539136799E-4"/>
    <x v="0"/>
  </r>
  <r>
    <x v="11"/>
    <s v="Adzouk_Autos_728x90_QAT_EN"/>
    <x v="1"/>
    <s v="Default"/>
    <s v="Gif"/>
    <n v="1"/>
    <n v="0"/>
    <n v="0"/>
    <x v="1"/>
  </r>
  <r>
    <x v="11"/>
    <s v="Adzouk_Autos_728x90_QAT_EN"/>
    <x v="1"/>
    <s v="Default"/>
    <s v="Gif"/>
    <n v="5"/>
    <n v="0"/>
    <n v="0"/>
    <x v="1"/>
  </r>
  <r>
    <x v="11"/>
    <s v="Adzouk_Autos_728x90_QAT_EN"/>
    <x v="1"/>
    <s v="Default"/>
    <s v="Gif"/>
    <n v="16"/>
    <n v="0"/>
    <n v="0"/>
    <x v="1"/>
  </r>
  <r>
    <x v="11"/>
    <s v="Adzouk_Autos_728x90_QAT_EN"/>
    <x v="1"/>
    <s v="Default"/>
    <s v="Gif"/>
    <n v="28"/>
    <n v="0"/>
    <n v="0"/>
    <x v="1"/>
  </r>
  <r>
    <x v="11"/>
    <s v="Adzouk_Autos_728x90_QAT_EN"/>
    <x v="1"/>
    <s v="Default"/>
    <s v="Gif"/>
    <n v="33"/>
    <n v="0"/>
    <n v="0"/>
    <x v="1"/>
  </r>
  <r>
    <x v="11"/>
    <s v="Adzouk_Autos_728x90_QAT_EN"/>
    <x v="1"/>
    <s v="Standard"/>
    <s v="Flash In-Page"/>
    <n v="8899"/>
    <n v="5"/>
    <n v="5.6186088324530845E-4"/>
    <x v="1"/>
  </r>
  <r>
    <x v="11"/>
    <s v="Adzouk_Autos_728x90_QAT_EN"/>
    <x v="1"/>
    <s v="Standard"/>
    <s v="Flash In-Page"/>
    <n v="16547"/>
    <n v="4"/>
    <n v="2.4173566205354445E-4"/>
    <x v="1"/>
  </r>
  <r>
    <x v="11"/>
    <s v="Adzouk_Autos_728x90_QAT_EN"/>
    <x v="1"/>
    <s v="Standard"/>
    <s v="Flash In-Page"/>
    <n v="18169"/>
    <n v="7"/>
    <n v="3.8527161648962521E-4"/>
    <x v="1"/>
  </r>
  <r>
    <x v="11"/>
    <s v="Adzouk_Autos_728x90_QAT_EN"/>
    <x v="1"/>
    <s v="Standard"/>
    <s v="Flash In-Page"/>
    <n v="17844"/>
    <n v="5"/>
    <n v="2.8020623178659493E-4"/>
    <x v="1"/>
  </r>
  <r>
    <x v="11"/>
    <s v="Adzouk_Autos_728x90_QAT_EN"/>
    <x v="1"/>
    <s v="Standard"/>
    <s v="Flash In-Page"/>
    <n v="13410"/>
    <n v="7"/>
    <n v="5.2199850857568978E-4"/>
    <x v="1"/>
  </r>
  <r>
    <x v="11"/>
    <s v="Adzouk_Autos_728x90_UAE_AR"/>
    <x v="1"/>
    <s v="Default"/>
    <s v="Gif"/>
    <n v="2"/>
    <n v="0"/>
    <n v="0"/>
    <x v="0"/>
  </r>
  <r>
    <x v="11"/>
    <s v="Adzouk_Autos_728x90_UAE_AR"/>
    <x v="1"/>
    <s v="Default"/>
    <s v="Gif"/>
    <n v="2"/>
    <n v="0"/>
    <n v="0"/>
    <x v="0"/>
  </r>
  <r>
    <x v="11"/>
    <s v="Adzouk_Autos_728x90_UAE_AR"/>
    <x v="1"/>
    <s v="Default"/>
    <s v="Gif"/>
    <n v="5"/>
    <n v="0"/>
    <n v="0"/>
    <x v="0"/>
  </r>
  <r>
    <x v="11"/>
    <s v="Adzouk_Autos_728x90_UAE_AR"/>
    <x v="1"/>
    <s v="Standard"/>
    <s v="Flash In-Page"/>
    <n v="1009"/>
    <n v="2"/>
    <n v="1.9821605550049554E-3"/>
    <x v="0"/>
  </r>
  <r>
    <x v="11"/>
    <s v="Adzouk_Autos_728x90_UAE_AR"/>
    <x v="1"/>
    <s v="Standard"/>
    <s v="Flash In-Page"/>
    <n v="11274"/>
    <n v="7"/>
    <n v="6.208976405889658E-4"/>
    <x v="0"/>
  </r>
  <r>
    <x v="11"/>
    <s v="Adzouk_Autos_728x90_UAE_AR"/>
    <x v="1"/>
    <s v="Standard"/>
    <s v="Flash In-Page"/>
    <n v="5663"/>
    <n v="9"/>
    <n v="1.5892636411795867E-3"/>
    <x v="0"/>
  </r>
  <r>
    <x v="11"/>
    <s v="Adzouk_Autos_728x90_UAE_AR"/>
    <x v="1"/>
    <s v="Standard"/>
    <s v="Flash In-Page"/>
    <n v="9831"/>
    <n v="4"/>
    <n v="4.0687620791374224E-4"/>
    <x v="0"/>
  </r>
  <r>
    <x v="11"/>
    <s v="Adzouk_Autos_728x90_UAE_AR"/>
    <x v="1"/>
    <s v="Standard"/>
    <s v="Flash In-Page"/>
    <n v="7944"/>
    <n v="11"/>
    <n v="1.3846928499496476E-3"/>
    <x v="0"/>
  </r>
  <r>
    <x v="11"/>
    <s v="Adzouk_Autos_728x90_UAE_EN"/>
    <x v="1"/>
    <s v="Default"/>
    <s v="Gif"/>
    <n v="5"/>
    <n v="0"/>
    <n v="0"/>
    <x v="1"/>
  </r>
  <r>
    <x v="11"/>
    <s v="Adzouk_Autos_728x90_UAE_EN"/>
    <x v="1"/>
    <s v="Default"/>
    <s v="Gif"/>
    <n v="5"/>
    <n v="0"/>
    <n v="0"/>
    <x v="1"/>
  </r>
  <r>
    <x v="11"/>
    <s v="Adzouk_Autos_728x90_UAE_EN"/>
    <x v="1"/>
    <s v="Default"/>
    <s v="Gif"/>
    <n v="3"/>
    <n v="0"/>
    <n v="0"/>
    <x v="1"/>
  </r>
  <r>
    <x v="11"/>
    <s v="Adzouk_Autos_728x90_UAE_EN"/>
    <x v="1"/>
    <s v="Default"/>
    <s v="Gif"/>
    <n v="2"/>
    <n v="0"/>
    <n v="0"/>
    <x v="1"/>
  </r>
  <r>
    <x v="11"/>
    <s v="Adzouk_Autos_728x90_UAE_EN"/>
    <x v="1"/>
    <s v="Default"/>
    <s v="Gif"/>
    <n v="1"/>
    <n v="0"/>
    <n v="0"/>
    <x v="1"/>
  </r>
  <r>
    <x v="11"/>
    <s v="Adzouk_Autos_728x90_UAE_EN"/>
    <x v="1"/>
    <s v="Standard"/>
    <s v="Flash In-Page"/>
    <n v="13887"/>
    <n v="4"/>
    <n v="2.8803917332757253E-4"/>
    <x v="1"/>
  </r>
  <r>
    <x v="11"/>
    <s v="Adzouk_Autos_728x90_UAE_EN"/>
    <x v="1"/>
    <s v="Standard"/>
    <s v="Flash In-Page"/>
    <n v="25788"/>
    <n v="21"/>
    <n v="8.1433224755700329E-4"/>
    <x v="1"/>
  </r>
  <r>
    <x v="11"/>
    <s v="Adzouk_Autos_728x90_UAE_EN"/>
    <x v="1"/>
    <s v="Standard"/>
    <s v="Flash In-Page"/>
    <n v="30154"/>
    <n v="14"/>
    <n v="4.6428334549313525E-4"/>
    <x v="1"/>
  </r>
  <r>
    <x v="11"/>
    <s v="Adzouk_Autos_728x90_UAE_EN"/>
    <x v="1"/>
    <s v="Standard"/>
    <s v="Flash In-Page"/>
    <n v="17281"/>
    <n v="6"/>
    <n v="3.4720212950639428E-4"/>
    <x v="1"/>
  </r>
  <r>
    <x v="11"/>
    <s v="Adzouk_Autos_728x90_UAE_EN"/>
    <x v="1"/>
    <s v="Standard"/>
    <s v="Flash In-Page"/>
    <n v="10169"/>
    <n v="4"/>
    <n v="3.9335234536335925E-4"/>
    <x v="1"/>
  </r>
  <r>
    <x v="12"/>
    <s v="Aleqtishdiah_ROS_300x250_KSA_AR"/>
    <x v="0"/>
    <s v="Default"/>
    <s v="Gif"/>
    <n v="39"/>
    <n v="0"/>
    <n v="0"/>
    <x v="0"/>
  </r>
  <r>
    <x v="12"/>
    <s v="Aleqtishdiah_ROS_300x250_KSA_AR"/>
    <x v="0"/>
    <s v="Default"/>
    <s v="Gif"/>
    <n v="83"/>
    <n v="0"/>
    <n v="0"/>
    <x v="0"/>
  </r>
  <r>
    <x v="12"/>
    <s v="Aleqtishdiah_ROS_300x250_KSA_AR"/>
    <x v="0"/>
    <s v="Default"/>
    <s v="Gif"/>
    <n v="56"/>
    <n v="0"/>
    <n v="0"/>
    <x v="0"/>
  </r>
  <r>
    <x v="12"/>
    <s v="Aleqtishdiah_ROS_300x250_KSA_AR"/>
    <x v="0"/>
    <s v="Default"/>
    <s v="Gif"/>
    <n v="49"/>
    <n v="0"/>
    <n v="0"/>
    <x v="0"/>
  </r>
  <r>
    <x v="12"/>
    <s v="Aleqtishdiah_ROS_300x250_KSA_AR"/>
    <x v="0"/>
    <s v="Default"/>
    <s v="Gif"/>
    <n v="59"/>
    <n v="0"/>
    <n v="0"/>
    <x v="0"/>
  </r>
  <r>
    <x v="12"/>
    <s v="Aleqtishdiah_ROS_300x250_KSA_AR"/>
    <x v="0"/>
    <s v="Standard"/>
    <s v="Flash In-Page"/>
    <n v="31711"/>
    <n v="57"/>
    <n v="1.7974835230677051E-3"/>
    <x v="0"/>
  </r>
  <r>
    <x v="12"/>
    <s v="Aleqtishdiah_ROS_300x250_KSA_AR"/>
    <x v="0"/>
    <s v="Standard"/>
    <s v="Flash In-Page"/>
    <n v="50437"/>
    <n v="111"/>
    <n v="2.2007653111802842E-3"/>
    <x v="0"/>
  </r>
  <r>
    <x v="12"/>
    <s v="Aleqtishdiah_ROS_300x250_KSA_AR"/>
    <x v="0"/>
    <s v="Standard"/>
    <s v="Flash In-Page"/>
    <n v="49426"/>
    <n v="98"/>
    <n v="1.9827621090114517E-3"/>
    <x v="0"/>
  </r>
  <r>
    <x v="12"/>
    <s v="Aleqtishdiah_ROS_300x250_KSA_AR"/>
    <x v="0"/>
    <s v="Standard"/>
    <s v="Flash In-Page"/>
    <n v="46135"/>
    <n v="75"/>
    <n v="1.6256638127235287E-3"/>
    <x v="0"/>
  </r>
  <r>
    <x v="12"/>
    <s v="Aleqtishdiah_ROS_300x250_KSA_AR"/>
    <x v="0"/>
    <s v="Standard"/>
    <s v="Flash In-Page"/>
    <n v="36562"/>
    <n v="77"/>
    <n v="2.1060117061429901E-3"/>
    <x v="0"/>
  </r>
  <r>
    <x v="12"/>
    <s v="Aleqtishdiah_ROS_728x270_KSA_AR"/>
    <x v="1"/>
    <s v="Default"/>
    <s v="Gif"/>
    <n v="29"/>
    <n v="0"/>
    <n v="0"/>
    <x v="0"/>
  </r>
  <r>
    <x v="12"/>
    <s v="Aleqtishdiah_ROS_728x270_KSA_AR"/>
    <x v="1"/>
    <s v="Default"/>
    <s v="Gif"/>
    <n v="57"/>
    <n v="0"/>
    <n v="0"/>
    <x v="0"/>
  </r>
  <r>
    <x v="12"/>
    <s v="Aleqtishdiah_ROS_728x270_KSA_AR"/>
    <x v="1"/>
    <s v="Default"/>
    <s v="Gif"/>
    <n v="61"/>
    <n v="0"/>
    <n v="0"/>
    <x v="0"/>
  </r>
  <r>
    <x v="12"/>
    <s v="Aleqtishdiah_ROS_728x270_KSA_AR"/>
    <x v="1"/>
    <s v="Default"/>
    <s v="Gif"/>
    <n v="53"/>
    <n v="0"/>
    <n v="0"/>
    <x v="0"/>
  </r>
  <r>
    <x v="12"/>
    <s v="Aleqtishdiah_ROS_728x270_KSA_AR"/>
    <x v="1"/>
    <s v="Default"/>
    <s v="Gif"/>
    <n v="45"/>
    <n v="0"/>
    <n v="0"/>
    <x v="0"/>
  </r>
  <r>
    <x v="12"/>
    <s v="Aleqtishdiah_ROS_728x270_KSA_AR"/>
    <x v="1"/>
    <s v="Standard"/>
    <s v="Rich Media Expandable"/>
    <n v="32861"/>
    <n v="14"/>
    <n v="4.2603694348924254E-4"/>
    <x v="0"/>
  </r>
  <r>
    <x v="12"/>
    <s v="Aleqtishdiah_ROS_728x270_KSA_AR"/>
    <x v="1"/>
    <s v="Standard"/>
    <s v="Rich Media Expandable"/>
    <n v="47757"/>
    <n v="30"/>
    <n v="6.2818016207048181E-4"/>
    <x v="0"/>
  </r>
  <r>
    <x v="12"/>
    <s v="Aleqtishdiah_ROS_728x270_KSA_AR"/>
    <x v="1"/>
    <s v="Standard"/>
    <s v="Rich Media Expandable"/>
    <n v="50438"/>
    <n v="32"/>
    <n v="6.344422855783338E-4"/>
    <x v="0"/>
  </r>
  <r>
    <x v="12"/>
    <s v="Aleqtishdiah_ROS_728x270_KSA_AR"/>
    <x v="1"/>
    <s v="Standard"/>
    <s v="Rich Media Expandable"/>
    <n v="45634"/>
    <n v="34"/>
    <n v="7.4505850900644251E-4"/>
    <x v="0"/>
  </r>
  <r>
    <x v="12"/>
    <s v="Aleqtishdiah_ROS_728x270_KSA_AR"/>
    <x v="1"/>
    <s v="Standard"/>
    <s v="Rich Media Expandable"/>
    <n v="36415"/>
    <n v="19"/>
    <n v="5.2176300974872988E-4"/>
    <x v="0"/>
  </r>
  <r>
    <x v="13"/>
    <s v="AMEinfo_HP_300x250_BHR_EN"/>
    <x v="0"/>
    <s v="Default"/>
    <s v="Gif"/>
    <n v="8"/>
    <n v="0"/>
    <n v="0"/>
    <x v="1"/>
  </r>
  <r>
    <x v="13"/>
    <s v="AMEinfo_HP_300x250_BHR_EN"/>
    <x v="0"/>
    <s v="Default"/>
    <s v="Gif"/>
    <n v="19"/>
    <n v="0"/>
    <n v="0"/>
    <x v="1"/>
  </r>
  <r>
    <x v="13"/>
    <s v="AMEinfo_HP_300x250_BHR_EN"/>
    <x v="0"/>
    <s v="Default"/>
    <s v="Gif"/>
    <n v="16"/>
    <n v="0"/>
    <n v="0"/>
    <x v="1"/>
  </r>
  <r>
    <x v="13"/>
    <s v="AMEinfo_HP_300x250_BHR_EN"/>
    <x v="0"/>
    <s v="Default"/>
    <s v="Gif"/>
    <n v="11"/>
    <n v="0"/>
    <n v="0"/>
    <x v="1"/>
  </r>
  <r>
    <x v="13"/>
    <s v="AMEinfo_HP_300x250_BHR_EN"/>
    <x v="0"/>
    <s v="Default"/>
    <s v="Gif"/>
    <n v="7"/>
    <n v="0"/>
    <n v="0"/>
    <x v="1"/>
  </r>
  <r>
    <x v="13"/>
    <s v="AMEinfo_HP_300x250_BHR_EN"/>
    <x v="0"/>
    <s v="Standard"/>
    <s v="Flash In-Page"/>
    <n v="127"/>
    <n v="1"/>
    <n v="7.874015748031496E-3"/>
    <x v="1"/>
  </r>
  <r>
    <x v="13"/>
    <s v="AMEinfo_HP_300x250_BHR_EN"/>
    <x v="0"/>
    <s v="Standard"/>
    <s v="Flash In-Page"/>
    <n v="223"/>
    <n v="0"/>
    <n v="0"/>
    <x v="1"/>
  </r>
  <r>
    <x v="13"/>
    <s v="AMEinfo_HP_300x250_BHR_EN"/>
    <x v="0"/>
    <s v="Standard"/>
    <s v="Flash In-Page"/>
    <n v="231"/>
    <n v="0"/>
    <n v="0"/>
    <x v="1"/>
  </r>
  <r>
    <x v="13"/>
    <s v="AMEinfo_HP_300x250_BHR_EN"/>
    <x v="0"/>
    <s v="Standard"/>
    <s v="Flash In-Page"/>
    <n v="217"/>
    <n v="1"/>
    <n v="4.608294930875576E-3"/>
    <x v="1"/>
  </r>
  <r>
    <x v="13"/>
    <s v="AMEinfo_HP_300x250_BHR_EN"/>
    <x v="0"/>
    <s v="Standard"/>
    <s v="Flash In-Page"/>
    <n v="194"/>
    <n v="1"/>
    <n v="5.1546391752577319E-3"/>
    <x v="1"/>
  </r>
  <r>
    <x v="13"/>
    <s v="AMEinfo_HP_300x250_KSA_AR"/>
    <x v="0"/>
    <s v="Default"/>
    <s v="Gif"/>
    <n v="152"/>
    <n v="0"/>
    <n v="0"/>
    <x v="0"/>
  </r>
  <r>
    <x v="13"/>
    <s v="AMEinfo_HP_300x250_KSA_AR"/>
    <x v="0"/>
    <s v="Default"/>
    <s v="Gif"/>
    <n v="1339"/>
    <n v="0"/>
    <n v="0"/>
    <x v="0"/>
  </r>
  <r>
    <x v="13"/>
    <s v="AMEinfo_HP_300x250_KSA_AR"/>
    <x v="0"/>
    <s v="Default"/>
    <s v="Gif"/>
    <n v="1870"/>
    <n v="0"/>
    <n v="0"/>
    <x v="0"/>
  </r>
  <r>
    <x v="13"/>
    <s v="AMEinfo_HP_300x250_KSA_AR"/>
    <x v="0"/>
    <s v="Default"/>
    <s v="Gif"/>
    <n v="1789"/>
    <n v="0"/>
    <n v="0"/>
    <x v="0"/>
  </r>
  <r>
    <x v="13"/>
    <s v="AMEinfo_HP_300x250_KSA_AR"/>
    <x v="0"/>
    <s v="Default"/>
    <s v="Gif"/>
    <n v="1551"/>
    <n v="0"/>
    <n v="0"/>
    <x v="0"/>
  </r>
  <r>
    <x v="13"/>
    <s v="AMEinfo_HP_300x250_KSA_AR"/>
    <x v="0"/>
    <s v="Standard"/>
    <s v="Flash In-Page"/>
    <n v="871"/>
    <n v="7"/>
    <n v="8.0367393800229621E-3"/>
    <x v="0"/>
  </r>
  <r>
    <x v="13"/>
    <s v="AMEinfo_HP_300x250_KSA_AR"/>
    <x v="0"/>
    <s v="Standard"/>
    <s v="Flash In-Page"/>
    <n v="7465"/>
    <n v="60"/>
    <n v="8.0375083724045539E-3"/>
    <x v="0"/>
  </r>
  <r>
    <x v="13"/>
    <s v="AMEinfo_HP_300x250_KSA_AR"/>
    <x v="0"/>
    <s v="Standard"/>
    <s v="Flash In-Page"/>
    <n v="22332"/>
    <n v="97"/>
    <n v="4.3435428980834676E-3"/>
    <x v="0"/>
  </r>
  <r>
    <x v="13"/>
    <s v="AMEinfo_HP_300x250_KSA_AR"/>
    <x v="0"/>
    <s v="Standard"/>
    <s v="Flash In-Page"/>
    <n v="16573"/>
    <n v="88"/>
    <n v="5.3098413081518131E-3"/>
    <x v="0"/>
  </r>
  <r>
    <x v="13"/>
    <s v="AMEinfo_HP_300x250_KSA_AR"/>
    <x v="0"/>
    <s v="Standard"/>
    <s v="Flash In-Page"/>
    <n v="14554"/>
    <n v="88"/>
    <n v="6.0464477119692179E-3"/>
    <x v="0"/>
  </r>
  <r>
    <x v="13"/>
    <s v="AMEinfo_HP_300x250_KSA_EN"/>
    <x v="0"/>
    <s v="Default"/>
    <s v="Gif"/>
    <n v="298"/>
    <n v="0"/>
    <n v="0"/>
    <x v="1"/>
  </r>
  <r>
    <x v="13"/>
    <s v="AMEinfo_HP_300x250_KSA_EN"/>
    <x v="0"/>
    <s v="Default"/>
    <s v="Gif"/>
    <n v="574"/>
    <n v="0"/>
    <n v="0"/>
    <x v="1"/>
  </r>
  <r>
    <x v="13"/>
    <s v="AMEinfo_HP_300x250_KSA_EN"/>
    <x v="0"/>
    <s v="Default"/>
    <s v="Gif"/>
    <n v="467"/>
    <n v="0"/>
    <n v="0"/>
    <x v="1"/>
  </r>
  <r>
    <x v="13"/>
    <s v="AMEinfo_HP_300x250_KSA_EN"/>
    <x v="0"/>
    <s v="Default"/>
    <s v="Gif"/>
    <n v="573"/>
    <n v="0"/>
    <n v="0"/>
    <x v="1"/>
  </r>
  <r>
    <x v="13"/>
    <s v="AMEinfo_HP_300x250_KSA_EN"/>
    <x v="0"/>
    <s v="Default"/>
    <s v="Gif"/>
    <n v="628"/>
    <n v="0"/>
    <n v="0"/>
    <x v="1"/>
  </r>
  <r>
    <x v="13"/>
    <s v="AMEinfo_HP_300x250_KSA_EN"/>
    <x v="0"/>
    <s v="Standard"/>
    <s v="Flash In-Page"/>
    <n v="6652"/>
    <n v="16"/>
    <n v="2.4052916416115455E-3"/>
    <x v="1"/>
  </r>
  <r>
    <x v="13"/>
    <s v="AMEinfo_HP_300x250_KSA_EN"/>
    <x v="0"/>
    <s v="Standard"/>
    <s v="Flash In-Page"/>
    <n v="11436"/>
    <n v="26"/>
    <n v="2.2735222105631338E-3"/>
    <x v="1"/>
  </r>
  <r>
    <x v="13"/>
    <s v="AMEinfo_HP_300x250_KSA_EN"/>
    <x v="0"/>
    <s v="Standard"/>
    <s v="Flash In-Page"/>
    <n v="10403"/>
    <n v="28"/>
    <n v="2.6915312890512352E-3"/>
    <x v="1"/>
  </r>
  <r>
    <x v="13"/>
    <s v="AMEinfo_HP_300x250_KSA_EN"/>
    <x v="0"/>
    <s v="Standard"/>
    <s v="Flash In-Page"/>
    <n v="8568"/>
    <n v="23"/>
    <n v="2.6844070961718021E-3"/>
    <x v="1"/>
  </r>
  <r>
    <x v="13"/>
    <s v="AMEinfo_HP_300x250_KSA_EN"/>
    <x v="0"/>
    <s v="Standard"/>
    <s v="Flash In-Page"/>
    <n v="10359"/>
    <n v="27"/>
    <n v="2.6064291920069507E-3"/>
    <x v="1"/>
  </r>
  <r>
    <x v="13"/>
    <s v="AMEinfo_HP_300x250_KWT_EN"/>
    <x v="0"/>
    <s v="Default"/>
    <s v="Gif"/>
    <n v="5"/>
    <n v="0"/>
    <n v="0"/>
    <x v="1"/>
  </r>
  <r>
    <x v="13"/>
    <s v="AMEinfo_HP_300x250_KWT_EN"/>
    <x v="0"/>
    <s v="Default"/>
    <s v="Gif"/>
    <n v="19"/>
    <n v="0"/>
    <n v="0"/>
    <x v="1"/>
  </r>
  <r>
    <x v="13"/>
    <s v="AMEinfo_HP_300x250_KWT_EN"/>
    <x v="0"/>
    <s v="Default"/>
    <s v="Gif"/>
    <n v="14"/>
    <n v="0"/>
    <n v="0"/>
    <x v="1"/>
  </r>
  <r>
    <x v="13"/>
    <s v="AMEinfo_HP_300x250_KWT_EN"/>
    <x v="0"/>
    <s v="Default"/>
    <s v="Gif"/>
    <n v="10"/>
    <n v="0"/>
    <n v="0"/>
    <x v="1"/>
  </r>
  <r>
    <x v="13"/>
    <s v="AMEinfo_HP_300x250_KWT_EN"/>
    <x v="0"/>
    <s v="Default"/>
    <s v="Gif"/>
    <n v="12"/>
    <n v="0"/>
    <n v="0"/>
    <x v="1"/>
  </r>
  <r>
    <x v="13"/>
    <s v="AMEinfo_HP_300x250_KWT_EN"/>
    <x v="0"/>
    <s v="Standard"/>
    <s v="Flash In-Page"/>
    <n v="131"/>
    <n v="0"/>
    <n v="0"/>
    <x v="1"/>
  </r>
  <r>
    <x v="13"/>
    <s v="AMEinfo_HP_300x250_KWT_EN"/>
    <x v="0"/>
    <s v="Standard"/>
    <s v="Flash In-Page"/>
    <n v="242"/>
    <n v="0"/>
    <n v="0"/>
    <x v="1"/>
  </r>
  <r>
    <x v="13"/>
    <s v="AMEinfo_HP_300x250_KWT_EN"/>
    <x v="0"/>
    <s v="Standard"/>
    <s v="Flash In-Page"/>
    <n v="195"/>
    <n v="0"/>
    <n v="0"/>
    <x v="1"/>
  </r>
  <r>
    <x v="13"/>
    <s v="AMEinfo_HP_300x250_KWT_EN"/>
    <x v="0"/>
    <s v="Standard"/>
    <s v="Flash In-Page"/>
    <n v="231"/>
    <n v="1"/>
    <n v="4.329004329004329E-3"/>
    <x v="1"/>
  </r>
  <r>
    <x v="13"/>
    <s v="AMEinfo_HP_300x250_KWT_EN"/>
    <x v="0"/>
    <s v="Standard"/>
    <s v="Flash In-Page"/>
    <n v="181"/>
    <n v="0"/>
    <n v="0"/>
    <x v="1"/>
  </r>
  <r>
    <x v="13"/>
    <s v="AMEinfo_HP_300x250_OMN_EN"/>
    <x v="0"/>
    <s v="Default"/>
    <s v="Gif"/>
    <n v="144"/>
    <n v="0"/>
    <n v="0"/>
    <x v="1"/>
  </r>
  <r>
    <x v="13"/>
    <s v="AMEinfo_HP_300x250_OMN_EN"/>
    <x v="0"/>
    <s v="Default"/>
    <s v="Gif"/>
    <n v="263"/>
    <n v="7"/>
    <n v="2.6615969581749048E-2"/>
    <x v="1"/>
  </r>
  <r>
    <x v="13"/>
    <s v="AMEinfo_HP_300x250_OMN_EN"/>
    <x v="0"/>
    <s v="Default"/>
    <s v="Gif"/>
    <n v="264"/>
    <n v="1"/>
    <n v="3.787878787878788E-3"/>
    <x v="1"/>
  </r>
  <r>
    <x v="13"/>
    <s v="AMEinfo_HP_300x250_OMN_EN"/>
    <x v="0"/>
    <s v="Default"/>
    <s v="Gif"/>
    <n v="242"/>
    <n v="0"/>
    <n v="0"/>
    <x v="1"/>
  </r>
  <r>
    <x v="13"/>
    <s v="AMEinfo_HP_300x250_OMN_EN"/>
    <x v="0"/>
    <s v="Default"/>
    <s v="Gif"/>
    <n v="189"/>
    <n v="1"/>
    <n v="5.2910052910052907E-3"/>
    <x v="1"/>
  </r>
  <r>
    <x v="13"/>
    <s v="AMEinfo_HP_300x250_QAT_EN"/>
    <x v="0"/>
    <s v="Default"/>
    <s v="Gif"/>
    <n v="12"/>
    <n v="0"/>
    <n v="0"/>
    <x v="1"/>
  </r>
  <r>
    <x v="13"/>
    <s v="AMEinfo_HP_300x250_QAT_EN"/>
    <x v="0"/>
    <s v="Default"/>
    <s v="Gif"/>
    <n v="16"/>
    <n v="0"/>
    <n v="0"/>
    <x v="1"/>
  </r>
  <r>
    <x v="13"/>
    <s v="AMEinfo_HP_300x250_QAT_EN"/>
    <x v="0"/>
    <s v="Default"/>
    <s v="Gif"/>
    <n v="17"/>
    <n v="0"/>
    <n v="0"/>
    <x v="1"/>
  </r>
  <r>
    <x v="13"/>
    <s v="AMEinfo_HP_300x250_QAT_EN"/>
    <x v="0"/>
    <s v="Default"/>
    <s v="Gif"/>
    <n v="12"/>
    <n v="0"/>
    <n v="0"/>
    <x v="1"/>
  </r>
  <r>
    <x v="13"/>
    <s v="AMEinfo_HP_300x250_QAT_EN"/>
    <x v="0"/>
    <s v="Default"/>
    <s v="Gif"/>
    <n v="17"/>
    <n v="0"/>
    <n v="0"/>
    <x v="1"/>
  </r>
  <r>
    <x v="13"/>
    <s v="AMEinfo_HP_300x250_QAT_EN"/>
    <x v="0"/>
    <s v="Standard"/>
    <s v="Flash In-Page"/>
    <n v="139"/>
    <n v="1"/>
    <n v="7.1942446043165471E-3"/>
    <x v="1"/>
  </r>
  <r>
    <x v="13"/>
    <s v="AMEinfo_HP_300x250_QAT_EN"/>
    <x v="0"/>
    <s v="Standard"/>
    <s v="Flash In-Page"/>
    <n v="206"/>
    <n v="1"/>
    <n v="4.8543689320388345E-3"/>
    <x v="1"/>
  </r>
  <r>
    <x v="13"/>
    <s v="AMEinfo_HP_300x250_QAT_EN"/>
    <x v="0"/>
    <s v="Standard"/>
    <s v="Flash In-Page"/>
    <n v="222"/>
    <n v="0"/>
    <n v="0"/>
    <x v="1"/>
  </r>
  <r>
    <x v="13"/>
    <s v="AMEinfo_HP_300x250_QAT_EN"/>
    <x v="0"/>
    <s v="Standard"/>
    <s v="Flash In-Page"/>
    <n v="205"/>
    <n v="1"/>
    <n v="4.8780487804878049E-3"/>
    <x v="1"/>
  </r>
  <r>
    <x v="13"/>
    <s v="AMEinfo_HP_300x250_QAT_EN"/>
    <x v="0"/>
    <s v="Standard"/>
    <s v="Flash In-Page"/>
    <n v="184"/>
    <n v="0"/>
    <n v="0"/>
    <x v="1"/>
  </r>
  <r>
    <x v="13"/>
    <s v="AMEinfo_HP_300x250_UAE_EN"/>
    <x v="0"/>
    <s v="Default"/>
    <s v="Gif"/>
    <n v="525"/>
    <n v="0"/>
    <n v="0"/>
    <x v="1"/>
  </r>
  <r>
    <x v="13"/>
    <s v="AMEinfo_HP_300x250_UAE_EN"/>
    <x v="0"/>
    <s v="Default"/>
    <s v="Gif"/>
    <n v="711"/>
    <n v="0"/>
    <n v="0"/>
    <x v="1"/>
  </r>
  <r>
    <x v="13"/>
    <s v="AMEinfo_HP_300x250_UAE_EN"/>
    <x v="0"/>
    <s v="Default"/>
    <s v="Gif"/>
    <n v="670"/>
    <n v="0"/>
    <n v="0"/>
    <x v="1"/>
  </r>
  <r>
    <x v="13"/>
    <s v="AMEinfo_HP_300x250_UAE_EN"/>
    <x v="0"/>
    <s v="Default"/>
    <s v="Gif"/>
    <n v="548"/>
    <n v="0"/>
    <n v="0"/>
    <x v="1"/>
  </r>
  <r>
    <x v="13"/>
    <s v="AMEinfo_HP_300x250_UAE_EN"/>
    <x v="0"/>
    <s v="Default"/>
    <s v="Gif"/>
    <n v="424"/>
    <n v="0"/>
    <n v="0"/>
    <x v="1"/>
  </r>
  <r>
    <x v="13"/>
    <s v="AMEinfo_HP_300x250_UAE_EN"/>
    <x v="0"/>
    <s v="Standard"/>
    <s v="Flash In-Page"/>
    <n v="9762"/>
    <n v="21"/>
    <n v="2.1511985248924403E-3"/>
    <x v="1"/>
  </r>
  <r>
    <x v="13"/>
    <s v="AMEinfo_HP_300x250_UAE_EN"/>
    <x v="0"/>
    <s v="Standard"/>
    <s v="Flash In-Page"/>
    <n v="16627"/>
    <n v="45"/>
    <n v="2.7064413303662716E-3"/>
    <x v="1"/>
  </r>
  <r>
    <x v="13"/>
    <s v="AMEinfo_HP_300x250_UAE_EN"/>
    <x v="0"/>
    <s v="Standard"/>
    <s v="Flash In-Page"/>
    <n v="16084"/>
    <n v="24"/>
    <n v="1.4921661278288984E-3"/>
    <x v="1"/>
  </r>
  <r>
    <x v="13"/>
    <s v="AMEinfo_HP_300x250_UAE_EN"/>
    <x v="0"/>
    <s v="Standard"/>
    <s v="Flash In-Page"/>
    <n v="14991"/>
    <n v="28"/>
    <n v="1.8677873390701087E-3"/>
    <x v="1"/>
  </r>
  <r>
    <x v="13"/>
    <s v="AMEinfo_HP_300x250_UAE_EN"/>
    <x v="0"/>
    <s v="Standard"/>
    <s v="Flash In-Page"/>
    <n v="11234"/>
    <n v="23"/>
    <n v="2.0473562399857576E-3"/>
    <x v="1"/>
  </r>
  <r>
    <x v="13"/>
    <s v="AMEinfo_HP_728x270_BHR_AR"/>
    <x v="1"/>
    <s v="Default"/>
    <s v="Gif"/>
    <n v="140"/>
    <n v="0"/>
    <n v="0"/>
    <x v="0"/>
  </r>
  <r>
    <x v="13"/>
    <s v="AMEinfo_HP_728x270_BHR_AR"/>
    <x v="1"/>
    <s v="Default"/>
    <s v="Gif"/>
    <n v="250"/>
    <n v="0"/>
    <n v="0"/>
    <x v="0"/>
  </r>
  <r>
    <x v="13"/>
    <s v="AMEinfo_HP_728x270_BHR_AR"/>
    <x v="1"/>
    <s v="Default"/>
    <s v="Gif"/>
    <n v="209"/>
    <n v="0"/>
    <n v="0"/>
    <x v="0"/>
  </r>
  <r>
    <x v="13"/>
    <s v="AMEinfo_HP_728x270_BHR_AR"/>
    <x v="1"/>
    <s v="Default"/>
    <s v="Gif"/>
    <n v="431"/>
    <n v="0"/>
    <n v="0"/>
    <x v="0"/>
  </r>
  <r>
    <x v="13"/>
    <s v="AMEinfo_HP_728x270_BHR_AR"/>
    <x v="1"/>
    <s v="Default"/>
    <s v="Gif"/>
    <n v="154"/>
    <n v="0"/>
    <n v="0"/>
    <x v="0"/>
  </r>
  <r>
    <x v="13"/>
    <s v="AMEinfo_HP_728x270_BHR_AR"/>
    <x v="1"/>
    <s v="Standard"/>
    <s v="Rich Media Expandable"/>
    <n v="733"/>
    <n v="2"/>
    <n v="2.7285129604365621E-3"/>
    <x v="0"/>
  </r>
  <r>
    <x v="13"/>
    <s v="AMEinfo_HP_728x270_BHR_AR"/>
    <x v="1"/>
    <s v="Standard"/>
    <s v="Rich Media Expandable"/>
    <n v="1665"/>
    <n v="1"/>
    <n v="6.0060060060060057E-4"/>
    <x v="0"/>
  </r>
  <r>
    <x v="13"/>
    <s v="AMEinfo_HP_728x270_BHR_AR"/>
    <x v="1"/>
    <s v="Standard"/>
    <s v="Rich Media Expandable"/>
    <n v="1446"/>
    <n v="0"/>
    <n v="0"/>
    <x v="0"/>
  </r>
  <r>
    <x v="13"/>
    <s v="AMEinfo_HP_728x270_BHR_AR"/>
    <x v="1"/>
    <s v="Standard"/>
    <s v="Rich Media Expandable"/>
    <n v="5262"/>
    <n v="1"/>
    <n v="1.9004180919802356E-4"/>
    <x v="0"/>
  </r>
  <r>
    <x v="13"/>
    <s v="AMEinfo_HP_728x270_BHR_AR"/>
    <x v="1"/>
    <s v="Standard"/>
    <s v="Rich Media Expandable"/>
    <n v="2401"/>
    <n v="2"/>
    <n v="8.3298625572678054E-4"/>
    <x v="0"/>
  </r>
  <r>
    <x v="13"/>
    <s v="AMEinfo_HP_728x270_KSA_AR"/>
    <x v="1"/>
    <s v="Default"/>
    <s v="Gif"/>
    <n v="1247"/>
    <n v="0"/>
    <n v="0"/>
    <x v="0"/>
  </r>
  <r>
    <x v="13"/>
    <s v="AMEinfo_HP_728x270_KSA_AR"/>
    <x v="1"/>
    <s v="Default"/>
    <s v="Gif"/>
    <n v="1285"/>
    <n v="0"/>
    <n v="0"/>
    <x v="0"/>
  </r>
  <r>
    <x v="13"/>
    <s v="AMEinfo_HP_728x270_KSA_AR"/>
    <x v="1"/>
    <s v="Default"/>
    <s v="Gif"/>
    <n v="1602"/>
    <n v="0"/>
    <n v="0"/>
    <x v="0"/>
  </r>
  <r>
    <x v="13"/>
    <s v="AMEinfo_HP_728x270_KSA_AR"/>
    <x v="1"/>
    <s v="Default"/>
    <s v="Gif"/>
    <n v="1932"/>
    <n v="0"/>
    <n v="0"/>
    <x v="0"/>
  </r>
  <r>
    <x v="13"/>
    <s v="AMEinfo_HP_728x270_KSA_AR"/>
    <x v="1"/>
    <s v="Default"/>
    <s v="Gif"/>
    <n v="1044"/>
    <n v="0"/>
    <n v="0"/>
    <x v="0"/>
  </r>
  <r>
    <x v="13"/>
    <s v="AMEinfo_HP_728x270_KSA_AR"/>
    <x v="1"/>
    <s v="Standard"/>
    <s v="Rich Media Expandable"/>
    <n v="7996"/>
    <n v="11"/>
    <n v="1.375687843921961E-3"/>
    <x v="0"/>
  </r>
  <r>
    <x v="13"/>
    <s v="AMEinfo_HP_728x270_KSA_AR"/>
    <x v="1"/>
    <s v="Standard"/>
    <s v="Rich Media Expandable"/>
    <n v="9271"/>
    <n v="17"/>
    <n v="1.8336749002265129E-3"/>
    <x v="0"/>
  </r>
  <r>
    <x v="13"/>
    <s v="AMEinfo_HP_728x270_KSA_AR"/>
    <x v="1"/>
    <s v="Standard"/>
    <s v="Rich Media Expandable"/>
    <n v="10288"/>
    <n v="24"/>
    <n v="2.3328149300155523E-3"/>
    <x v="0"/>
  </r>
  <r>
    <x v="13"/>
    <s v="AMEinfo_HP_728x270_KSA_AR"/>
    <x v="1"/>
    <s v="Standard"/>
    <s v="Rich Media Expandable"/>
    <n v="24345"/>
    <n v="30"/>
    <n v="1.2322858903265558E-3"/>
    <x v="0"/>
  </r>
  <r>
    <x v="13"/>
    <s v="AMEinfo_HP_728x270_KSA_AR"/>
    <x v="1"/>
    <s v="Standard"/>
    <s v="Rich Media Expandable"/>
    <n v="11460"/>
    <n v="10"/>
    <n v="8.7260034904013963E-4"/>
    <x v="0"/>
  </r>
  <r>
    <x v="13"/>
    <s v="AMEinfo_HP_728x270_KWT_AR"/>
    <x v="1"/>
    <s v="Default"/>
    <s v="Gif"/>
    <n v="131"/>
    <n v="0"/>
    <n v="0"/>
    <x v="0"/>
  </r>
  <r>
    <x v="13"/>
    <s v="AMEinfo_HP_728x270_KWT_AR"/>
    <x v="1"/>
    <s v="Default"/>
    <s v="Gif"/>
    <n v="280"/>
    <n v="0"/>
    <n v="0"/>
    <x v="0"/>
  </r>
  <r>
    <x v="13"/>
    <s v="AMEinfo_HP_728x270_KWT_AR"/>
    <x v="1"/>
    <s v="Default"/>
    <s v="Gif"/>
    <n v="215"/>
    <n v="0"/>
    <n v="0"/>
    <x v="0"/>
  </r>
  <r>
    <x v="13"/>
    <s v="AMEinfo_HP_728x270_KWT_AR"/>
    <x v="1"/>
    <s v="Default"/>
    <s v="Gif"/>
    <n v="416"/>
    <n v="0"/>
    <n v="0"/>
    <x v="0"/>
  </r>
  <r>
    <x v="13"/>
    <s v="AMEinfo_HP_728x270_KWT_AR"/>
    <x v="1"/>
    <s v="Default"/>
    <s v="Gif"/>
    <n v="171"/>
    <n v="0"/>
    <n v="0"/>
    <x v="0"/>
  </r>
  <r>
    <x v="13"/>
    <s v="AMEinfo_HP_728x270_KWT_AR"/>
    <x v="1"/>
    <s v="Standard"/>
    <s v="Rich Media Expandable"/>
    <n v="747"/>
    <n v="2"/>
    <n v="2.6773761713520749E-3"/>
    <x v="0"/>
  </r>
  <r>
    <x v="13"/>
    <s v="AMEinfo_HP_728x270_KWT_AR"/>
    <x v="1"/>
    <s v="Standard"/>
    <s v="Rich Media Expandable"/>
    <n v="1632"/>
    <n v="1"/>
    <n v="6.1274509803921568E-4"/>
    <x v="0"/>
  </r>
  <r>
    <x v="13"/>
    <s v="AMEinfo_HP_728x270_KWT_AR"/>
    <x v="1"/>
    <s v="Standard"/>
    <s v="Rich Media Expandable"/>
    <n v="1452"/>
    <n v="2"/>
    <n v="1.3774104683195593E-3"/>
    <x v="0"/>
  </r>
  <r>
    <x v="13"/>
    <s v="AMEinfo_HP_728x270_KWT_AR"/>
    <x v="1"/>
    <s v="Standard"/>
    <s v="Rich Media Expandable"/>
    <n v="5307"/>
    <n v="3"/>
    <n v="5.6529112492933857E-4"/>
    <x v="0"/>
  </r>
  <r>
    <x v="13"/>
    <s v="AMEinfo_HP_728x270_KWT_AR"/>
    <x v="1"/>
    <s v="Standard"/>
    <s v="Rich Media Expandable"/>
    <n v="2476"/>
    <n v="1"/>
    <n v="4.0387722132471731E-4"/>
    <x v="0"/>
  </r>
  <r>
    <x v="13"/>
    <s v="AMEinfo_HP_728x270_OMN_AR"/>
    <x v="1"/>
    <s v="Default"/>
    <s v="Gif"/>
    <n v="151"/>
    <n v="0"/>
    <n v="0"/>
    <x v="0"/>
  </r>
  <r>
    <x v="13"/>
    <s v="AMEinfo_HP_728x270_OMN_AR"/>
    <x v="1"/>
    <s v="Default"/>
    <s v="Gif"/>
    <n v="246"/>
    <n v="0"/>
    <n v="0"/>
    <x v="0"/>
  </r>
  <r>
    <x v="13"/>
    <s v="AMEinfo_HP_728x270_OMN_AR"/>
    <x v="1"/>
    <s v="Default"/>
    <s v="Gif"/>
    <n v="249"/>
    <n v="0"/>
    <n v="0"/>
    <x v="0"/>
  </r>
  <r>
    <x v="13"/>
    <s v="AMEinfo_HP_728x270_OMN_AR"/>
    <x v="1"/>
    <s v="Default"/>
    <s v="Gif"/>
    <n v="435"/>
    <n v="0"/>
    <n v="0"/>
    <x v="0"/>
  </r>
  <r>
    <x v="13"/>
    <s v="AMEinfo_HP_728x270_OMN_AR"/>
    <x v="1"/>
    <s v="Default"/>
    <s v="Gif"/>
    <n v="186"/>
    <n v="0"/>
    <n v="0"/>
    <x v="0"/>
  </r>
  <r>
    <x v="13"/>
    <s v="AMEinfo_HP_728x270_OMN_AR"/>
    <x v="1"/>
    <s v="Standard"/>
    <s v="Rich Media Expandable"/>
    <n v="769"/>
    <n v="1"/>
    <n v="1.3003901170351106E-3"/>
    <x v="0"/>
  </r>
  <r>
    <x v="13"/>
    <s v="AMEinfo_HP_728x270_OMN_AR"/>
    <x v="1"/>
    <s v="Standard"/>
    <s v="Rich Media Expandable"/>
    <n v="1604"/>
    <n v="4"/>
    <n v="2.4937655860349127E-3"/>
    <x v="0"/>
  </r>
  <r>
    <x v="13"/>
    <s v="AMEinfo_HP_728x270_OMN_AR"/>
    <x v="1"/>
    <s v="Standard"/>
    <s v="Rich Media Expandable"/>
    <n v="1492"/>
    <n v="2"/>
    <n v="1.3404825737265416E-3"/>
    <x v="0"/>
  </r>
  <r>
    <x v="13"/>
    <s v="AMEinfo_HP_728x270_OMN_AR"/>
    <x v="1"/>
    <s v="Standard"/>
    <s v="Rich Media Expandable"/>
    <n v="5182"/>
    <n v="2"/>
    <n v="3.8595137012736397E-4"/>
    <x v="0"/>
  </r>
  <r>
    <x v="13"/>
    <s v="AMEinfo_HP_728x270_OMN_AR"/>
    <x v="1"/>
    <s v="Standard"/>
    <s v="Rich Media Expandable"/>
    <n v="2442"/>
    <n v="2"/>
    <n v="8.1900081900081905E-4"/>
    <x v="0"/>
  </r>
  <r>
    <x v="13"/>
    <s v="AMEinfo_HP_728x270_QAT_AR"/>
    <x v="1"/>
    <s v="Default"/>
    <s v="Gif"/>
    <n v="152"/>
    <n v="0"/>
    <n v="0"/>
    <x v="0"/>
  </r>
  <r>
    <x v="13"/>
    <s v="AMEinfo_HP_728x270_QAT_AR"/>
    <x v="1"/>
    <s v="Default"/>
    <s v="Gif"/>
    <n v="272"/>
    <n v="0"/>
    <n v="0"/>
    <x v="0"/>
  </r>
  <r>
    <x v="13"/>
    <s v="AMEinfo_HP_728x270_QAT_AR"/>
    <x v="1"/>
    <s v="Default"/>
    <s v="Gif"/>
    <n v="255"/>
    <n v="0"/>
    <n v="0"/>
    <x v="0"/>
  </r>
  <r>
    <x v="13"/>
    <s v="AMEinfo_HP_728x270_QAT_AR"/>
    <x v="1"/>
    <s v="Default"/>
    <s v="Gif"/>
    <n v="402"/>
    <n v="0"/>
    <n v="0"/>
    <x v="0"/>
  </r>
  <r>
    <x v="13"/>
    <s v="AMEinfo_HP_728x270_QAT_AR"/>
    <x v="1"/>
    <s v="Default"/>
    <s v="Gif"/>
    <n v="160"/>
    <n v="0"/>
    <n v="0"/>
    <x v="0"/>
  </r>
  <r>
    <x v="13"/>
    <s v="AMEinfo_HP_728x270_QAT_AR"/>
    <x v="1"/>
    <s v="Standard"/>
    <s v="Rich Media Expandable"/>
    <n v="753"/>
    <n v="3"/>
    <n v="3.9840637450199202E-3"/>
    <x v="0"/>
  </r>
  <r>
    <x v="13"/>
    <s v="AMEinfo_HP_728x270_QAT_AR"/>
    <x v="1"/>
    <s v="Standard"/>
    <s v="Rich Media Expandable"/>
    <n v="1759"/>
    <n v="4"/>
    <n v="2.2740193291642978E-3"/>
    <x v="0"/>
  </r>
  <r>
    <x v="13"/>
    <s v="AMEinfo_HP_728x270_QAT_AR"/>
    <x v="1"/>
    <s v="Standard"/>
    <s v="Rich Media Expandable"/>
    <n v="1489"/>
    <n v="0"/>
    <n v="0"/>
    <x v="0"/>
  </r>
  <r>
    <x v="13"/>
    <s v="AMEinfo_HP_728x270_QAT_AR"/>
    <x v="1"/>
    <s v="Standard"/>
    <s v="Rich Media Expandable"/>
    <n v="5225"/>
    <n v="3"/>
    <n v="5.7416267942583734E-4"/>
    <x v="0"/>
  </r>
  <r>
    <x v="13"/>
    <s v="AMEinfo_HP_728x270_QAT_AR"/>
    <x v="1"/>
    <s v="Standard"/>
    <s v="Rich Media Expandable"/>
    <n v="2409"/>
    <n v="0"/>
    <n v="0"/>
    <x v="0"/>
  </r>
  <r>
    <x v="13"/>
    <s v="AMEinfo_HP_728x270_UAE_AR"/>
    <x v="1"/>
    <s v="Default"/>
    <s v="Gif"/>
    <n v="578"/>
    <n v="0"/>
    <n v="0"/>
    <x v="0"/>
  </r>
  <r>
    <x v="13"/>
    <s v="AMEinfo_HP_728x270_UAE_AR"/>
    <x v="1"/>
    <s v="Default"/>
    <s v="Gif"/>
    <n v="1401"/>
    <n v="0"/>
    <n v="0"/>
    <x v="0"/>
  </r>
  <r>
    <x v="13"/>
    <s v="AMEinfo_HP_728x270_UAE_AR"/>
    <x v="1"/>
    <s v="Default"/>
    <s v="Gif"/>
    <n v="1205"/>
    <n v="0"/>
    <n v="0"/>
    <x v="0"/>
  </r>
  <r>
    <x v="13"/>
    <s v="AMEinfo_HP_728x270_UAE_AR"/>
    <x v="1"/>
    <s v="Default"/>
    <s v="Gif"/>
    <n v="1161"/>
    <n v="0"/>
    <n v="0"/>
    <x v="0"/>
  </r>
  <r>
    <x v="13"/>
    <s v="AMEinfo_HP_728x270_UAE_AR"/>
    <x v="1"/>
    <s v="Default"/>
    <s v="Gif"/>
    <n v="843"/>
    <n v="0"/>
    <n v="0"/>
    <x v="0"/>
  </r>
  <r>
    <x v="13"/>
    <s v="AMEinfo_HP_728x270_UAE_AR"/>
    <x v="1"/>
    <s v="Standard"/>
    <s v="Rich Media Expandable"/>
    <n v="6705"/>
    <n v="9"/>
    <n v="1.3422818791946308E-3"/>
    <x v="0"/>
  </r>
  <r>
    <x v="13"/>
    <s v="AMEinfo_HP_728x270_UAE_AR"/>
    <x v="1"/>
    <s v="Standard"/>
    <s v="Rich Media Expandable"/>
    <n v="15706"/>
    <n v="15"/>
    <n v="9.5504902584999361E-4"/>
    <x v="0"/>
  </r>
  <r>
    <x v="13"/>
    <s v="AMEinfo_HP_728x270_UAE_AR"/>
    <x v="1"/>
    <s v="Standard"/>
    <s v="Rich Media Expandable"/>
    <n v="14640"/>
    <n v="19"/>
    <n v="1.2978142076502733E-3"/>
    <x v="0"/>
  </r>
  <r>
    <x v="13"/>
    <s v="AMEinfo_HP_728x270_UAE_AR"/>
    <x v="1"/>
    <s v="Standard"/>
    <s v="Rich Media Expandable"/>
    <n v="12348"/>
    <n v="9"/>
    <n v="7.2886297376093293E-4"/>
    <x v="0"/>
  </r>
  <r>
    <x v="13"/>
    <s v="AMEinfo_HP_728x270_UAE_AR"/>
    <x v="1"/>
    <s v="Standard"/>
    <s v="Rich Media Expandable"/>
    <n v="13901"/>
    <n v="11"/>
    <n v="7.9130997769944606E-4"/>
    <x v="0"/>
  </r>
  <r>
    <x v="14"/>
    <s v="Arabia_TECH_728x90_KSA_AR"/>
    <x v="1"/>
    <s v="Default"/>
    <s v="Gif"/>
    <n v="95"/>
    <n v="0"/>
    <n v="0"/>
    <x v="0"/>
  </r>
  <r>
    <x v="14"/>
    <s v="Arabia_TECH_728x90_KSA_AR"/>
    <x v="1"/>
    <s v="Default"/>
    <s v="Gif"/>
    <n v="221"/>
    <n v="0"/>
    <n v="0"/>
    <x v="0"/>
  </r>
  <r>
    <x v="14"/>
    <s v="Arabia_TECH_728x90_KSA_AR"/>
    <x v="1"/>
    <s v="Default"/>
    <s v="Gif"/>
    <n v="757"/>
    <n v="0"/>
    <n v="0"/>
    <x v="0"/>
  </r>
  <r>
    <x v="14"/>
    <s v="Arabia_TECH_728x90_KSA_AR"/>
    <x v="1"/>
    <s v="Default"/>
    <s v="Gif"/>
    <n v="55"/>
    <n v="0"/>
    <n v="0"/>
    <x v="0"/>
  </r>
  <r>
    <x v="14"/>
    <s v="Arabia_TECH_728x90_KSA_AR"/>
    <x v="1"/>
    <s v="Standard"/>
    <s v="Flash In-Page"/>
    <n v="1500"/>
    <n v="6"/>
    <n v="4.0000000000000001E-3"/>
    <x v="0"/>
  </r>
  <r>
    <x v="14"/>
    <s v="Arabia_TECH_728x90_KSA_AR"/>
    <x v="1"/>
    <s v="Standard"/>
    <s v="Flash In-Page"/>
    <n v="2732"/>
    <n v="6"/>
    <n v="2.1961932650073207E-3"/>
    <x v="0"/>
  </r>
  <r>
    <x v="14"/>
    <s v="Arabia_TECH_728x90_KSA_AR"/>
    <x v="1"/>
    <s v="Standard"/>
    <s v="Flash In-Page"/>
    <n v="7123"/>
    <n v="16"/>
    <n v="2.2462445598764565E-3"/>
    <x v="0"/>
  </r>
  <r>
    <x v="14"/>
    <s v="Arabia_TECH_728x90_KSA_AR"/>
    <x v="1"/>
    <s v="Standard"/>
    <s v="Flash In-Page"/>
    <n v="691"/>
    <n v="2"/>
    <n v="2.8943560057887118E-3"/>
    <x v="0"/>
  </r>
  <r>
    <x v="14"/>
    <s v="Arabia_TECH_728x90_KSA_AR"/>
    <x v="1"/>
    <s v="Standard"/>
    <s v="Flash In-Page"/>
    <n v="2"/>
    <n v="0"/>
    <n v="0"/>
    <x v="0"/>
  </r>
  <r>
    <x v="14"/>
    <s v="Arabia_TECH_Video_300x250_KSA_AR"/>
    <x v="0"/>
    <s v="Default"/>
    <s v="Gif"/>
    <n v="1"/>
    <n v="0"/>
    <n v="0"/>
    <x v="0"/>
  </r>
  <r>
    <x v="14"/>
    <s v="Arabia_TECH_Video_300x250_KSA_AR"/>
    <x v="0"/>
    <s v="Standard"/>
    <s v="Rich Media In-Page Flash"/>
    <n v="4"/>
    <n v="0"/>
    <n v="0"/>
    <x v="0"/>
  </r>
  <r>
    <x v="14"/>
    <s v="Arabia_TECH_Video_300x250_KSA_AR"/>
    <x v="0"/>
    <s v="Standard"/>
    <s v="Rich Media In-Page Flash"/>
    <n v="1"/>
    <n v="0"/>
    <n v="0"/>
    <x v="0"/>
  </r>
  <r>
    <x v="14"/>
    <s v="Arabia_TECH_Video_300x250_KSA_AR"/>
    <x v="0"/>
    <s v="Standard"/>
    <s v="Rich Media In-Page Flash"/>
    <n v="2"/>
    <n v="0"/>
    <n v="0"/>
    <x v="0"/>
  </r>
  <r>
    <x v="15"/>
    <s v="Ikoo_Borasaat_300x250_SAU_AR"/>
    <x v="0"/>
    <s v="Default"/>
    <s v="Gif"/>
    <n v="1"/>
    <n v="0"/>
    <n v="0"/>
    <x v="0"/>
  </r>
  <r>
    <x v="16"/>
    <s v="Auto_300x250_Exp_ARE_AR"/>
    <x v="0"/>
    <s v="Standard"/>
    <s v="Rich Media Expandable"/>
    <n v="8"/>
    <n v="0"/>
    <n v="0"/>
    <x v="0"/>
  </r>
  <r>
    <x v="16"/>
    <s v="Auto_300x250_Exp_ARE_AR"/>
    <x v="0"/>
    <s v="Standard"/>
    <s v="Rich Media Expandable"/>
    <n v="7"/>
    <n v="0"/>
    <n v="0"/>
    <x v="0"/>
  </r>
  <r>
    <x v="16"/>
    <s v="Auto_300x250_Exp_ARE_AR"/>
    <x v="0"/>
    <s v="Standard"/>
    <s v="Rich Media Expandable"/>
    <n v="7"/>
    <n v="0"/>
    <n v="0"/>
    <x v="0"/>
  </r>
  <r>
    <x v="16"/>
    <s v="Auto_300x250_Exp_ARE_EN"/>
    <x v="0"/>
    <s v="Standard"/>
    <s v="Rich Media Expandable"/>
    <n v="44"/>
    <n v="0"/>
    <n v="0"/>
    <x v="1"/>
  </r>
  <r>
    <x v="16"/>
    <s v="Auto_300x250_Exp_ARE_EN"/>
    <x v="0"/>
    <s v="Standard"/>
    <s v="Rich Media Expandable"/>
    <n v="57"/>
    <n v="0"/>
    <n v="0"/>
    <x v="1"/>
  </r>
  <r>
    <x v="16"/>
    <s v="Auto_300x250_Exp_ARE_EN"/>
    <x v="0"/>
    <s v="Standard"/>
    <s v="Rich Media Expandable"/>
    <n v="82"/>
    <n v="0"/>
    <n v="0"/>
    <x v="1"/>
  </r>
  <r>
    <x v="16"/>
    <s v="Auto_300x250_Exp_ARE_EN"/>
    <x v="0"/>
    <s v="Standard"/>
    <s v="Rich Media Expandable"/>
    <n v="74"/>
    <n v="0"/>
    <n v="0"/>
    <x v="1"/>
  </r>
  <r>
    <x v="16"/>
    <s v="Auto_300x250_Exp_BHR_AR"/>
    <x v="0"/>
    <s v="Default"/>
    <s v="Gif"/>
    <n v="1"/>
    <n v="0"/>
    <n v="0"/>
    <x v="0"/>
  </r>
  <r>
    <x v="16"/>
    <s v="Auto_300x250_Exp_BHR_EN"/>
    <x v="0"/>
    <s v="Standard"/>
    <s v="Rich Media Expandable"/>
    <n v="4"/>
    <n v="0"/>
    <n v="0"/>
    <x v="1"/>
  </r>
  <r>
    <x v="16"/>
    <s v="Auto_300x250_Exp_BHR_EN"/>
    <x v="0"/>
    <s v="Standard"/>
    <s v="Rich Media Expandable"/>
    <n v="3"/>
    <n v="0"/>
    <n v="0"/>
    <x v="1"/>
  </r>
  <r>
    <x v="16"/>
    <s v="Auto_300x250_Exp_BHR_EN"/>
    <x v="0"/>
    <s v="Standard"/>
    <s v="Rich Media Expandable"/>
    <n v="4"/>
    <n v="0"/>
    <n v="0"/>
    <x v="1"/>
  </r>
  <r>
    <x v="16"/>
    <s v="Auto_300x250_Exp_BHR_EN"/>
    <x v="0"/>
    <s v="Standard"/>
    <s v="Rich Media Expandable"/>
    <n v="1"/>
    <n v="0"/>
    <n v="0"/>
    <x v="1"/>
  </r>
  <r>
    <x v="16"/>
    <s v="Auto_300x250_Exp_KSA_AR"/>
    <x v="0"/>
    <s v="Standard"/>
    <s v="Rich Media Expandable"/>
    <n v="1"/>
    <n v="0"/>
    <n v="0"/>
    <x v="0"/>
  </r>
  <r>
    <x v="16"/>
    <s v="Auto_300x250_Exp_KSA_AR"/>
    <x v="0"/>
    <s v="Standard"/>
    <s v="Rich Media Expandable"/>
    <n v="1"/>
    <n v="0"/>
    <n v="0"/>
    <x v="0"/>
  </r>
  <r>
    <x v="16"/>
    <s v="Auto_300x250_Exp_KSA_AR"/>
    <x v="0"/>
    <s v="Standard"/>
    <s v="Rich Media Expandable"/>
    <n v="1"/>
    <n v="0"/>
    <n v="0"/>
    <x v="0"/>
  </r>
  <r>
    <x v="16"/>
    <s v="Auto_300x250_Exp_KSA_EN"/>
    <x v="0"/>
    <s v="Standard"/>
    <s v="Rich Media Expandable"/>
    <n v="2"/>
    <n v="0"/>
    <n v="0"/>
    <x v="1"/>
  </r>
  <r>
    <x v="16"/>
    <s v="Auto_300x250_Exp_KSA_EN"/>
    <x v="0"/>
    <s v="Standard"/>
    <s v="Rich Media Expandable"/>
    <n v="11"/>
    <n v="0"/>
    <n v="0"/>
    <x v="1"/>
  </r>
  <r>
    <x v="16"/>
    <s v="Auto_300x250_Exp_KSA_EN"/>
    <x v="0"/>
    <s v="Standard"/>
    <s v="Rich Media Expandable"/>
    <n v="5"/>
    <n v="0"/>
    <n v="0"/>
    <x v="1"/>
  </r>
  <r>
    <x v="16"/>
    <s v="Auto_300x250_Exp_KSA_EN"/>
    <x v="0"/>
    <s v="Standard"/>
    <s v="Rich Media Expandable"/>
    <n v="1"/>
    <n v="0"/>
    <n v="0"/>
    <x v="1"/>
  </r>
  <r>
    <x v="16"/>
    <s v="Auto_300x250_Exp_KWT_AR"/>
    <x v="0"/>
    <s v="Default"/>
    <s v="Gif"/>
    <n v="1"/>
    <n v="0"/>
    <n v="0"/>
    <x v="0"/>
  </r>
  <r>
    <x v="16"/>
    <s v="Auto_300x250_Exp_KWT_AR"/>
    <x v="0"/>
    <s v="Default"/>
    <s v="Gif"/>
    <n v="2"/>
    <n v="0"/>
    <n v="0"/>
    <x v="0"/>
  </r>
  <r>
    <x v="16"/>
    <s v="Auto_300x250_Exp_KWT_EN"/>
    <x v="0"/>
    <s v="Standard"/>
    <s v="Rich Media Expandable"/>
    <n v="3"/>
    <n v="0"/>
    <n v="0"/>
    <x v="1"/>
  </r>
  <r>
    <x v="16"/>
    <s v="Auto_300x250_Exp_KWT_EN"/>
    <x v="0"/>
    <s v="Standard"/>
    <s v="Rich Media Expandable"/>
    <n v="2"/>
    <n v="0"/>
    <n v="0"/>
    <x v="1"/>
  </r>
  <r>
    <x v="16"/>
    <s v="Auto_300x250_Exp_KWT_EN"/>
    <x v="0"/>
    <s v="Standard"/>
    <s v="Rich Media Expandable"/>
    <n v="4"/>
    <n v="0"/>
    <n v="0"/>
    <x v="1"/>
  </r>
  <r>
    <x v="16"/>
    <s v="Auto_300x250_Exp_OMN_AR"/>
    <x v="0"/>
    <s v="Default"/>
    <s v="Gif"/>
    <n v="2"/>
    <n v="0"/>
    <n v="0"/>
    <x v="0"/>
  </r>
  <r>
    <x v="16"/>
    <s v="Auto_300x250_Exp_OMN_AR"/>
    <x v="0"/>
    <s v="Default"/>
    <s v="Gif"/>
    <n v="1"/>
    <n v="0"/>
    <n v="0"/>
    <x v="0"/>
  </r>
  <r>
    <x v="16"/>
    <s v="Auto_300x250_Exp_OMN_EN"/>
    <x v="0"/>
    <s v="Standard"/>
    <s v="Rich Media Expandable"/>
    <n v="3"/>
    <n v="0"/>
    <n v="0"/>
    <x v="1"/>
  </r>
  <r>
    <x v="16"/>
    <s v="Auto_300x250_Exp_OMN_EN"/>
    <x v="0"/>
    <s v="Standard"/>
    <s v="Rich Media Expandable"/>
    <n v="2"/>
    <n v="0"/>
    <n v="0"/>
    <x v="1"/>
  </r>
  <r>
    <x v="16"/>
    <s v="Auto_300x250_Exp_OMN_EN"/>
    <x v="0"/>
    <s v="Standard"/>
    <s v="Rich Media Expandable"/>
    <n v="3"/>
    <n v="0"/>
    <n v="0"/>
    <x v="1"/>
  </r>
  <r>
    <x v="16"/>
    <s v="Auto_300x250_Exp_QAT_AR"/>
    <x v="0"/>
    <s v="Default"/>
    <s v="Gif"/>
    <n v="1"/>
    <n v="0"/>
    <n v="0"/>
    <x v="0"/>
  </r>
  <r>
    <x v="16"/>
    <s v="Auto_300x250_Exp_QAT_AR"/>
    <x v="0"/>
    <s v="Default"/>
    <s v="Gif"/>
    <n v="1"/>
    <n v="0"/>
    <n v="0"/>
    <x v="0"/>
  </r>
  <r>
    <x v="16"/>
    <s v="Auto_300x250_Exp_QAT_EN"/>
    <x v="0"/>
    <s v="Standard"/>
    <s v="Rich Media Expandable"/>
    <n v="1"/>
    <n v="0"/>
    <n v="0"/>
    <x v="1"/>
  </r>
  <r>
    <x v="16"/>
    <s v="Auto_300x250_Exp_QAT_EN"/>
    <x v="0"/>
    <s v="Standard"/>
    <s v="Rich Media Expandable"/>
    <n v="2"/>
    <n v="0"/>
    <n v="0"/>
    <x v="1"/>
  </r>
  <r>
    <x v="16"/>
    <s v="Auto_300x250_Exp_QAT_EN"/>
    <x v="0"/>
    <s v="Standard"/>
    <s v="Rich Media Expandable"/>
    <n v="1"/>
    <n v="0"/>
    <n v="0"/>
    <x v="1"/>
  </r>
  <r>
    <x v="17"/>
    <s v="D1G_ROS_Capability_300x250Ex_SAU_AR"/>
    <x v="0"/>
    <s v="Default"/>
    <s v="Gif"/>
    <n v="1"/>
    <n v="0"/>
    <n v="0"/>
    <x v="0"/>
  </r>
  <r>
    <x v="18"/>
    <s v="Dotmena_728x90_KSA_EN"/>
    <x v="1"/>
    <s v="Default"/>
    <s v="Gif"/>
    <n v="1"/>
    <n v="0"/>
    <n v="0"/>
    <x v="1"/>
  </r>
  <r>
    <x v="18"/>
    <s v="Dotmena_Business_300x250Vid_KSA_AR"/>
    <x v="0"/>
    <s v="Default"/>
    <s v="Gif"/>
    <n v="1"/>
    <n v="0"/>
    <n v="0"/>
    <x v="0"/>
  </r>
  <r>
    <x v="18"/>
    <s v="Dotmena_Business_300x250Vid_KSA_AR"/>
    <x v="0"/>
    <s v="Standard"/>
    <s v="Flash In-Page"/>
    <n v="21156"/>
    <n v="184"/>
    <n v="8.697296275288334E-3"/>
    <x v="0"/>
  </r>
  <r>
    <x v="18"/>
    <s v="Dotmena_Business_300x250Vid_KSA_AR"/>
    <x v="0"/>
    <s v="Standard"/>
    <s v="Flash In-Page"/>
    <n v="22170"/>
    <n v="162"/>
    <n v="7.307171853856563E-3"/>
    <x v="0"/>
  </r>
  <r>
    <x v="18"/>
    <s v="Dotmena_Business_300x250Vid_KSA_AR"/>
    <x v="0"/>
    <s v="Standard"/>
    <s v="Flash In-Page"/>
    <n v="26504"/>
    <n v="202"/>
    <n v="7.6214910956836704E-3"/>
    <x v="0"/>
  </r>
  <r>
    <x v="18"/>
    <s v="Dotmena_Business_300x250Vid_KSA_AR"/>
    <x v="0"/>
    <s v="Standard"/>
    <s v="Flash In-Page"/>
    <n v="25197"/>
    <n v="132"/>
    <n v="5.2387188951065599E-3"/>
    <x v="0"/>
  </r>
  <r>
    <x v="18"/>
    <s v="Dotmena_Business_300x250Vid_KSA_AR"/>
    <x v="0"/>
    <s v="Standard"/>
    <s v="Flash In-Page"/>
    <n v="17760"/>
    <n v="81"/>
    <n v="4.5608108108108111E-3"/>
    <x v="0"/>
  </r>
  <r>
    <x v="18"/>
    <s v="Dotmena_Business_300x250Vid_UAE_AR"/>
    <x v="0"/>
    <s v="Standard"/>
    <s v="Flash In-Page"/>
    <n v="3101"/>
    <n v="5"/>
    <n v="1.6123831022250886E-3"/>
    <x v="0"/>
  </r>
  <r>
    <x v="18"/>
    <s v="Dotmena_Business_300x250Vid_UAE_AR"/>
    <x v="0"/>
    <s v="Standard"/>
    <s v="Flash In-Page"/>
    <n v="3592"/>
    <n v="5"/>
    <n v="1.3919821826280624E-3"/>
    <x v="0"/>
  </r>
  <r>
    <x v="18"/>
    <s v="Dotmena_Business_300x250Vid_UAE_EN"/>
    <x v="0"/>
    <s v="Standard"/>
    <s v="Flash In-Page"/>
    <n v="12403"/>
    <n v="89"/>
    <n v="7.1756833024268322E-3"/>
    <x v="1"/>
  </r>
  <r>
    <x v="18"/>
    <s v="Dotmena_Business_300x250Vid_UAE_EN"/>
    <x v="0"/>
    <s v="Standard"/>
    <s v="Flash In-Page"/>
    <n v="22065"/>
    <n v="154"/>
    <n v="6.9793791071833221E-3"/>
    <x v="1"/>
  </r>
  <r>
    <x v="18"/>
    <s v="Dotmena_Business_300x250Vid_UAE_EN"/>
    <x v="0"/>
    <s v="Standard"/>
    <s v="Flash In-Page"/>
    <n v="27662"/>
    <n v="94"/>
    <n v="3.3981635456583037E-3"/>
    <x v="1"/>
  </r>
  <r>
    <x v="18"/>
    <s v="Dotmena_Business_300x250Vid_UAE_EN"/>
    <x v="0"/>
    <s v="Standard"/>
    <s v="Flash In-Page"/>
    <n v="21797"/>
    <n v="75"/>
    <n v="3.4408404826352249E-3"/>
    <x v="1"/>
  </r>
  <r>
    <x v="18"/>
    <s v="Dotmena_Business_300x250Vid_UAE_EN"/>
    <x v="0"/>
    <s v="Standard"/>
    <s v="Flash In-Page"/>
    <n v="16937"/>
    <n v="75"/>
    <n v="4.4281750014760583E-3"/>
    <x v="1"/>
  </r>
  <r>
    <x v="18"/>
    <s v="Dotmena_Business_728x270_KSA_AR"/>
    <x v="1"/>
    <s v="Standard"/>
    <s v="Rich Media Expandable"/>
    <n v="36960"/>
    <n v="76"/>
    <n v="2.0562770562770564E-3"/>
    <x v="0"/>
  </r>
  <r>
    <x v="18"/>
    <s v="Dotmena_Business_728x270_KSA_AR"/>
    <x v="1"/>
    <s v="Standard"/>
    <s v="Rich Media Expandable"/>
    <n v="27183"/>
    <n v="50"/>
    <n v="1.8393849096862008E-3"/>
    <x v="0"/>
  </r>
  <r>
    <x v="18"/>
    <s v="Dotmena_Business_728x270_KSA_AR"/>
    <x v="1"/>
    <s v="Standard"/>
    <s v="Rich Media Expandable"/>
    <n v="21039"/>
    <n v="34"/>
    <n v="1.6160463900375492E-3"/>
    <x v="0"/>
  </r>
  <r>
    <x v="18"/>
    <s v="Dotmena_Business_728x270_KSA_AR"/>
    <x v="1"/>
    <s v="Standard"/>
    <s v="Rich Media Expandable"/>
    <n v="29091"/>
    <n v="46"/>
    <n v="1.5812450586091919E-3"/>
    <x v="0"/>
  </r>
  <r>
    <x v="18"/>
    <s v="Dotmena_Business_728x270_KSA_AR"/>
    <x v="1"/>
    <s v="Standard"/>
    <s v="Rich Media Expandable"/>
    <n v="21848"/>
    <n v="33"/>
    <n v="1.5104357378249726E-3"/>
    <x v="0"/>
  </r>
  <r>
    <x v="18"/>
    <s v="Dotmena_Business_728x270_UAE_AR"/>
    <x v="1"/>
    <s v="Standard"/>
    <s v="Rich Media Expandable"/>
    <n v="11918"/>
    <n v="2"/>
    <n v="1.678133915086424E-4"/>
    <x v="0"/>
  </r>
  <r>
    <x v="18"/>
    <s v="Dotmena_Business_728x270_UAE_AR"/>
    <x v="1"/>
    <s v="Standard"/>
    <s v="Rich Media Expandable"/>
    <n v="13543"/>
    <n v="3"/>
    <n v="2.2151665066824189E-4"/>
    <x v="0"/>
  </r>
  <r>
    <x v="18"/>
    <s v="Dotmena_Business_728x270_UAE_AR"/>
    <x v="1"/>
    <s v="Standard"/>
    <s v="Rich Media Expandable"/>
    <n v="1"/>
    <n v="0"/>
    <n v="0"/>
    <x v="0"/>
  </r>
  <r>
    <x v="18"/>
    <s v="Dotmena_Business_728x270_UAE_EN"/>
    <x v="1"/>
    <s v="Standard"/>
    <s v="Rich Media Expandable"/>
    <n v="11647"/>
    <n v="21"/>
    <n v="1.8030394092899459E-3"/>
    <x v="1"/>
  </r>
  <r>
    <x v="18"/>
    <s v="Dotmena_Business_728x270_UAE_EN"/>
    <x v="1"/>
    <s v="Standard"/>
    <s v="Rich Media Expandable"/>
    <n v="22080"/>
    <n v="40"/>
    <n v="1.8115942028985507E-3"/>
    <x v="1"/>
  </r>
  <r>
    <x v="18"/>
    <s v="Dotmena_Business_728x270_UAE_EN"/>
    <x v="1"/>
    <s v="Standard"/>
    <s v="Rich Media Expandable"/>
    <n v="30763"/>
    <n v="30"/>
    <n v="9.7519747748919154E-4"/>
    <x v="1"/>
  </r>
  <r>
    <x v="18"/>
    <s v="Dotmena_Business_728x270_UAE_EN"/>
    <x v="1"/>
    <s v="Standard"/>
    <s v="Rich Media Expandable"/>
    <n v="35957"/>
    <n v="27"/>
    <n v="7.5089690463609306E-4"/>
    <x v="1"/>
  </r>
  <r>
    <x v="18"/>
    <s v="Dotmena_Business_728x270_UAE_EN"/>
    <x v="1"/>
    <s v="Standard"/>
    <s v="Rich Media Expandable"/>
    <n v="23682"/>
    <n v="35"/>
    <n v="1.4779157165779918E-3"/>
    <x v="1"/>
  </r>
  <r>
    <x v="18"/>
    <s v="Tech_Ent_728x270_Vid_ARE_AR"/>
    <x v="1"/>
    <s v="Standard"/>
    <s v="Rich Media Expandable"/>
    <n v="1"/>
    <n v="0"/>
    <n v="0"/>
    <x v="0"/>
  </r>
  <r>
    <x v="18"/>
    <s v="Tech_Ent_728x270_Vid_KSA_AR"/>
    <x v="1"/>
    <s v="Standard"/>
    <s v="Rich Media Expandable"/>
    <n v="1"/>
    <n v="0"/>
    <n v="0"/>
    <x v="0"/>
  </r>
  <r>
    <x v="19"/>
    <s v="Ikoo_Hawamer_300x250_SAU_AR"/>
    <x v="0"/>
    <s v="Default"/>
    <s v="Gif"/>
    <n v="1"/>
    <n v="0"/>
    <n v="0"/>
    <x v="0"/>
  </r>
  <r>
    <x v="19"/>
    <s v="Ikoo_Hawamer_728x90_SAU_AR"/>
    <x v="1"/>
    <s v="Default"/>
    <s v="Gif"/>
    <n v="1"/>
    <n v="0"/>
    <n v="0"/>
    <x v="0"/>
  </r>
  <r>
    <x v="20"/>
    <s v="iFurat-300x250-AR"/>
    <x v="0"/>
    <s v="Default"/>
    <s v="Gif"/>
    <n v="1"/>
    <n v="0"/>
    <n v="0"/>
    <x v="0"/>
  </r>
  <r>
    <x v="21"/>
    <s v="Maktoob_Business_300x250_SAU_EN"/>
    <x v="0"/>
    <s v="Default"/>
    <s v="Gif"/>
    <n v="2"/>
    <n v="0"/>
    <n v="0"/>
    <x v="1"/>
  </r>
  <r>
    <x v="21"/>
    <s v="Yahoo_BT_Auto_KSA_300x250_AR"/>
    <x v="0"/>
    <s v="Default"/>
    <s v="Gif"/>
    <n v="8"/>
    <n v="0"/>
    <n v="0"/>
    <x v="0"/>
  </r>
  <r>
    <x v="21"/>
    <s v="Yahoo_BT_Auto_KSA_300x250_AR"/>
    <x v="0"/>
    <s v="Default"/>
    <s v="Gif"/>
    <n v="1"/>
    <n v="0"/>
    <n v="0"/>
    <x v="0"/>
  </r>
  <r>
    <x v="21"/>
    <s v="Yahoo_BT_Auto_KSA_300x250_EN"/>
    <x v="0"/>
    <s v="Standard"/>
    <s v="Flash In-Page"/>
    <n v="1"/>
    <n v="0"/>
    <n v="0"/>
    <x v="1"/>
  </r>
  <r>
    <x v="21"/>
    <s v="Yahoo_BT_Auto_KWT_300x600_AR"/>
    <x v="4"/>
    <s v="Standard"/>
    <s v="Flash In-Page"/>
    <n v="3"/>
    <n v="0"/>
    <n v="0"/>
    <x v="0"/>
  </r>
  <r>
    <x v="21"/>
    <s v="Yahoo_BT_Auto_KWT_300x600_AR"/>
    <x v="4"/>
    <s v="Standard"/>
    <s v="Flash In-Page"/>
    <n v="1"/>
    <n v="0"/>
    <n v="0"/>
    <x v="0"/>
  </r>
  <r>
    <x v="21"/>
    <s v="Yahoo_BT_Auto_KWT_300x600_AR"/>
    <x v="4"/>
    <s v="Standard"/>
    <s v="Flash In-Page"/>
    <n v="1"/>
    <n v="0"/>
    <n v="0"/>
    <x v="0"/>
  </r>
  <r>
    <x v="21"/>
    <s v="Yahoo_BT_Auto_OMN_728x90_AR"/>
    <x v="1"/>
    <s v="Default"/>
    <s v="Gif"/>
    <n v="2"/>
    <n v="0"/>
    <n v="0"/>
    <x v="0"/>
  </r>
  <r>
    <x v="21"/>
    <s v="Yahoo_BT_Auto_OMN_728x90_AR"/>
    <x v="1"/>
    <s v="Default"/>
    <s v="Gif"/>
    <n v="1"/>
    <n v="0"/>
    <n v="0"/>
    <x v="0"/>
  </r>
  <r>
    <x v="21"/>
    <s v="Yahoo_BT_Auto_OMN_728x90_AR"/>
    <x v="1"/>
    <s v="Default"/>
    <s v="Gif"/>
    <n v="1"/>
    <n v="0"/>
    <n v="0"/>
    <x v="0"/>
  </r>
  <r>
    <x v="21"/>
    <s v="Yahoo_BT_Auto_OMN_728x90_AR"/>
    <x v="1"/>
    <s v="Standard"/>
    <s v="Flash In-Page"/>
    <n v="2"/>
    <n v="0"/>
    <n v="0"/>
    <x v="0"/>
  </r>
  <r>
    <x v="21"/>
    <s v="Yahoo_BT_Auto_OMN_728x90_AR"/>
    <x v="1"/>
    <s v="Standard"/>
    <s v="Flash In-Page"/>
    <n v="2"/>
    <n v="0"/>
    <n v="0"/>
    <x v="0"/>
  </r>
  <r>
    <x v="21"/>
    <s v="Yahoo_BT_Auto_QAT_300x250_AR"/>
    <x v="0"/>
    <s v="Standard"/>
    <s v="Flash In-Page"/>
    <n v="1"/>
    <n v="0"/>
    <n v="0"/>
    <x v="0"/>
  </r>
  <r>
    <x v="21"/>
    <s v="Yahoo_BT_Auto_UAE_300x250_AR"/>
    <x v="0"/>
    <s v="Default"/>
    <s v="Gif"/>
    <n v="2"/>
    <n v="0"/>
    <n v="0"/>
    <x v="0"/>
  </r>
  <r>
    <x v="21"/>
    <s v="Yahoo_BT_Auto_UAE_300x250_AR"/>
    <x v="0"/>
    <s v="Default"/>
    <s v="Gif"/>
    <n v="3"/>
    <n v="0"/>
    <n v="0"/>
    <x v="0"/>
  </r>
  <r>
    <x v="21"/>
    <s v="Yahoo_BT_Auto_UAE_300x250_AR"/>
    <x v="0"/>
    <s v="Default"/>
    <s v="Gif"/>
    <n v="1"/>
    <n v="0"/>
    <n v="0"/>
    <x v="0"/>
  </r>
  <r>
    <x v="21"/>
    <s v="Yahoo_BT_Auto_UAE_300x600_EN"/>
    <x v="4"/>
    <s v="Standard"/>
    <s v="Flash In-Page"/>
    <n v="1"/>
    <n v="0"/>
    <n v="0"/>
    <x v="1"/>
  </r>
  <r>
    <x v="21"/>
    <s v="Yahoo_BT_Auto_UAE_300x600_EN"/>
    <x v="4"/>
    <s v="Standard"/>
    <s v="Flash In-Page"/>
    <n v="1"/>
    <n v="0"/>
    <n v="0"/>
    <x v="1"/>
  </r>
  <r>
    <x v="21"/>
    <s v="Yahoo_BT_Auto_UAE_728x90_AR"/>
    <x v="1"/>
    <s v="Default"/>
    <s v="Gif"/>
    <n v="1"/>
    <n v="0"/>
    <n v="0"/>
    <x v="0"/>
  </r>
  <r>
    <x v="21"/>
    <s v="Yahoo_BT_Auto_UAE_728x90_AR"/>
    <x v="1"/>
    <s v="Standard"/>
    <s v="Flash In-Page"/>
    <n v="1"/>
    <n v="0"/>
    <n v="0"/>
    <x v="0"/>
  </r>
  <r>
    <x v="21"/>
    <s v="Yahoo_BT_FocusST_300x250_KWT_AR"/>
    <x v="0"/>
    <s v="Standard"/>
    <s v="Rich Media In-Page Flash"/>
    <n v="1"/>
    <n v="0"/>
    <n v="0"/>
    <x v="0"/>
  </r>
  <r>
    <x v="21"/>
    <s v="Yahoo_BT_FocusST_300x250_OMN_AR"/>
    <x v="0"/>
    <s v="Standard"/>
    <s v="Rich Media In-Page Flash"/>
    <n v="1"/>
    <n v="0"/>
    <n v="0"/>
    <x v="0"/>
  </r>
  <r>
    <x v="21"/>
    <s v="Yahoo_BT_FocusST_300x250_OMN_AR"/>
    <x v="0"/>
    <s v="Standard"/>
    <s v="Rich Media In-Page Flash"/>
    <n v="2"/>
    <n v="0"/>
    <n v="0"/>
    <x v="0"/>
  </r>
  <r>
    <x v="21"/>
    <s v="Yahoo_BT_FocusST_300x250_OMN_AR"/>
    <x v="0"/>
    <s v="Standard"/>
    <s v="Rich Media In-Page Flash"/>
    <n v="1"/>
    <n v="0"/>
    <n v="0"/>
    <x v="0"/>
  </r>
  <r>
    <x v="21"/>
    <s v="Yahoo_BT_FocusST_728x270_KSA_EN"/>
    <x v="1"/>
    <s v="Default"/>
    <s v="Gif"/>
    <n v="2"/>
    <n v="0"/>
    <n v="0"/>
    <x v="1"/>
  </r>
  <r>
    <x v="21"/>
    <s v="Yahoo_BT_FocusST_728x270_OMN_AR"/>
    <x v="1"/>
    <s v="Standard"/>
    <s v="Rich Media Expandable"/>
    <n v="1"/>
    <n v="0"/>
    <n v="0"/>
    <x v="0"/>
  </r>
  <r>
    <x v="21"/>
    <s v="Yahoo_BT_FocusST_728x270_UAE_AR"/>
    <x v="1"/>
    <s v="Standard"/>
    <s v="Rich Media Expandable"/>
    <n v="1"/>
    <n v="0"/>
    <n v="0"/>
    <x v="0"/>
  </r>
  <r>
    <x v="21"/>
    <s v="Yahoo_BT_Focus_300x250DualZoneAC_QAT_EN"/>
    <x v="0"/>
    <s v="Standard"/>
    <s v="Rich Media In-Page Flash"/>
    <n v="1"/>
    <n v="0"/>
    <n v="0"/>
    <x v="1"/>
  </r>
  <r>
    <x v="21"/>
    <s v="Yahoo_BT_Focus_728x270Exp_APA_UAE_AR"/>
    <x v="1"/>
    <s v="Standard"/>
    <s v="Rich Media Expandable"/>
    <n v="1"/>
    <n v="0"/>
    <n v="0"/>
    <x v="0"/>
  </r>
  <r>
    <x v="21"/>
    <s v="Yahoo_BT_Focus_728x270Exp_APA_UAE_AR"/>
    <x v="1"/>
    <s v="Standard"/>
    <s v="Rich Media Expandable"/>
    <n v="1"/>
    <n v="0"/>
    <n v="0"/>
    <x v="0"/>
  </r>
  <r>
    <x v="21"/>
    <s v="Yahoo_BT_TECH_Exp_728x270_BHR_AR"/>
    <x v="1"/>
    <s v="Standard"/>
    <s v="Rich Media Expandable"/>
    <n v="1"/>
    <n v="1"/>
    <n v="1"/>
    <x v="0"/>
  </r>
  <r>
    <x v="21"/>
    <s v="Yahoo_BT_TECH_Exp_728x270_BHR_EN"/>
    <x v="1"/>
    <s v="Standard"/>
    <s v="Rich Media Expandable"/>
    <n v="1"/>
    <n v="1"/>
    <n v="1"/>
    <x v="1"/>
  </r>
  <r>
    <x v="21"/>
    <s v="Yahoo_BT_TECH_Exp_728x270_KSA_AR"/>
    <x v="1"/>
    <s v="Default"/>
    <s v="Gif"/>
    <n v="1"/>
    <n v="0"/>
    <n v="0"/>
    <x v="0"/>
  </r>
  <r>
    <x v="21"/>
    <s v="Yahoo_BT_TECH_Exp_728x270_KSA_AR"/>
    <x v="1"/>
    <s v="Standard"/>
    <s v="Rich Media Expandable"/>
    <n v="5"/>
    <n v="1"/>
    <n v="0.2"/>
    <x v="0"/>
  </r>
  <r>
    <x v="21"/>
    <s v="Yahoo_BT_TECH_Exp_728x270_KSA_AR"/>
    <x v="1"/>
    <s v="Standard"/>
    <s v="Rich Media Expandable"/>
    <n v="3"/>
    <n v="0"/>
    <n v="0"/>
    <x v="0"/>
  </r>
  <r>
    <x v="21"/>
    <s v="Yahoo_BT_TECH_Exp_728x270_KSA_AR"/>
    <x v="1"/>
    <s v="Standard"/>
    <s v="Rich Media Expandable"/>
    <n v="1"/>
    <n v="0"/>
    <n v="0"/>
    <x v="0"/>
  </r>
  <r>
    <x v="21"/>
    <s v="Yahoo_BT_TECH_Exp_728x270_KSA_AR"/>
    <x v="1"/>
    <s v="Standard"/>
    <s v="Rich Media Expandable"/>
    <n v="2"/>
    <n v="0"/>
    <n v="0"/>
    <x v="0"/>
  </r>
  <r>
    <x v="21"/>
    <s v="Yahoo_BT_TECH_Exp_728x270_KSA_EN"/>
    <x v="1"/>
    <s v="Default"/>
    <s v="Gif"/>
    <n v="7"/>
    <n v="0"/>
    <n v="0"/>
    <x v="1"/>
  </r>
  <r>
    <x v="21"/>
    <s v="Yahoo_BT_TECH_Exp_728x270_KSA_EN"/>
    <x v="1"/>
    <s v="Standard"/>
    <s v="Rich Media Expandable"/>
    <n v="2"/>
    <n v="0"/>
    <n v="0"/>
    <x v="1"/>
  </r>
  <r>
    <x v="21"/>
    <s v="Yahoo_BT_TECH_Exp_728x270_KSA_EN"/>
    <x v="1"/>
    <s v="Standard"/>
    <s v="Rich Media Expandable"/>
    <n v="1"/>
    <n v="0"/>
    <n v="0"/>
    <x v="1"/>
  </r>
  <r>
    <x v="21"/>
    <s v="Yahoo_BT_TECH_Exp_728x270_KSA_EN"/>
    <x v="1"/>
    <s v="Standard"/>
    <s v="Rich Media Expandable"/>
    <n v="1"/>
    <n v="0"/>
    <n v="0"/>
    <x v="1"/>
  </r>
  <r>
    <x v="21"/>
    <s v="Yahoo_BT_TECH_Exp_728x270_KWT_AR"/>
    <x v="1"/>
    <s v="Standard"/>
    <s v="Rich Media Expandable"/>
    <n v="1"/>
    <n v="1"/>
    <n v="1"/>
    <x v="0"/>
  </r>
  <r>
    <x v="21"/>
    <s v="Yahoo_BT_TECH_Exp_728x270_KWT_AR"/>
    <x v="1"/>
    <s v="Standard"/>
    <s v="Rich Media Expandable"/>
    <n v="1"/>
    <n v="0"/>
    <n v="0"/>
    <x v="0"/>
  </r>
  <r>
    <x v="21"/>
    <s v="Yahoo_BT_TECH_Exp_728x270_KWT_AR"/>
    <x v="1"/>
    <s v="Standard"/>
    <s v="Rich Media Expandable"/>
    <n v="1"/>
    <n v="0"/>
    <n v="0"/>
    <x v="0"/>
  </r>
  <r>
    <x v="21"/>
    <s v="Yahoo_BT_TECH_Exp_728x270_KWT_AR"/>
    <x v="1"/>
    <s v="Standard"/>
    <s v="Rich Media Expandable"/>
    <n v="1"/>
    <n v="0"/>
    <n v="0"/>
    <x v="0"/>
  </r>
  <r>
    <x v="21"/>
    <s v="Yahoo_BT_TECH_Exp_728x270_KWT_AR"/>
    <x v="1"/>
    <s v="Standard"/>
    <s v="Rich Media Expandable"/>
    <n v="2"/>
    <n v="0"/>
    <n v="0"/>
    <x v="0"/>
  </r>
  <r>
    <x v="21"/>
    <s v="Yahoo_BT_TECH_Exp_728x270_KWT_EN"/>
    <x v="1"/>
    <s v="Standard"/>
    <s v="Rich Media Expandable"/>
    <n v="1"/>
    <n v="0"/>
    <n v="0"/>
    <x v="1"/>
  </r>
  <r>
    <x v="21"/>
    <s v="Yahoo_BT_TECH_Exp_728x270_KWT_EN"/>
    <x v="1"/>
    <s v="Standard"/>
    <s v="Rich Media Expandable"/>
    <n v="3"/>
    <n v="0"/>
    <n v="0"/>
    <x v="1"/>
  </r>
  <r>
    <x v="21"/>
    <s v="Yahoo_BT_TECH_Exp_728x270_OMN_AR"/>
    <x v="1"/>
    <s v="Standard"/>
    <s v="Rich Media Expandable"/>
    <n v="1"/>
    <n v="0"/>
    <n v="0"/>
    <x v="0"/>
  </r>
  <r>
    <x v="21"/>
    <s v="Yahoo_BT_TECH_Exp_728x270_OMN_EN"/>
    <x v="1"/>
    <s v="Standard"/>
    <s v="Rich Media Expandable"/>
    <n v="1"/>
    <n v="1"/>
    <n v="1"/>
    <x v="1"/>
  </r>
  <r>
    <x v="21"/>
    <s v="Yahoo_BT_TECH_Exp_728x270_QAT_AR"/>
    <x v="1"/>
    <s v="Standard"/>
    <s v="Rich Media Expandable"/>
    <n v="1"/>
    <n v="0"/>
    <n v="0"/>
    <x v="0"/>
  </r>
  <r>
    <x v="21"/>
    <s v="Yahoo_BT_TECH_Exp_728x270_QAT_EN"/>
    <x v="1"/>
    <s v="Standard"/>
    <s v="Rich Media Expandable"/>
    <n v="1"/>
    <n v="1"/>
    <n v="1"/>
    <x v="1"/>
  </r>
  <r>
    <x v="21"/>
    <s v="Yahoo_BT_TECH_Exp_728x270_UAE_EN"/>
    <x v="1"/>
    <s v="Default"/>
    <s v="Gif"/>
    <n v="2"/>
    <n v="0"/>
    <n v="0"/>
    <x v="1"/>
  </r>
  <r>
    <x v="21"/>
    <s v="Yahoo_BT_TECH_Exp_728x270_UAE_EN"/>
    <x v="1"/>
    <s v="Standard"/>
    <s v="Rich Media Expandable"/>
    <n v="1"/>
    <n v="1"/>
    <n v="1"/>
    <x v="1"/>
  </r>
  <r>
    <x v="21"/>
    <s v="Yahoo_BT_TECH_Exp_728x270_UAE_EN"/>
    <x v="1"/>
    <s v="Standard"/>
    <s v="Rich Media Expandable"/>
    <n v="1"/>
    <n v="0"/>
    <n v="0"/>
    <x v="1"/>
  </r>
  <r>
    <x v="21"/>
    <s v="Yahoo_BT_TECH_Exp_728x270_UAE_EN"/>
    <x v="1"/>
    <s v="Standard"/>
    <s v="Rich Media Expandable"/>
    <n v="1"/>
    <n v="0"/>
    <n v="0"/>
    <x v="1"/>
  </r>
  <r>
    <x v="21"/>
    <s v="Yahoo_BT_TECH_Exp_728x270_UAE_EN"/>
    <x v="1"/>
    <s v="Standard"/>
    <s v="Rich Media Expandable"/>
    <n v="1"/>
    <n v="0"/>
    <n v="0"/>
    <x v="1"/>
  </r>
  <r>
    <x v="21"/>
    <s v="Yahoo_BT_TECH_Video_300x250_BHR_AR"/>
    <x v="0"/>
    <s v="Standard"/>
    <s v="Rich Media In-Page Flash"/>
    <n v="3"/>
    <n v="0"/>
    <n v="0"/>
    <x v="0"/>
  </r>
  <r>
    <x v="21"/>
    <s v="Yahoo_BT_TECH_Video_300x250_BHR_AR"/>
    <x v="0"/>
    <s v="Standard"/>
    <s v="Rich Media In-Page Flash"/>
    <n v="3"/>
    <n v="0"/>
    <n v="0"/>
    <x v="0"/>
  </r>
  <r>
    <x v="21"/>
    <s v="Yahoo_BT_TECH_Video_300x250_BHR_AR"/>
    <x v="0"/>
    <s v="Standard"/>
    <s v="Rich Media In-Page Flash"/>
    <n v="2"/>
    <n v="0"/>
    <n v="0"/>
    <x v="0"/>
  </r>
  <r>
    <x v="21"/>
    <s v="Yahoo_BT_TECH_Video_300x250_BHR_AR"/>
    <x v="0"/>
    <s v="Standard"/>
    <s v="Rich Media In-Page Flash"/>
    <n v="1"/>
    <n v="0"/>
    <n v="0"/>
    <x v="0"/>
  </r>
  <r>
    <x v="21"/>
    <s v="Yahoo_BT_TECH_Video_300x250_BHR_EN"/>
    <x v="0"/>
    <s v="Standard"/>
    <s v="Rich Media In-Page Flash"/>
    <n v="1"/>
    <n v="0"/>
    <n v="0"/>
    <x v="1"/>
  </r>
  <r>
    <x v="21"/>
    <s v="Yahoo_BT_TECH_Video_300x250_KSA_AR"/>
    <x v="0"/>
    <s v="Default"/>
    <s v="Gif"/>
    <n v="3"/>
    <n v="0"/>
    <n v="0"/>
    <x v="0"/>
  </r>
  <r>
    <x v="21"/>
    <s v="Yahoo_BT_TECH_Video_300x250_KSA_AR"/>
    <x v="0"/>
    <s v="Standard"/>
    <s v="Rich Media In-Page Flash"/>
    <n v="5"/>
    <n v="0"/>
    <n v="0"/>
    <x v="0"/>
  </r>
  <r>
    <x v="21"/>
    <s v="Yahoo_BT_TECH_Video_300x250_KSA_AR"/>
    <x v="0"/>
    <s v="Standard"/>
    <s v="Rich Media In-Page Flash"/>
    <n v="1"/>
    <n v="0"/>
    <n v="0"/>
    <x v="0"/>
  </r>
  <r>
    <x v="21"/>
    <s v="Yahoo_BT_TECH_Video_300x250_KSA_AR"/>
    <x v="0"/>
    <s v="Standard"/>
    <s v="Rich Media In-Page Flash"/>
    <n v="4"/>
    <n v="0"/>
    <n v="0"/>
    <x v="0"/>
  </r>
  <r>
    <x v="21"/>
    <s v="Yahoo_BT_TECH_Video_300x250_KSA_AR"/>
    <x v="0"/>
    <s v="Standard"/>
    <s v="Rich Media In-Page Flash"/>
    <n v="2"/>
    <n v="0"/>
    <n v="0"/>
    <x v="0"/>
  </r>
  <r>
    <x v="21"/>
    <s v="Yahoo_BT_TECH_Video_300x250_KSA_AR"/>
    <x v="0"/>
    <s v="Standard"/>
    <s v="Rich Media In-Page Flash"/>
    <n v="2"/>
    <n v="0"/>
    <n v="0"/>
    <x v="0"/>
  </r>
  <r>
    <x v="21"/>
    <s v="Yahoo_BT_TECH_Video_300x250_KSA_EN"/>
    <x v="0"/>
    <s v="Standard"/>
    <s v="Rich Media In-Page Flash"/>
    <n v="2"/>
    <n v="0"/>
    <n v="0"/>
    <x v="1"/>
  </r>
  <r>
    <x v="21"/>
    <s v="Yahoo_BT_TECH_Video_300x250_KSA_EN"/>
    <x v="0"/>
    <s v="Standard"/>
    <s v="Rich Media In-Page Flash"/>
    <n v="2"/>
    <n v="0"/>
    <n v="0"/>
    <x v="1"/>
  </r>
  <r>
    <x v="21"/>
    <s v="Yahoo_BT_TECH_Video_300x250_KWT_AR"/>
    <x v="0"/>
    <s v="Standard"/>
    <s v="Rich Media In-Page Flash"/>
    <n v="4"/>
    <n v="0"/>
    <n v="0"/>
    <x v="0"/>
  </r>
  <r>
    <x v="21"/>
    <s v="Yahoo_BT_TECH_Video_300x250_KWT_AR"/>
    <x v="0"/>
    <s v="Standard"/>
    <s v="Rich Media In-Page Flash"/>
    <n v="1"/>
    <n v="0"/>
    <n v="0"/>
    <x v="0"/>
  </r>
  <r>
    <x v="21"/>
    <s v="Yahoo_BT_TECH_Video_300x250_KWT_AR"/>
    <x v="0"/>
    <s v="Standard"/>
    <s v="Rich Media In-Page Flash"/>
    <n v="1"/>
    <n v="0"/>
    <n v="0"/>
    <x v="0"/>
  </r>
  <r>
    <x v="21"/>
    <s v="Yahoo_BT_TECH_Video_300x250_KWT_EN"/>
    <x v="0"/>
    <s v="Standard"/>
    <s v="Rich Media In-Page Flash"/>
    <n v="1"/>
    <n v="0"/>
    <n v="0"/>
    <x v="1"/>
  </r>
  <r>
    <x v="21"/>
    <s v="Yahoo_BT_TECH_Video_300x250_OMN_AR"/>
    <x v="0"/>
    <s v="Standard"/>
    <s v="Rich Media In-Page Flash"/>
    <n v="2"/>
    <n v="0"/>
    <n v="0"/>
    <x v="0"/>
  </r>
  <r>
    <x v="21"/>
    <s v="Yahoo_BT_TECH_Video_300x250_OMN_AR"/>
    <x v="0"/>
    <s v="Standard"/>
    <s v="Rich Media In-Page Flash"/>
    <n v="1"/>
    <n v="0"/>
    <n v="0"/>
    <x v="0"/>
  </r>
  <r>
    <x v="21"/>
    <s v="Yahoo_BT_TECH_Video_300x250_OMN_EN"/>
    <x v="0"/>
    <s v="Default"/>
    <s v="Gif"/>
    <n v="1"/>
    <n v="0"/>
    <n v="0"/>
    <x v="1"/>
  </r>
  <r>
    <x v="21"/>
    <s v="Yahoo_BT_TECH_Video_300x250_OMN_EN"/>
    <x v="0"/>
    <s v="Standard"/>
    <s v="Rich Media In-Page Flash"/>
    <n v="2"/>
    <n v="1"/>
    <n v="0.5"/>
    <x v="1"/>
  </r>
  <r>
    <x v="21"/>
    <s v="Yahoo_BT_TECH_Video_300x250_QAT_AR"/>
    <x v="0"/>
    <s v="Default"/>
    <s v="Gif"/>
    <n v="1"/>
    <n v="0"/>
    <n v="0"/>
    <x v="0"/>
  </r>
  <r>
    <x v="21"/>
    <s v="Yahoo_BT_TECH_Video_300x250_QAT_AR"/>
    <x v="0"/>
    <s v="Default"/>
    <s v="Gif"/>
    <n v="1"/>
    <n v="0"/>
    <n v="0"/>
    <x v="0"/>
  </r>
  <r>
    <x v="21"/>
    <s v="Yahoo_BT_TECH_Video_300x250_QAT_AR"/>
    <x v="0"/>
    <s v="Standard"/>
    <s v="Rich Media In-Page Flash"/>
    <n v="1"/>
    <n v="1"/>
    <n v="1"/>
    <x v="0"/>
  </r>
  <r>
    <x v="21"/>
    <s v="Yahoo_BT_TECH_Video_300x250_QAT_EN"/>
    <x v="0"/>
    <s v="Standard"/>
    <s v="Rich Media In-Page Flash"/>
    <n v="1"/>
    <n v="1"/>
    <n v="1"/>
    <x v="1"/>
  </r>
  <r>
    <x v="21"/>
    <s v="Yahoo_BT_TECH_Video_300x250_QAT_EN"/>
    <x v="0"/>
    <s v="Standard"/>
    <s v="Rich Media In-Page Flash"/>
    <n v="1"/>
    <n v="0"/>
    <n v="0"/>
    <x v="1"/>
  </r>
  <r>
    <x v="21"/>
    <s v="Yahoo_BT_TECH_Video_300x250_QAT_EN"/>
    <x v="0"/>
    <s v="Standard"/>
    <s v="Rich Media In-Page Flash"/>
    <n v="1"/>
    <n v="0"/>
    <n v="0"/>
    <x v="1"/>
  </r>
  <r>
    <x v="21"/>
    <s v="Yahoo_BT_TECH_Video_300x250_UAE_AR"/>
    <x v="0"/>
    <s v="Standard"/>
    <s v="Rich Media In-Page Flash"/>
    <n v="15"/>
    <n v="0"/>
    <n v="0"/>
    <x v="0"/>
  </r>
  <r>
    <x v="21"/>
    <s v="Yahoo_BT_TECH_Video_300x250_UAE_AR"/>
    <x v="0"/>
    <s v="Standard"/>
    <s v="Rich Media In-Page Flash"/>
    <n v="2"/>
    <n v="0"/>
    <n v="0"/>
    <x v="0"/>
  </r>
  <r>
    <x v="21"/>
    <s v="Yahoo_BT_TECH_Video_300x250_UAE_AR"/>
    <x v="0"/>
    <s v="Standard"/>
    <s v="Rich Media In-Page Flash"/>
    <n v="4"/>
    <n v="0"/>
    <n v="0"/>
    <x v="0"/>
  </r>
  <r>
    <x v="21"/>
    <s v="Yahoo_BT_TECH_Video_300x250_UAE_AR"/>
    <x v="0"/>
    <s v="Standard"/>
    <s v="Rich Media In-Page Flash"/>
    <n v="12"/>
    <n v="0"/>
    <n v="0"/>
    <x v="0"/>
  </r>
  <r>
    <x v="21"/>
    <s v="Yahoo_BT_TECH_Video_300x250_UAE_AR"/>
    <x v="0"/>
    <s v="Standard"/>
    <s v="Rich Media In-Page Flash"/>
    <n v="4"/>
    <n v="0"/>
    <n v="0"/>
    <x v="0"/>
  </r>
  <r>
    <x v="21"/>
    <s v="Yahoo_BT_TECH_Video_300x250_UAE_EN"/>
    <x v="0"/>
    <s v="Standard"/>
    <s v="Rich Media In-Page Flash"/>
    <n v="1"/>
    <n v="1"/>
    <n v="1"/>
    <x v="1"/>
  </r>
  <r>
    <x v="21"/>
    <s v="Yahoo_BT_TECH_Video_300x250_UAE_EN"/>
    <x v="0"/>
    <s v="Standard"/>
    <s v="Rich Media In-Page Flash"/>
    <n v="1"/>
    <n v="0"/>
    <n v="0"/>
    <x v="1"/>
  </r>
  <r>
    <x v="21"/>
    <s v="Yahoo_Business_300x250_BHR_AR"/>
    <x v="0"/>
    <s v="Standard"/>
    <s v="Flash In-Page"/>
    <n v="735"/>
    <n v="5"/>
    <n v="6.8027210884353739E-3"/>
    <x v="0"/>
  </r>
  <r>
    <x v="21"/>
    <s v="Yahoo_Business_300x250_BHR_AR"/>
    <x v="0"/>
    <s v="Standard"/>
    <s v="Flash In-Page"/>
    <n v="2521"/>
    <n v="6"/>
    <n v="2.3800079333597779E-3"/>
    <x v="0"/>
  </r>
  <r>
    <x v="21"/>
    <s v="Yahoo_Business_300x250_BHR_AR"/>
    <x v="0"/>
    <s v="Standard"/>
    <s v="Flash In-Page"/>
    <n v="5203"/>
    <n v="9"/>
    <n v="1.7297712857966558E-3"/>
    <x v="0"/>
  </r>
  <r>
    <x v="21"/>
    <s v="Yahoo_Business_300x250_BHR_AR"/>
    <x v="0"/>
    <s v="Standard"/>
    <s v="Flash In-Page"/>
    <n v="7685"/>
    <n v="11"/>
    <n v="1.431359791802212E-3"/>
    <x v="0"/>
  </r>
  <r>
    <x v="21"/>
    <s v="Yahoo_Business_300x250_BHR_AR"/>
    <x v="0"/>
    <s v="Standard"/>
    <s v="Flash In-Page"/>
    <n v="4545"/>
    <n v="2"/>
    <n v="4.4004400440044003E-4"/>
    <x v="0"/>
  </r>
  <r>
    <x v="21"/>
    <s v="Yahoo_Business_300x250_BHR_EN"/>
    <x v="0"/>
    <s v="Standard"/>
    <s v="Flash In-Page"/>
    <n v="1161"/>
    <n v="8"/>
    <n v="6.8906115417743325E-3"/>
    <x v="1"/>
  </r>
  <r>
    <x v="21"/>
    <s v="Yahoo_Business_300x250_BHR_EN"/>
    <x v="0"/>
    <s v="Standard"/>
    <s v="Flash In-Page"/>
    <n v="4568"/>
    <n v="8"/>
    <n v="1.7513134851138354E-3"/>
    <x v="1"/>
  </r>
  <r>
    <x v="21"/>
    <s v="Yahoo_Business_300x250_BHR_EN"/>
    <x v="0"/>
    <s v="Standard"/>
    <s v="Flash In-Page"/>
    <n v="1889"/>
    <n v="4"/>
    <n v="2.1175224986765486E-3"/>
    <x v="1"/>
  </r>
  <r>
    <x v="21"/>
    <s v="Yahoo_Business_300x250_BHR_EN"/>
    <x v="0"/>
    <s v="Standard"/>
    <s v="Flash In-Page"/>
    <n v="5"/>
    <n v="3"/>
    <n v="0.6"/>
    <x v="1"/>
  </r>
  <r>
    <x v="21"/>
    <s v="Yahoo_Business_300x250_BHR_EN"/>
    <x v="0"/>
    <s v="Standard"/>
    <s v="Flash In-Page"/>
    <n v="3605"/>
    <n v="1"/>
    <n v="2.7739251040221914E-4"/>
    <x v="1"/>
  </r>
  <r>
    <x v="21"/>
    <s v="Yahoo_Business_300x250_KSA_AR"/>
    <x v="0"/>
    <s v="Default"/>
    <s v="Gif"/>
    <n v="13"/>
    <n v="0"/>
    <n v="0"/>
    <x v="0"/>
  </r>
  <r>
    <x v="21"/>
    <s v="Yahoo_Business_300x250_KSA_AR"/>
    <x v="0"/>
    <s v="Default"/>
    <s v="Gif"/>
    <n v="47"/>
    <n v="0"/>
    <n v="0"/>
    <x v="0"/>
  </r>
  <r>
    <x v="21"/>
    <s v="Yahoo_Business_300x250_KSA_AR"/>
    <x v="0"/>
    <s v="Default"/>
    <s v="Gif"/>
    <n v="39"/>
    <n v="0"/>
    <n v="0"/>
    <x v="0"/>
  </r>
  <r>
    <x v="21"/>
    <s v="Yahoo_Business_300x250_KSA_AR"/>
    <x v="0"/>
    <s v="Default"/>
    <s v="Gif"/>
    <n v="31"/>
    <n v="0"/>
    <n v="0"/>
    <x v="0"/>
  </r>
  <r>
    <x v="21"/>
    <s v="Yahoo_Business_300x250_KSA_AR"/>
    <x v="0"/>
    <s v="Default"/>
    <s v="Gif"/>
    <n v="38"/>
    <n v="0"/>
    <n v="0"/>
    <x v="0"/>
  </r>
  <r>
    <x v="21"/>
    <s v="Yahoo_Business_300x250_KSA_AR"/>
    <x v="0"/>
    <s v="Standard"/>
    <s v="Flash In-Page"/>
    <n v="11457"/>
    <n v="15"/>
    <n v="1.3092432573972245E-3"/>
    <x v="0"/>
  </r>
  <r>
    <x v="21"/>
    <s v="Yahoo_Business_300x250_KSA_AR"/>
    <x v="0"/>
    <s v="Standard"/>
    <s v="Flash In-Page"/>
    <n v="20057"/>
    <n v="30"/>
    <n v="1.4957371491249938E-3"/>
    <x v="0"/>
  </r>
  <r>
    <x v="21"/>
    <s v="Yahoo_Business_300x250_KSA_AR"/>
    <x v="0"/>
    <s v="Standard"/>
    <s v="Flash In-Page"/>
    <n v="17860"/>
    <n v="24"/>
    <n v="1.3437849944008958E-3"/>
    <x v="0"/>
  </r>
  <r>
    <x v="21"/>
    <s v="Yahoo_Business_300x250_KSA_AR"/>
    <x v="0"/>
    <s v="Standard"/>
    <s v="Flash In-Page"/>
    <n v="17533"/>
    <n v="23"/>
    <n v="1.3118120116352022E-3"/>
    <x v="0"/>
  </r>
  <r>
    <x v="21"/>
    <s v="Yahoo_Business_300x250_KSA_AR"/>
    <x v="0"/>
    <s v="Standard"/>
    <s v="Flash In-Page"/>
    <n v="18633"/>
    <n v="26"/>
    <n v="1.3953737991735094E-3"/>
    <x v="0"/>
  </r>
  <r>
    <x v="21"/>
    <s v="Yahoo_Business_300x250_KSA_EN"/>
    <x v="0"/>
    <s v="Default"/>
    <s v="Gif"/>
    <n v="23"/>
    <n v="0"/>
    <n v="0"/>
    <x v="1"/>
  </r>
  <r>
    <x v="21"/>
    <s v="Yahoo_Business_300x250_KSA_EN"/>
    <x v="0"/>
    <s v="Default"/>
    <s v="Gif"/>
    <n v="36"/>
    <n v="0"/>
    <n v="0"/>
    <x v="1"/>
  </r>
  <r>
    <x v="21"/>
    <s v="Yahoo_Business_300x250_KSA_EN"/>
    <x v="0"/>
    <s v="Default"/>
    <s v="Gif"/>
    <n v="19"/>
    <n v="0"/>
    <n v="0"/>
    <x v="1"/>
  </r>
  <r>
    <x v="21"/>
    <s v="Yahoo_Business_300x250_KSA_EN"/>
    <x v="0"/>
    <s v="Default"/>
    <s v="Gif"/>
    <n v="19"/>
    <n v="0"/>
    <n v="0"/>
    <x v="1"/>
  </r>
  <r>
    <x v="21"/>
    <s v="Yahoo_Business_300x250_KSA_EN"/>
    <x v="0"/>
    <s v="Default"/>
    <s v="Gif"/>
    <n v="29"/>
    <n v="0"/>
    <n v="0"/>
    <x v="1"/>
  </r>
  <r>
    <x v="21"/>
    <s v="Yahoo_Business_300x250_KSA_EN"/>
    <x v="0"/>
    <s v="Standard"/>
    <s v="Flash In-Page"/>
    <n v="5825"/>
    <n v="62"/>
    <n v="1.0643776824034334E-2"/>
    <x v="1"/>
  </r>
  <r>
    <x v="21"/>
    <s v="Yahoo_Business_300x250_KSA_EN"/>
    <x v="0"/>
    <s v="Standard"/>
    <s v="Flash In-Page"/>
    <n v="10533"/>
    <n v="106"/>
    <n v="1.0063609607898984E-2"/>
    <x v="1"/>
  </r>
  <r>
    <x v="21"/>
    <s v="Yahoo_Business_300x250_KSA_EN"/>
    <x v="0"/>
    <s v="Standard"/>
    <s v="Flash In-Page"/>
    <n v="8749"/>
    <n v="89"/>
    <n v="1.017259115327466E-2"/>
    <x v="1"/>
  </r>
  <r>
    <x v="21"/>
    <s v="Yahoo_Business_300x250_KSA_EN"/>
    <x v="0"/>
    <s v="Standard"/>
    <s v="Flash In-Page"/>
    <n v="6305"/>
    <n v="41"/>
    <n v="6.5027755749405237E-3"/>
    <x v="1"/>
  </r>
  <r>
    <x v="21"/>
    <s v="Yahoo_Business_300x250_KSA_EN"/>
    <x v="0"/>
    <s v="Standard"/>
    <s v="Flash In-Page"/>
    <n v="8670"/>
    <n v="56"/>
    <n v="6.4590542099192622E-3"/>
    <x v="1"/>
  </r>
  <r>
    <x v="21"/>
    <s v="Yahoo_Business_300x250_KWT_AR"/>
    <x v="0"/>
    <s v="Default"/>
    <s v="Gif"/>
    <n v="7"/>
    <n v="0"/>
    <n v="0"/>
    <x v="0"/>
  </r>
  <r>
    <x v="21"/>
    <s v="Yahoo_Business_300x250_KWT_AR"/>
    <x v="0"/>
    <s v="Default"/>
    <s v="Gif"/>
    <n v="4"/>
    <n v="0"/>
    <n v="0"/>
    <x v="0"/>
  </r>
  <r>
    <x v="21"/>
    <s v="Yahoo_Business_300x250_KWT_AR"/>
    <x v="0"/>
    <s v="Default"/>
    <s v="Gif"/>
    <n v="2"/>
    <n v="0"/>
    <n v="0"/>
    <x v="0"/>
  </r>
  <r>
    <x v="21"/>
    <s v="Yahoo_Business_300x250_KWT_AR"/>
    <x v="0"/>
    <s v="Standard"/>
    <s v="Flash In-Page"/>
    <n v="1095"/>
    <n v="4"/>
    <n v="3.6529680365296802E-3"/>
    <x v="0"/>
  </r>
  <r>
    <x v="21"/>
    <s v="Yahoo_Business_300x250_KWT_AR"/>
    <x v="0"/>
    <s v="Standard"/>
    <s v="Flash In-Page"/>
    <n v="1037"/>
    <n v="6"/>
    <n v="5.7859209257473485E-3"/>
    <x v="0"/>
  </r>
  <r>
    <x v="21"/>
    <s v="Yahoo_Business_300x250_KWT_AR"/>
    <x v="0"/>
    <s v="Standard"/>
    <s v="Flash In-Page"/>
    <n v="3207"/>
    <n v="7"/>
    <n v="2.1827252884315559E-3"/>
    <x v="0"/>
  </r>
  <r>
    <x v="21"/>
    <s v="Yahoo_Business_300x250_KWT_AR"/>
    <x v="0"/>
    <s v="Standard"/>
    <s v="Flash In-Page"/>
    <n v="3870"/>
    <n v="4"/>
    <n v="1.0335917312661498E-3"/>
    <x v="0"/>
  </r>
  <r>
    <x v="21"/>
    <s v="Yahoo_Business_300x250_KWT_AR"/>
    <x v="0"/>
    <s v="Standard"/>
    <s v="Flash In-Page"/>
    <n v="3052"/>
    <n v="3"/>
    <n v="9.8296199213630396E-4"/>
    <x v="0"/>
  </r>
  <r>
    <x v="21"/>
    <s v="Yahoo_Business_300x250_KWT_EN"/>
    <x v="0"/>
    <s v="Default"/>
    <s v="Gif"/>
    <n v="4"/>
    <n v="0"/>
    <n v="0"/>
    <x v="1"/>
  </r>
  <r>
    <x v="21"/>
    <s v="Yahoo_Business_300x250_KWT_EN"/>
    <x v="0"/>
    <s v="Default"/>
    <s v="Gif"/>
    <n v="5"/>
    <n v="0"/>
    <n v="0"/>
    <x v="1"/>
  </r>
  <r>
    <x v="21"/>
    <s v="Yahoo_Business_300x250_KWT_EN"/>
    <x v="0"/>
    <s v="Default"/>
    <s v="Gif"/>
    <n v="7"/>
    <n v="0"/>
    <n v="0"/>
    <x v="1"/>
  </r>
  <r>
    <x v="21"/>
    <s v="Yahoo_Business_300x250_KWT_EN"/>
    <x v="0"/>
    <s v="Default"/>
    <s v="Gif"/>
    <n v="11"/>
    <n v="0"/>
    <n v="0"/>
    <x v="1"/>
  </r>
  <r>
    <x v="21"/>
    <s v="Yahoo_Business_300x250_KWT_EN"/>
    <x v="0"/>
    <s v="Default"/>
    <s v="Gif"/>
    <n v="2"/>
    <n v="0"/>
    <n v="0"/>
    <x v="1"/>
  </r>
  <r>
    <x v="21"/>
    <s v="Yahoo_Business_300x250_KWT_EN"/>
    <x v="0"/>
    <s v="Standard"/>
    <s v="Flash In-Page"/>
    <n v="1553"/>
    <n v="9"/>
    <n v="5.7952350289761749E-3"/>
    <x v="1"/>
  </r>
  <r>
    <x v="21"/>
    <s v="Yahoo_Business_300x250_KWT_EN"/>
    <x v="0"/>
    <s v="Standard"/>
    <s v="Flash In-Page"/>
    <n v="2634"/>
    <n v="15"/>
    <n v="5.6947608200455585E-3"/>
    <x v="1"/>
  </r>
  <r>
    <x v="21"/>
    <s v="Yahoo_Business_300x250_KWT_EN"/>
    <x v="0"/>
    <s v="Standard"/>
    <s v="Flash In-Page"/>
    <n v="3107"/>
    <n v="23"/>
    <n v="7.402639201802382E-3"/>
    <x v="1"/>
  </r>
  <r>
    <x v="21"/>
    <s v="Yahoo_Business_300x250_KWT_EN"/>
    <x v="0"/>
    <s v="Standard"/>
    <s v="Flash In-Page"/>
    <n v="3106"/>
    <n v="20"/>
    <n v="6.4391500321957498E-3"/>
    <x v="1"/>
  </r>
  <r>
    <x v="21"/>
    <s v="Yahoo_Business_300x250_KWT_EN"/>
    <x v="0"/>
    <s v="Standard"/>
    <s v="Flash In-Page"/>
    <n v="1631"/>
    <n v="12"/>
    <n v="7.357449417535254E-3"/>
    <x v="1"/>
  </r>
  <r>
    <x v="21"/>
    <s v="Yahoo_Business_300x250_OMN_AR"/>
    <x v="0"/>
    <s v="Default"/>
    <s v="Gif"/>
    <n v="3"/>
    <n v="0"/>
    <n v="0"/>
    <x v="0"/>
  </r>
  <r>
    <x v="21"/>
    <s v="Yahoo_Business_300x250_OMN_AR"/>
    <x v="0"/>
    <s v="Default"/>
    <s v="Gif"/>
    <n v="2"/>
    <n v="0"/>
    <n v="0"/>
    <x v="0"/>
  </r>
  <r>
    <x v="21"/>
    <s v="Yahoo_Business_300x250_OMN_AR"/>
    <x v="0"/>
    <s v="Standard"/>
    <s v="Flash In-Page"/>
    <n v="753"/>
    <n v="6"/>
    <n v="7.9681274900398405E-3"/>
    <x v="0"/>
  </r>
  <r>
    <x v="21"/>
    <s v="Yahoo_Business_300x250_OMN_AR"/>
    <x v="0"/>
    <s v="Standard"/>
    <s v="Flash In-Page"/>
    <n v="4193"/>
    <n v="8"/>
    <n v="1.9079418077748629E-3"/>
    <x v="0"/>
  </r>
  <r>
    <x v="21"/>
    <s v="Yahoo_Business_300x250_OMN_AR"/>
    <x v="0"/>
    <s v="Standard"/>
    <s v="Flash In-Page"/>
    <n v="3607"/>
    <n v="3"/>
    <n v="8.3171610756861659E-4"/>
    <x v="0"/>
  </r>
  <r>
    <x v="21"/>
    <s v="Yahoo_Business_300x250_OMN_AR"/>
    <x v="0"/>
    <s v="Standard"/>
    <s v="Flash In-Page"/>
    <n v="3000"/>
    <n v="4"/>
    <n v="1.3333333333333333E-3"/>
    <x v="0"/>
  </r>
  <r>
    <x v="21"/>
    <s v="Yahoo_Business_300x250_OMN_AR"/>
    <x v="0"/>
    <s v="Standard"/>
    <s v="Flash In-Page"/>
    <n v="1139"/>
    <n v="0"/>
    <n v="0"/>
    <x v="0"/>
  </r>
  <r>
    <x v="21"/>
    <s v="Yahoo_Business_300x250_OMN_EN"/>
    <x v="0"/>
    <s v="Default"/>
    <s v="Gif"/>
    <n v="1"/>
    <n v="0"/>
    <n v="0"/>
    <x v="1"/>
  </r>
  <r>
    <x v="21"/>
    <s v="Yahoo_Business_300x250_OMN_EN"/>
    <x v="0"/>
    <s v="Default"/>
    <s v="Gif"/>
    <n v="1"/>
    <n v="0"/>
    <n v="0"/>
    <x v="1"/>
  </r>
  <r>
    <x v="21"/>
    <s v="Yahoo_Business_300x250_OMN_EN"/>
    <x v="0"/>
    <s v="Default"/>
    <s v="Gif"/>
    <n v="2"/>
    <n v="0"/>
    <n v="0"/>
    <x v="1"/>
  </r>
  <r>
    <x v="21"/>
    <s v="Yahoo_Business_300x250_OMN_EN"/>
    <x v="0"/>
    <s v="Standard"/>
    <s v="Flash In-Page"/>
    <n v="706"/>
    <n v="5"/>
    <n v="7.0821529745042494E-3"/>
    <x v="1"/>
  </r>
  <r>
    <x v="21"/>
    <s v="Yahoo_Business_300x250_OMN_EN"/>
    <x v="0"/>
    <s v="Standard"/>
    <s v="Flash In-Page"/>
    <n v="1719"/>
    <n v="13"/>
    <n v="7.5625363583478765E-3"/>
    <x v="1"/>
  </r>
  <r>
    <x v="21"/>
    <s v="Yahoo_Business_300x250_OMN_EN"/>
    <x v="0"/>
    <s v="Standard"/>
    <s v="Flash In-Page"/>
    <n v="1611"/>
    <n v="3"/>
    <n v="1.8621973929236499E-3"/>
    <x v="1"/>
  </r>
  <r>
    <x v="21"/>
    <s v="Yahoo_Business_300x250_OMN_EN"/>
    <x v="0"/>
    <s v="Standard"/>
    <s v="Flash In-Page"/>
    <n v="1550"/>
    <n v="18"/>
    <n v="1.1612903225806452E-2"/>
    <x v="1"/>
  </r>
  <r>
    <x v="21"/>
    <s v="Yahoo_Business_300x250_OMN_EN"/>
    <x v="0"/>
    <s v="Standard"/>
    <s v="Flash In-Page"/>
    <n v="1679"/>
    <n v="11"/>
    <n v="6.5515187611673619E-3"/>
    <x v="1"/>
  </r>
  <r>
    <x v="21"/>
    <s v="Yahoo_Business_300x250_OMN_EN"/>
    <x v="0"/>
    <s v="Standard"/>
    <s v="Flash In-Page"/>
    <n v="671"/>
    <n v="3"/>
    <n v="4.4709388971684054E-3"/>
    <x v="1"/>
  </r>
  <r>
    <x v="21"/>
    <s v="Yahoo_Business_300x250_OMN_EN"/>
    <x v="0"/>
    <s v="Standard"/>
    <s v="Flash In-Page"/>
    <n v="1708"/>
    <n v="7"/>
    <n v="4.0983606557377051E-3"/>
    <x v="1"/>
  </r>
  <r>
    <x v="21"/>
    <s v="Yahoo_Business_300x250_OMN_EN"/>
    <x v="0"/>
    <s v="Standard"/>
    <s v="Flash In-Page"/>
    <n v="1591"/>
    <n v="16"/>
    <n v="1.005656819610308E-2"/>
    <x v="1"/>
  </r>
  <r>
    <x v="21"/>
    <s v="Yahoo_Business_300x250_OMN_EN"/>
    <x v="0"/>
    <s v="Standard"/>
    <s v="Flash In-Page"/>
    <n v="1559"/>
    <n v="14"/>
    <n v="8.9801154586273257E-3"/>
    <x v="1"/>
  </r>
  <r>
    <x v="21"/>
    <s v="Yahoo_Business_300x250_OMN_EN"/>
    <x v="0"/>
    <s v="Standard"/>
    <s v="Flash In-Page"/>
    <n v="1673"/>
    <n v="8"/>
    <n v="4.781829049611476E-3"/>
    <x v="1"/>
  </r>
  <r>
    <x v="21"/>
    <s v="Yahoo_Business_300x250_QAT_AR"/>
    <x v="0"/>
    <s v="Default"/>
    <s v="Gif"/>
    <n v="2"/>
    <n v="0"/>
    <n v="0"/>
    <x v="0"/>
  </r>
  <r>
    <x v="21"/>
    <s v="Yahoo_Business_300x250_QAT_AR"/>
    <x v="0"/>
    <s v="Default"/>
    <s v="Gif"/>
    <n v="3"/>
    <n v="0"/>
    <n v="0"/>
    <x v="0"/>
  </r>
  <r>
    <x v="21"/>
    <s v="Yahoo_Business_300x250_QAT_AR"/>
    <x v="0"/>
    <s v="Default"/>
    <s v="Gif"/>
    <n v="1"/>
    <n v="0"/>
    <n v="0"/>
    <x v="0"/>
  </r>
  <r>
    <x v="21"/>
    <s v="Yahoo_Business_300x250_QAT_AR"/>
    <x v="0"/>
    <s v="Standard"/>
    <s v="Flash In-Page"/>
    <n v="1258"/>
    <n v="6"/>
    <n v="4.7694753577106515E-3"/>
    <x v="0"/>
  </r>
  <r>
    <x v="21"/>
    <s v="Yahoo_Business_300x250_QAT_AR"/>
    <x v="0"/>
    <s v="Standard"/>
    <s v="Flash In-Page"/>
    <n v="2521"/>
    <n v="9"/>
    <n v="3.5700119000396666E-3"/>
    <x v="0"/>
  </r>
  <r>
    <x v="21"/>
    <s v="Yahoo_Business_300x250_QAT_AR"/>
    <x v="0"/>
    <s v="Standard"/>
    <s v="Flash In-Page"/>
    <n v="2959"/>
    <n v="6"/>
    <n v="2.0277120648867861E-3"/>
    <x v="0"/>
  </r>
  <r>
    <x v="21"/>
    <s v="Yahoo_Business_300x250_QAT_AR"/>
    <x v="0"/>
    <s v="Standard"/>
    <s v="Flash In-Page"/>
    <n v="1794"/>
    <n v="6"/>
    <n v="3.3444816053511705E-3"/>
    <x v="0"/>
  </r>
  <r>
    <x v="21"/>
    <s v="Yahoo_Business_300x250_QAT_AR"/>
    <x v="0"/>
    <s v="Standard"/>
    <s v="Flash In-Page"/>
    <n v="1093"/>
    <n v="0"/>
    <n v="0"/>
    <x v="0"/>
  </r>
  <r>
    <x v="21"/>
    <s v="Yahoo_Business_300x250_QAT_EN"/>
    <x v="0"/>
    <s v="Default"/>
    <s v="Gif"/>
    <n v="1"/>
    <n v="0"/>
    <n v="0"/>
    <x v="1"/>
  </r>
  <r>
    <x v="21"/>
    <s v="Yahoo_Business_300x250_QAT_EN"/>
    <x v="0"/>
    <s v="Default"/>
    <s v="Gif"/>
    <n v="2"/>
    <n v="0"/>
    <n v="0"/>
    <x v="1"/>
  </r>
  <r>
    <x v="21"/>
    <s v="Yahoo_Business_300x250_QAT_EN"/>
    <x v="0"/>
    <s v="Default"/>
    <s v="Gif"/>
    <n v="2"/>
    <n v="0"/>
    <n v="0"/>
    <x v="1"/>
  </r>
  <r>
    <x v="21"/>
    <s v="Yahoo_Business_300x250_QAT_EN"/>
    <x v="0"/>
    <s v="Standard"/>
    <s v="Flash In-Page"/>
    <n v="1673"/>
    <n v="12"/>
    <n v="7.1727435744172148E-3"/>
    <x v="1"/>
  </r>
  <r>
    <x v="21"/>
    <s v="Yahoo_Business_300x250_QAT_EN"/>
    <x v="0"/>
    <s v="Standard"/>
    <s v="Flash In-Page"/>
    <n v="2555"/>
    <n v="13"/>
    <n v="5.0880626223091981E-3"/>
    <x v="1"/>
  </r>
  <r>
    <x v="21"/>
    <s v="Yahoo_Business_300x250_QAT_EN"/>
    <x v="0"/>
    <s v="Standard"/>
    <s v="Flash In-Page"/>
    <n v="2488"/>
    <n v="22"/>
    <n v="8.8424437299035371E-3"/>
    <x v="1"/>
  </r>
  <r>
    <x v="21"/>
    <s v="Yahoo_Business_300x250_QAT_EN"/>
    <x v="0"/>
    <s v="Standard"/>
    <s v="Flash In-Page"/>
    <n v="3039"/>
    <n v="9"/>
    <n v="2.9615004935834156E-3"/>
    <x v="1"/>
  </r>
  <r>
    <x v="21"/>
    <s v="Yahoo_Business_300x250_QAT_EN"/>
    <x v="0"/>
    <s v="Standard"/>
    <s v="Flash In-Page"/>
    <n v="1589"/>
    <n v="6"/>
    <n v="3.775959723096287E-3"/>
    <x v="1"/>
  </r>
  <r>
    <x v="21"/>
    <s v="Yahoo_Business_300x250_UAE_AR"/>
    <x v="0"/>
    <s v="Default"/>
    <s v="Gif"/>
    <n v="1"/>
    <n v="0"/>
    <n v="0"/>
    <x v="0"/>
  </r>
  <r>
    <x v="21"/>
    <s v="Yahoo_Business_300x250_UAE_AR"/>
    <x v="0"/>
    <s v="Standard"/>
    <s v="Flash In-Page"/>
    <n v="2994"/>
    <n v="6"/>
    <n v="2.004008016032064E-3"/>
    <x v="0"/>
  </r>
  <r>
    <x v="21"/>
    <s v="Yahoo_Business_300x250_UAE_AR"/>
    <x v="0"/>
    <s v="Standard"/>
    <s v="Flash In-Page"/>
    <n v="4698"/>
    <n v="12"/>
    <n v="2.554278416347382E-3"/>
    <x v="0"/>
  </r>
  <r>
    <x v="21"/>
    <s v="Yahoo_Business_300x250_UAE_AR"/>
    <x v="0"/>
    <s v="Standard"/>
    <s v="Flash In-Page"/>
    <n v="3815"/>
    <n v="8"/>
    <n v="2.0969855832241153E-3"/>
    <x v="0"/>
  </r>
  <r>
    <x v="21"/>
    <s v="Yahoo_Business_300x250_UAE_AR"/>
    <x v="0"/>
    <s v="Standard"/>
    <s v="Flash In-Page"/>
    <n v="2573"/>
    <n v="5"/>
    <n v="1.94325689856199E-3"/>
    <x v="0"/>
  </r>
  <r>
    <x v="21"/>
    <s v="Yahoo_Business_300x250_UAE_AR"/>
    <x v="0"/>
    <s v="Standard"/>
    <s v="Flash In-Page"/>
    <n v="3369"/>
    <n v="3"/>
    <n v="8.9047195013357077E-4"/>
    <x v="0"/>
  </r>
  <r>
    <x v="21"/>
    <s v="Yahoo_Business_300x250_UAE_EN"/>
    <x v="0"/>
    <s v="Default"/>
    <s v="Gif"/>
    <n v="9"/>
    <n v="0"/>
    <n v="0"/>
    <x v="1"/>
  </r>
  <r>
    <x v="21"/>
    <s v="Yahoo_Business_300x250_UAE_EN"/>
    <x v="0"/>
    <s v="Default"/>
    <s v="Gif"/>
    <n v="15"/>
    <n v="0"/>
    <n v="0"/>
    <x v="1"/>
  </r>
  <r>
    <x v="21"/>
    <s v="Yahoo_Business_300x250_UAE_EN"/>
    <x v="0"/>
    <s v="Default"/>
    <s v="Gif"/>
    <n v="11"/>
    <n v="0"/>
    <n v="0"/>
    <x v="1"/>
  </r>
  <r>
    <x v="21"/>
    <s v="Yahoo_Business_300x250_UAE_EN"/>
    <x v="0"/>
    <s v="Default"/>
    <s v="Gif"/>
    <n v="14"/>
    <n v="0"/>
    <n v="0"/>
    <x v="1"/>
  </r>
  <r>
    <x v="21"/>
    <s v="Yahoo_Business_300x250_UAE_EN"/>
    <x v="0"/>
    <s v="Default"/>
    <s v="Gif"/>
    <n v="4"/>
    <n v="0"/>
    <n v="0"/>
    <x v="1"/>
  </r>
  <r>
    <x v="21"/>
    <s v="Yahoo_Business_300x250_UAE_EN"/>
    <x v="0"/>
    <s v="Standard"/>
    <s v="Flash In-Page"/>
    <n v="10693"/>
    <n v="26"/>
    <n v="2.4314972411858225E-3"/>
    <x v="1"/>
  </r>
  <r>
    <x v="21"/>
    <s v="Yahoo_Business_300x250_UAE_EN"/>
    <x v="0"/>
    <s v="Standard"/>
    <s v="Flash In-Page"/>
    <n v="21766"/>
    <n v="74"/>
    <n v="3.3997978498575762E-3"/>
    <x v="1"/>
  </r>
  <r>
    <x v="21"/>
    <s v="Yahoo_Business_300x250_UAE_EN"/>
    <x v="0"/>
    <s v="Standard"/>
    <s v="Flash In-Page"/>
    <n v="14709"/>
    <n v="55"/>
    <n v="3.7392072880549324E-3"/>
    <x v="1"/>
  </r>
  <r>
    <x v="21"/>
    <s v="Yahoo_Business_300x250_UAE_EN"/>
    <x v="0"/>
    <s v="Standard"/>
    <s v="Flash In-Page"/>
    <n v="9865"/>
    <n v="42"/>
    <n v="4.2574759249873291E-3"/>
    <x v="1"/>
  </r>
  <r>
    <x v="21"/>
    <s v="Yahoo_Business_300x250_UAE_EN"/>
    <x v="0"/>
    <s v="Standard"/>
    <s v="Flash In-Page"/>
    <n v="4415"/>
    <n v="19"/>
    <n v="4.3035107587768972E-3"/>
    <x v="1"/>
  </r>
  <r>
    <x v="21"/>
    <s v="Yahoo_Business_728x270_BHR_AR"/>
    <x v="1"/>
    <s v="Default"/>
    <s v="Gif"/>
    <n v="3"/>
    <n v="0"/>
    <n v="0"/>
    <x v="0"/>
  </r>
  <r>
    <x v="21"/>
    <s v="Yahoo_Business_728x270_BHR_AR"/>
    <x v="1"/>
    <s v="Default"/>
    <s v="Gif"/>
    <n v="1"/>
    <n v="0"/>
    <n v="0"/>
    <x v="0"/>
  </r>
  <r>
    <x v="21"/>
    <s v="Yahoo_Business_728x270_BHR_AR"/>
    <x v="1"/>
    <s v="Default"/>
    <s v="Gif"/>
    <n v="6"/>
    <n v="0"/>
    <n v="0"/>
    <x v="0"/>
  </r>
  <r>
    <x v="21"/>
    <s v="Yahoo_Business_728x270_BHR_AR"/>
    <x v="1"/>
    <s v="Default"/>
    <s v="Gif"/>
    <n v="8"/>
    <n v="0"/>
    <n v="0"/>
    <x v="0"/>
  </r>
  <r>
    <x v="21"/>
    <s v="Yahoo_Business_728x270_BHR_AR"/>
    <x v="1"/>
    <s v="Default"/>
    <s v="Gif"/>
    <n v="8"/>
    <n v="0"/>
    <n v="0"/>
    <x v="0"/>
  </r>
  <r>
    <x v="21"/>
    <s v="Yahoo_Business_728x270_BHR_AR"/>
    <x v="1"/>
    <s v="Standard"/>
    <s v="Rich Media Expandable"/>
    <n v="1665"/>
    <n v="1"/>
    <n v="6.0060060060060057E-4"/>
    <x v="0"/>
  </r>
  <r>
    <x v="21"/>
    <s v="Yahoo_Business_728x270_BHR_AR"/>
    <x v="1"/>
    <s v="Standard"/>
    <s v="Rich Media Expandable"/>
    <n v="2949"/>
    <n v="0"/>
    <n v="0"/>
    <x v="0"/>
  </r>
  <r>
    <x v="21"/>
    <s v="Yahoo_Business_728x270_BHR_AR"/>
    <x v="1"/>
    <s v="Standard"/>
    <s v="Rich Media Expandable"/>
    <n v="3808"/>
    <n v="4"/>
    <n v="1.0504201680672268E-3"/>
    <x v="0"/>
  </r>
  <r>
    <x v="21"/>
    <s v="Yahoo_Business_728x270_BHR_AR"/>
    <x v="1"/>
    <s v="Standard"/>
    <s v="Rich Media Expandable"/>
    <n v="6129"/>
    <n v="1"/>
    <n v="1.6315875346712352E-4"/>
    <x v="0"/>
  </r>
  <r>
    <x v="21"/>
    <s v="Yahoo_Business_728x270_BHR_AR"/>
    <x v="1"/>
    <s v="Standard"/>
    <s v="Rich Media Expandable"/>
    <n v="2552"/>
    <n v="0"/>
    <n v="0"/>
    <x v="0"/>
  </r>
  <r>
    <x v="21"/>
    <s v="Yahoo_Business_728x270_BHR_EN"/>
    <x v="1"/>
    <s v="Default"/>
    <s v="Gif"/>
    <n v="1"/>
    <n v="0"/>
    <n v="0"/>
    <x v="1"/>
  </r>
  <r>
    <x v="21"/>
    <s v="Yahoo_Business_728x270_BHR_EN"/>
    <x v="1"/>
    <s v="Default"/>
    <s v="Gif"/>
    <n v="1"/>
    <n v="0"/>
    <n v="0"/>
    <x v="1"/>
  </r>
  <r>
    <x v="21"/>
    <s v="Yahoo_Business_728x270_BHR_EN"/>
    <x v="1"/>
    <s v="Default"/>
    <s v="Gif"/>
    <n v="3"/>
    <n v="0"/>
    <n v="0"/>
    <x v="1"/>
  </r>
  <r>
    <x v="21"/>
    <s v="Yahoo_Business_728x270_BHR_EN"/>
    <x v="1"/>
    <s v="Default"/>
    <s v="Gif"/>
    <n v="8"/>
    <n v="0"/>
    <n v="0"/>
    <x v="1"/>
  </r>
  <r>
    <x v="21"/>
    <s v="Yahoo_Business_728x270_BHR_EN"/>
    <x v="1"/>
    <s v="Default"/>
    <s v="Gif"/>
    <n v="18"/>
    <n v="0"/>
    <n v="0"/>
    <x v="1"/>
  </r>
  <r>
    <x v="21"/>
    <s v="Yahoo_Business_728x270_BHR_EN"/>
    <x v="1"/>
    <s v="Standard"/>
    <s v="Rich Media Expandable"/>
    <n v="1362"/>
    <n v="0"/>
    <n v="0"/>
    <x v="1"/>
  </r>
  <r>
    <x v="21"/>
    <s v="Yahoo_Business_728x270_BHR_EN"/>
    <x v="1"/>
    <s v="Standard"/>
    <s v="Rich Media Expandable"/>
    <n v="4192"/>
    <n v="1"/>
    <n v="2.3854961832061068E-4"/>
    <x v="1"/>
  </r>
  <r>
    <x v="21"/>
    <s v="Yahoo_Business_728x270_BHR_EN"/>
    <x v="1"/>
    <s v="Standard"/>
    <s v="Rich Media Expandable"/>
    <n v="3956"/>
    <n v="0"/>
    <n v="0"/>
    <x v="1"/>
  </r>
  <r>
    <x v="21"/>
    <s v="Yahoo_Business_728x270_BHR_EN"/>
    <x v="1"/>
    <s v="Standard"/>
    <s v="Rich Media Expandable"/>
    <n v="2835"/>
    <n v="0"/>
    <n v="0"/>
    <x v="1"/>
  </r>
  <r>
    <x v="21"/>
    <s v="Yahoo_Business_728x270_BHR_EN"/>
    <x v="1"/>
    <s v="Standard"/>
    <s v="Rich Media Expandable"/>
    <n v="3224"/>
    <n v="0"/>
    <n v="0"/>
    <x v="1"/>
  </r>
  <r>
    <x v="21"/>
    <s v="Yahoo_Business_728x270_KSA_AR"/>
    <x v="1"/>
    <s v="Default"/>
    <s v="Gif"/>
    <n v="113"/>
    <n v="0"/>
    <n v="0"/>
    <x v="0"/>
  </r>
  <r>
    <x v="21"/>
    <s v="Yahoo_Business_728x270_KSA_AR"/>
    <x v="1"/>
    <s v="Default"/>
    <s v="Gif"/>
    <n v="205"/>
    <n v="0"/>
    <n v="0"/>
    <x v="0"/>
  </r>
  <r>
    <x v="21"/>
    <s v="Yahoo_Business_728x270_KSA_AR"/>
    <x v="1"/>
    <s v="Default"/>
    <s v="Gif"/>
    <n v="249"/>
    <n v="0"/>
    <n v="0"/>
    <x v="0"/>
  </r>
  <r>
    <x v="21"/>
    <s v="Yahoo_Business_728x270_KSA_AR"/>
    <x v="1"/>
    <s v="Default"/>
    <s v="Gif"/>
    <n v="211"/>
    <n v="0"/>
    <n v="0"/>
    <x v="0"/>
  </r>
  <r>
    <x v="21"/>
    <s v="Yahoo_Business_728x270_KSA_AR"/>
    <x v="1"/>
    <s v="Default"/>
    <s v="Gif"/>
    <n v="229"/>
    <n v="0"/>
    <n v="0"/>
    <x v="0"/>
  </r>
  <r>
    <x v="21"/>
    <s v="Yahoo_Business_728x270_KSA_AR"/>
    <x v="1"/>
    <s v="Standard"/>
    <s v="Rich Media Expandable"/>
    <n v="9259"/>
    <n v="0"/>
    <n v="0"/>
    <x v="0"/>
  </r>
  <r>
    <x v="21"/>
    <s v="Yahoo_Business_728x270_KSA_AR"/>
    <x v="1"/>
    <s v="Standard"/>
    <s v="Rich Media Expandable"/>
    <n v="18398"/>
    <n v="9"/>
    <n v="4.8918360691379496E-4"/>
    <x v="0"/>
  </r>
  <r>
    <x v="21"/>
    <s v="Yahoo_Business_728x270_KSA_AR"/>
    <x v="1"/>
    <s v="Standard"/>
    <s v="Rich Media Expandable"/>
    <n v="22859"/>
    <n v="4"/>
    <n v="1.7498578240517958E-4"/>
    <x v="0"/>
  </r>
  <r>
    <x v="21"/>
    <s v="Yahoo_Business_728x270_KSA_AR"/>
    <x v="1"/>
    <s v="Standard"/>
    <s v="Rich Media Expandable"/>
    <n v="18690"/>
    <n v="3"/>
    <n v="1.6051364365971107E-4"/>
    <x v="0"/>
  </r>
  <r>
    <x v="21"/>
    <s v="Yahoo_Business_728x270_KSA_AR"/>
    <x v="1"/>
    <s v="Standard"/>
    <s v="Rich Media Expandable"/>
    <n v="19388"/>
    <n v="3"/>
    <n v="1.5473488755931504E-4"/>
    <x v="0"/>
  </r>
  <r>
    <x v="21"/>
    <s v="Yahoo_Business_728x270_KSA_EN"/>
    <x v="1"/>
    <s v="Default"/>
    <s v="Gif"/>
    <n v="39"/>
    <n v="0"/>
    <n v="0"/>
    <x v="1"/>
  </r>
  <r>
    <x v="21"/>
    <s v="Yahoo_Business_728x270_KSA_EN"/>
    <x v="1"/>
    <s v="Default"/>
    <s v="Gif"/>
    <n v="49"/>
    <n v="0"/>
    <n v="0"/>
    <x v="1"/>
  </r>
  <r>
    <x v="21"/>
    <s v="Yahoo_Business_728x270_KSA_EN"/>
    <x v="1"/>
    <s v="Default"/>
    <s v="Gif"/>
    <n v="64"/>
    <n v="0"/>
    <n v="0"/>
    <x v="1"/>
  </r>
  <r>
    <x v="21"/>
    <s v="Yahoo_Business_728x270_KSA_EN"/>
    <x v="1"/>
    <s v="Default"/>
    <s v="Gif"/>
    <n v="151"/>
    <n v="0"/>
    <n v="0"/>
    <x v="1"/>
  </r>
  <r>
    <x v="21"/>
    <s v="Yahoo_Business_728x270_KSA_EN"/>
    <x v="1"/>
    <s v="Default"/>
    <s v="Gif"/>
    <n v="105"/>
    <n v="0"/>
    <n v="0"/>
    <x v="1"/>
  </r>
  <r>
    <x v="21"/>
    <s v="Yahoo_Business_728x270_KSA_EN"/>
    <x v="1"/>
    <s v="Standard"/>
    <s v="Rich Media Expandable"/>
    <n v="4561"/>
    <n v="0"/>
    <n v="0"/>
    <x v="1"/>
  </r>
  <r>
    <x v="21"/>
    <s v="Yahoo_Business_728x270_KSA_EN"/>
    <x v="1"/>
    <s v="Standard"/>
    <s v="Rich Media Expandable"/>
    <n v="6552"/>
    <n v="2"/>
    <n v="3.0525030525030525E-4"/>
    <x v="1"/>
  </r>
  <r>
    <x v="21"/>
    <s v="Yahoo_Business_728x270_KSA_EN"/>
    <x v="1"/>
    <s v="Standard"/>
    <s v="Rich Media Expandable"/>
    <n v="7222"/>
    <n v="0"/>
    <n v="0"/>
    <x v="1"/>
  </r>
  <r>
    <x v="21"/>
    <s v="Yahoo_Business_728x270_KSA_EN"/>
    <x v="1"/>
    <s v="Standard"/>
    <s v="Rich Media Expandable"/>
    <n v="9622"/>
    <n v="2"/>
    <n v="2.0785699438786114E-4"/>
    <x v="1"/>
  </r>
  <r>
    <x v="21"/>
    <s v="Yahoo_Business_728x270_KSA_EN"/>
    <x v="1"/>
    <s v="Standard"/>
    <s v="Rich Media Expandable"/>
    <n v="9260"/>
    <n v="4"/>
    <n v="4.3196544276457883E-4"/>
    <x v="1"/>
  </r>
  <r>
    <x v="21"/>
    <s v="Yahoo_Business_728x270_KWT_AR"/>
    <x v="1"/>
    <s v="Default"/>
    <s v="Gif"/>
    <n v="18"/>
    <n v="0"/>
    <n v="0"/>
    <x v="0"/>
  </r>
  <r>
    <x v="21"/>
    <s v="Yahoo_Business_728x270_KWT_AR"/>
    <x v="1"/>
    <s v="Default"/>
    <s v="Gif"/>
    <n v="9"/>
    <n v="0"/>
    <n v="0"/>
    <x v="0"/>
  </r>
  <r>
    <x v="21"/>
    <s v="Yahoo_Business_728x270_KWT_AR"/>
    <x v="1"/>
    <s v="Default"/>
    <s v="Gif"/>
    <n v="23"/>
    <n v="0"/>
    <n v="0"/>
    <x v="0"/>
  </r>
  <r>
    <x v="21"/>
    <s v="Yahoo_Business_728x270_KWT_AR"/>
    <x v="1"/>
    <s v="Default"/>
    <s v="Gif"/>
    <n v="30"/>
    <n v="0"/>
    <n v="0"/>
    <x v="0"/>
  </r>
  <r>
    <x v="21"/>
    <s v="Yahoo_Business_728x270_KWT_AR"/>
    <x v="1"/>
    <s v="Default"/>
    <s v="Gif"/>
    <n v="18"/>
    <n v="0"/>
    <n v="0"/>
    <x v="0"/>
  </r>
  <r>
    <x v="21"/>
    <s v="Yahoo_Business_728x270_KWT_AR"/>
    <x v="1"/>
    <s v="Standard"/>
    <s v="Rich Media Expandable"/>
    <n v="1397"/>
    <n v="0"/>
    <n v="0"/>
    <x v="0"/>
  </r>
  <r>
    <x v="21"/>
    <s v="Yahoo_Business_728x270_KWT_AR"/>
    <x v="1"/>
    <s v="Standard"/>
    <s v="Rich Media Expandable"/>
    <n v="2052"/>
    <n v="0"/>
    <n v="0"/>
    <x v="0"/>
  </r>
  <r>
    <x v="21"/>
    <s v="Yahoo_Business_728x270_KWT_AR"/>
    <x v="1"/>
    <s v="Standard"/>
    <s v="Rich Media Expandable"/>
    <n v="3532"/>
    <n v="0"/>
    <n v="0"/>
    <x v="0"/>
  </r>
  <r>
    <x v="21"/>
    <s v="Yahoo_Business_728x270_KWT_AR"/>
    <x v="1"/>
    <s v="Standard"/>
    <s v="Rich Media Expandable"/>
    <n v="4114"/>
    <n v="1"/>
    <n v="2.4307243558580456E-4"/>
    <x v="0"/>
  </r>
  <r>
    <x v="21"/>
    <s v="Yahoo_Business_728x270_KWT_AR"/>
    <x v="1"/>
    <s v="Standard"/>
    <s v="Rich Media Expandable"/>
    <n v="3918"/>
    <n v="0"/>
    <n v="0"/>
    <x v="0"/>
  </r>
  <r>
    <x v="21"/>
    <s v="Yahoo_Business_728x270_KWT_EN"/>
    <x v="1"/>
    <s v="Default"/>
    <s v="Gif"/>
    <n v="8"/>
    <n v="0"/>
    <n v="0"/>
    <x v="1"/>
  </r>
  <r>
    <x v="21"/>
    <s v="Yahoo_Business_728x270_KWT_EN"/>
    <x v="1"/>
    <s v="Default"/>
    <s v="Gif"/>
    <n v="9"/>
    <n v="0"/>
    <n v="0"/>
    <x v="1"/>
  </r>
  <r>
    <x v="21"/>
    <s v="Yahoo_Business_728x270_KWT_EN"/>
    <x v="1"/>
    <s v="Default"/>
    <s v="Gif"/>
    <n v="2"/>
    <n v="0"/>
    <n v="0"/>
    <x v="1"/>
  </r>
  <r>
    <x v="21"/>
    <s v="Yahoo_Business_728x270_KWT_EN"/>
    <x v="1"/>
    <s v="Default"/>
    <s v="Gif"/>
    <n v="28"/>
    <n v="0"/>
    <n v="0"/>
    <x v="1"/>
  </r>
  <r>
    <x v="21"/>
    <s v="Yahoo_Business_728x270_KWT_EN"/>
    <x v="1"/>
    <s v="Default"/>
    <s v="Gif"/>
    <n v="20"/>
    <n v="0"/>
    <n v="0"/>
    <x v="1"/>
  </r>
  <r>
    <x v="21"/>
    <s v="Yahoo_Business_728x270_KWT_EN"/>
    <x v="1"/>
    <s v="Standard"/>
    <s v="Rich Media Expandable"/>
    <n v="969"/>
    <n v="0"/>
    <n v="0"/>
    <x v="1"/>
  </r>
  <r>
    <x v="21"/>
    <s v="Yahoo_Business_728x270_KWT_EN"/>
    <x v="1"/>
    <s v="Standard"/>
    <s v="Rich Media Expandable"/>
    <n v="1224"/>
    <n v="0"/>
    <n v="0"/>
    <x v="1"/>
  </r>
  <r>
    <x v="21"/>
    <s v="Yahoo_Business_728x270_KWT_EN"/>
    <x v="1"/>
    <s v="Standard"/>
    <s v="Rich Media Expandable"/>
    <n v="1815"/>
    <n v="0"/>
    <n v="0"/>
    <x v="1"/>
  </r>
  <r>
    <x v="21"/>
    <s v="Yahoo_Business_728x270_KWT_EN"/>
    <x v="1"/>
    <s v="Standard"/>
    <s v="Rich Media Expandable"/>
    <n v="4556"/>
    <n v="0"/>
    <n v="0"/>
    <x v="1"/>
  </r>
  <r>
    <x v="21"/>
    <s v="Yahoo_Business_728x270_KWT_EN"/>
    <x v="1"/>
    <s v="Standard"/>
    <s v="Rich Media Expandable"/>
    <n v="2491"/>
    <n v="0"/>
    <n v="0"/>
    <x v="1"/>
  </r>
  <r>
    <x v="21"/>
    <s v="Yahoo_Business_728x270_OMN_AR"/>
    <x v="1"/>
    <s v="Default"/>
    <s v="Gif"/>
    <n v="12"/>
    <n v="0"/>
    <n v="0"/>
    <x v="0"/>
  </r>
  <r>
    <x v="21"/>
    <s v="Yahoo_Business_728x270_OMN_AR"/>
    <x v="1"/>
    <s v="Default"/>
    <s v="Gif"/>
    <n v="14"/>
    <n v="0"/>
    <n v="0"/>
    <x v="0"/>
  </r>
  <r>
    <x v="21"/>
    <s v="Yahoo_Business_728x270_OMN_AR"/>
    <x v="1"/>
    <s v="Default"/>
    <s v="Gif"/>
    <n v="5"/>
    <n v="0"/>
    <n v="0"/>
    <x v="0"/>
  </r>
  <r>
    <x v="21"/>
    <s v="Yahoo_Business_728x270_OMN_AR"/>
    <x v="1"/>
    <s v="Default"/>
    <s v="Gif"/>
    <n v="5"/>
    <n v="0"/>
    <n v="0"/>
    <x v="0"/>
  </r>
  <r>
    <x v="21"/>
    <s v="Yahoo_Business_728x270_OMN_AR"/>
    <x v="1"/>
    <s v="Standard"/>
    <s v="Rich Media Expandable"/>
    <n v="1152"/>
    <n v="0"/>
    <n v="0"/>
    <x v="0"/>
  </r>
  <r>
    <x v="21"/>
    <s v="Yahoo_Business_728x270_OMN_AR"/>
    <x v="1"/>
    <s v="Standard"/>
    <s v="Rich Media Expandable"/>
    <n v="6002"/>
    <n v="1"/>
    <n v="1.6661112962345885E-4"/>
    <x v="0"/>
  </r>
  <r>
    <x v="21"/>
    <s v="Yahoo_Business_728x270_OMN_AR"/>
    <x v="1"/>
    <s v="Standard"/>
    <s v="Rich Media Expandable"/>
    <n v="2836"/>
    <n v="2"/>
    <n v="7.0521861777150916E-4"/>
    <x v="0"/>
  </r>
  <r>
    <x v="21"/>
    <s v="Yahoo_Business_728x270_OMN_AR"/>
    <x v="1"/>
    <s v="Standard"/>
    <s v="Rich Media Expandable"/>
    <n v="2801"/>
    <n v="0"/>
    <n v="0"/>
    <x v="0"/>
  </r>
  <r>
    <x v="21"/>
    <s v="Yahoo_Business_728x270_OMN_AR"/>
    <x v="1"/>
    <s v="Standard"/>
    <s v="Rich Media Expandable"/>
    <n v="4230"/>
    <n v="1"/>
    <n v="2.3640661938534278E-4"/>
    <x v="0"/>
  </r>
  <r>
    <x v="21"/>
    <s v="Yahoo_Business_728x270_OMN_EN"/>
    <x v="1"/>
    <s v="Default"/>
    <s v="Gif"/>
    <n v="1"/>
    <n v="0"/>
    <n v="0"/>
    <x v="1"/>
  </r>
  <r>
    <x v="21"/>
    <s v="Yahoo_Business_728x270_OMN_EN"/>
    <x v="1"/>
    <s v="Default"/>
    <s v="Gif"/>
    <n v="8"/>
    <n v="0"/>
    <n v="0"/>
    <x v="1"/>
  </r>
  <r>
    <x v="21"/>
    <s v="Yahoo_Business_728x270_OMN_EN"/>
    <x v="1"/>
    <s v="Standard"/>
    <s v="Rich Media Expandable"/>
    <n v="501"/>
    <n v="0"/>
    <n v="0"/>
    <x v="1"/>
  </r>
  <r>
    <x v="21"/>
    <s v="Yahoo_Business_728x270_OMN_EN"/>
    <x v="1"/>
    <s v="Standard"/>
    <s v="Rich Media Expandable"/>
    <n v="3266"/>
    <n v="1"/>
    <n v="3.061849357011635E-4"/>
    <x v="1"/>
  </r>
  <r>
    <x v="21"/>
    <s v="Yahoo_Business_728x270_OMN_EN"/>
    <x v="1"/>
    <s v="Standard"/>
    <s v="Rich Media Expandable"/>
    <n v="3081"/>
    <n v="0"/>
    <n v="0"/>
    <x v="1"/>
  </r>
  <r>
    <x v="21"/>
    <s v="Yahoo_Business_728x270_OMN_EN"/>
    <x v="1"/>
    <s v="Standard"/>
    <s v="Rich Media Expandable"/>
    <n v="2919"/>
    <n v="0"/>
    <n v="0"/>
    <x v="1"/>
  </r>
  <r>
    <x v="21"/>
    <s v="Yahoo_Business_728x270_OMN_EN"/>
    <x v="1"/>
    <s v="Standard"/>
    <s v="Rich Media Expandable"/>
    <n v="4139"/>
    <n v="0"/>
    <n v="0"/>
    <x v="1"/>
  </r>
  <r>
    <x v="21"/>
    <s v="Yahoo_Business_728x270_QAT_AR"/>
    <x v="1"/>
    <s v="Default"/>
    <s v="Gif"/>
    <n v="3"/>
    <n v="0"/>
    <n v="0"/>
    <x v="0"/>
  </r>
  <r>
    <x v="21"/>
    <s v="Yahoo_Business_728x270_QAT_AR"/>
    <x v="1"/>
    <s v="Default"/>
    <s v="Gif"/>
    <n v="6"/>
    <n v="0"/>
    <n v="0"/>
    <x v="0"/>
  </r>
  <r>
    <x v="21"/>
    <s v="Yahoo_Business_728x270_QAT_AR"/>
    <x v="1"/>
    <s v="Default"/>
    <s v="Gif"/>
    <n v="9"/>
    <n v="0"/>
    <n v="0"/>
    <x v="0"/>
  </r>
  <r>
    <x v="21"/>
    <s v="Yahoo_Business_728x270_QAT_AR"/>
    <x v="1"/>
    <s v="Default"/>
    <s v="Gif"/>
    <n v="10"/>
    <n v="0"/>
    <n v="0"/>
    <x v="0"/>
  </r>
  <r>
    <x v="21"/>
    <s v="Yahoo_Business_728x270_QAT_AR"/>
    <x v="1"/>
    <s v="Default"/>
    <s v="Gif"/>
    <n v="13"/>
    <n v="0"/>
    <n v="0"/>
    <x v="0"/>
  </r>
  <r>
    <x v="21"/>
    <s v="Yahoo_Business_728x270_QAT_AR"/>
    <x v="1"/>
    <s v="Standard"/>
    <s v="Rich Media Expandable"/>
    <n v="1180"/>
    <n v="0"/>
    <n v="0"/>
    <x v="0"/>
  </r>
  <r>
    <x v="21"/>
    <s v="Yahoo_Business_728x270_QAT_AR"/>
    <x v="1"/>
    <s v="Standard"/>
    <s v="Rich Media Expandable"/>
    <n v="2431"/>
    <n v="0"/>
    <n v="0"/>
    <x v="0"/>
  </r>
  <r>
    <x v="21"/>
    <s v="Yahoo_Business_728x270_QAT_AR"/>
    <x v="1"/>
    <s v="Standard"/>
    <s v="Rich Media Expandable"/>
    <n v="3421"/>
    <n v="0"/>
    <n v="0"/>
    <x v="0"/>
  </r>
  <r>
    <x v="21"/>
    <s v="Yahoo_Business_728x270_QAT_AR"/>
    <x v="1"/>
    <s v="Standard"/>
    <s v="Rich Media Expandable"/>
    <n v="2480"/>
    <n v="0"/>
    <n v="0"/>
    <x v="0"/>
  </r>
  <r>
    <x v="21"/>
    <s v="Yahoo_Business_728x270_QAT_AR"/>
    <x v="1"/>
    <s v="Standard"/>
    <s v="Rich Media Expandable"/>
    <n v="2976"/>
    <n v="0"/>
    <n v="0"/>
    <x v="0"/>
  </r>
  <r>
    <x v="21"/>
    <s v="Yahoo_Business_728x270_QAT_EN"/>
    <x v="1"/>
    <s v="Default"/>
    <s v="Gif"/>
    <n v="2"/>
    <n v="0"/>
    <n v="0"/>
    <x v="1"/>
  </r>
  <r>
    <x v="21"/>
    <s v="Yahoo_Business_728x270_QAT_EN"/>
    <x v="1"/>
    <s v="Default"/>
    <s v="Gif"/>
    <n v="6"/>
    <n v="0"/>
    <n v="0"/>
    <x v="1"/>
  </r>
  <r>
    <x v="21"/>
    <s v="Yahoo_Business_728x270_QAT_EN"/>
    <x v="1"/>
    <s v="Default"/>
    <s v="Gif"/>
    <n v="7"/>
    <n v="0"/>
    <n v="0"/>
    <x v="1"/>
  </r>
  <r>
    <x v="21"/>
    <s v="Yahoo_Business_728x270_QAT_EN"/>
    <x v="1"/>
    <s v="Default"/>
    <s v="Gif"/>
    <n v="4"/>
    <n v="0"/>
    <n v="0"/>
    <x v="1"/>
  </r>
  <r>
    <x v="21"/>
    <s v="Yahoo_Business_728x270_QAT_EN"/>
    <x v="1"/>
    <s v="Default"/>
    <s v="Gif"/>
    <n v="28"/>
    <n v="0"/>
    <n v="0"/>
    <x v="1"/>
  </r>
  <r>
    <x v="21"/>
    <s v="Yahoo_Business_728x270_QAT_EN"/>
    <x v="1"/>
    <s v="Standard"/>
    <s v="Rich Media Expandable"/>
    <n v="1533"/>
    <n v="0"/>
    <n v="0"/>
    <x v="1"/>
  </r>
  <r>
    <x v="21"/>
    <s v="Yahoo_Business_728x270_QAT_EN"/>
    <x v="1"/>
    <s v="Standard"/>
    <s v="Rich Media Expandable"/>
    <n v="2395"/>
    <n v="0"/>
    <n v="0"/>
    <x v="1"/>
  </r>
  <r>
    <x v="21"/>
    <s v="Yahoo_Business_728x270_QAT_EN"/>
    <x v="1"/>
    <s v="Standard"/>
    <s v="Rich Media Expandable"/>
    <n v="2768"/>
    <n v="0"/>
    <n v="0"/>
    <x v="1"/>
  </r>
  <r>
    <x v="21"/>
    <s v="Yahoo_Business_728x270_QAT_EN"/>
    <x v="1"/>
    <s v="Standard"/>
    <s v="Rich Media Expandable"/>
    <n v="2365"/>
    <n v="0"/>
    <n v="0"/>
    <x v="1"/>
  </r>
  <r>
    <x v="21"/>
    <s v="Yahoo_Business_728x270_QAT_EN"/>
    <x v="1"/>
    <s v="Standard"/>
    <s v="Rich Media Expandable"/>
    <n v="4059"/>
    <n v="2"/>
    <n v="4.9273220004927322E-4"/>
    <x v="1"/>
  </r>
  <r>
    <x v="21"/>
    <s v="Yahoo_Business_728x270_UAE_AR"/>
    <x v="1"/>
    <s v="Default"/>
    <s v="Gif"/>
    <n v="41"/>
    <n v="0"/>
    <n v="0"/>
    <x v="0"/>
  </r>
  <r>
    <x v="21"/>
    <s v="Yahoo_Business_728x270_UAE_AR"/>
    <x v="1"/>
    <s v="Default"/>
    <s v="Gif"/>
    <n v="67"/>
    <n v="0"/>
    <n v="0"/>
    <x v="0"/>
  </r>
  <r>
    <x v="21"/>
    <s v="Yahoo_Business_728x270_UAE_AR"/>
    <x v="1"/>
    <s v="Default"/>
    <s v="Gif"/>
    <n v="76"/>
    <n v="0"/>
    <n v="0"/>
    <x v="0"/>
  </r>
  <r>
    <x v="21"/>
    <s v="Yahoo_Business_728x270_UAE_AR"/>
    <x v="1"/>
    <s v="Default"/>
    <s v="Gif"/>
    <n v="190"/>
    <n v="0"/>
    <n v="0"/>
    <x v="0"/>
  </r>
  <r>
    <x v="21"/>
    <s v="Yahoo_Business_728x270_UAE_AR"/>
    <x v="1"/>
    <s v="Default"/>
    <s v="Gif"/>
    <n v="195"/>
    <n v="0"/>
    <n v="0"/>
    <x v="0"/>
  </r>
  <r>
    <x v="21"/>
    <s v="Yahoo_Business_728x270_UAE_AR"/>
    <x v="1"/>
    <s v="Standard"/>
    <s v="Rich Media Expandable"/>
    <n v="7597"/>
    <n v="0"/>
    <n v="0"/>
    <x v="0"/>
  </r>
  <r>
    <x v="21"/>
    <s v="Yahoo_Business_728x270_UAE_AR"/>
    <x v="1"/>
    <s v="Standard"/>
    <s v="Rich Media Expandable"/>
    <n v="11037"/>
    <n v="2"/>
    <n v="1.8120866177403279E-4"/>
    <x v="0"/>
  </r>
  <r>
    <x v="21"/>
    <s v="Yahoo_Business_728x270_UAE_AR"/>
    <x v="1"/>
    <s v="Standard"/>
    <s v="Rich Media Expandable"/>
    <n v="11906"/>
    <n v="4"/>
    <n v="3.3596505963379809E-4"/>
    <x v="0"/>
  </r>
  <r>
    <x v="21"/>
    <s v="Yahoo_Business_728x270_UAE_AR"/>
    <x v="1"/>
    <s v="Standard"/>
    <s v="Rich Media Expandable"/>
    <n v="23914"/>
    <n v="3"/>
    <n v="1.2544952747344651E-4"/>
    <x v="0"/>
  </r>
  <r>
    <x v="21"/>
    <s v="Yahoo_Business_728x270_UAE_AR"/>
    <x v="1"/>
    <s v="Standard"/>
    <s v="Rich Media Expandable"/>
    <n v="19661"/>
    <n v="6"/>
    <n v="3.0517267687299731E-4"/>
    <x v="0"/>
  </r>
  <r>
    <x v="21"/>
    <s v="Yahoo_Business_728x270_UAE_EN"/>
    <x v="1"/>
    <s v="Default"/>
    <s v="Gif"/>
    <n v="34"/>
    <n v="0"/>
    <n v="0"/>
    <x v="1"/>
  </r>
  <r>
    <x v="21"/>
    <s v="Yahoo_Business_728x270_UAE_EN"/>
    <x v="1"/>
    <s v="Default"/>
    <s v="Gif"/>
    <n v="61"/>
    <n v="0"/>
    <n v="0"/>
    <x v="1"/>
  </r>
  <r>
    <x v="21"/>
    <s v="Yahoo_Business_728x270_UAE_EN"/>
    <x v="1"/>
    <s v="Default"/>
    <s v="Gif"/>
    <n v="49"/>
    <n v="0"/>
    <n v="0"/>
    <x v="1"/>
  </r>
  <r>
    <x v="21"/>
    <s v="Yahoo_Business_728x270_UAE_EN"/>
    <x v="1"/>
    <s v="Default"/>
    <s v="Gif"/>
    <n v="12"/>
    <n v="0"/>
    <n v="0"/>
    <x v="1"/>
  </r>
  <r>
    <x v="21"/>
    <s v="Yahoo_Business_728x270_UAE_EN"/>
    <x v="1"/>
    <s v="Default"/>
    <s v="Gif"/>
    <n v="37"/>
    <n v="0"/>
    <n v="0"/>
    <x v="1"/>
  </r>
  <r>
    <x v="21"/>
    <s v="Yahoo_Business_728x270_UAE_EN"/>
    <x v="1"/>
    <s v="Standard"/>
    <s v="Rich Media Expandable"/>
    <n v="12178"/>
    <n v="1"/>
    <n v="8.2115289866973234E-5"/>
    <x v="1"/>
  </r>
  <r>
    <x v="21"/>
    <s v="Yahoo_Business_728x270_UAE_EN"/>
    <x v="1"/>
    <s v="Standard"/>
    <s v="Rich Media Expandable"/>
    <n v="20527"/>
    <n v="3"/>
    <n v="1.461489745213621E-4"/>
    <x v="1"/>
  </r>
  <r>
    <x v="21"/>
    <s v="Yahoo_Business_728x270_UAE_EN"/>
    <x v="1"/>
    <s v="Standard"/>
    <s v="Rich Media Expandable"/>
    <n v="13336"/>
    <n v="1"/>
    <n v="7.4985002999400114E-5"/>
    <x v="1"/>
  </r>
  <r>
    <x v="21"/>
    <s v="Yahoo_Business_728x270_UAE_EN"/>
    <x v="1"/>
    <s v="Standard"/>
    <s v="Rich Media Expandable"/>
    <n v="10167"/>
    <n v="1"/>
    <n v="9.8357430903904796E-5"/>
    <x v="1"/>
  </r>
  <r>
    <x v="21"/>
    <s v="Yahoo_Business_728x270_UAE_EN"/>
    <x v="1"/>
    <s v="Standard"/>
    <s v="Rich Media Expandable"/>
    <n v="14557"/>
    <n v="0"/>
    <n v="0"/>
    <x v="1"/>
  </r>
  <r>
    <x v="22"/>
    <s v="YahooMaktoob_BT_MaleLifestyle_300x250Video_KSA_AR"/>
    <x v="0"/>
    <s v="Standard"/>
    <s v="Rich Media In-Page Flash"/>
    <n v="2"/>
    <n v="0"/>
    <n v="0"/>
    <x v="0"/>
  </r>
  <r>
    <x v="22"/>
    <s v="YahooMaktoob_BT_MaleLifestyle_300x250Video_KSA_AR"/>
    <x v="0"/>
    <s v="Standard"/>
    <s v="Rich Media In-Page Flash"/>
    <n v="4"/>
    <n v="0"/>
    <n v="0"/>
    <x v="0"/>
  </r>
  <r>
    <x v="22"/>
    <s v="YahooMaktoob_BT_MaleLifestyle_300x250Video_UAE_EN"/>
    <x v="0"/>
    <s v="Standard"/>
    <s v="Rich Media In-Page Flash"/>
    <n v="1"/>
    <n v="0"/>
    <n v="0"/>
    <x v="1"/>
  </r>
  <r>
    <x v="23"/>
    <s v="Ra2ed_300x250_KSA_AR"/>
    <x v="0"/>
    <s v="Default"/>
    <s v="Gif"/>
    <n v="21"/>
    <n v="0"/>
    <n v="0"/>
    <x v="0"/>
  </r>
  <r>
    <x v="23"/>
    <s v="Ra2ed_300x250_KSA_AR"/>
    <x v="0"/>
    <s v="Default"/>
    <s v="Gif"/>
    <n v="16"/>
    <n v="0"/>
    <n v="0"/>
    <x v="0"/>
  </r>
  <r>
    <x v="23"/>
    <s v="Ra2ed_300x250_KSA_AR"/>
    <x v="0"/>
    <s v="Default"/>
    <s v="Gif"/>
    <n v="19"/>
    <n v="0"/>
    <n v="0"/>
    <x v="0"/>
  </r>
  <r>
    <x v="23"/>
    <s v="Ra2ed_300x250_KSA_AR"/>
    <x v="0"/>
    <s v="Default"/>
    <s v="Gif"/>
    <n v="12"/>
    <n v="0"/>
    <n v="0"/>
    <x v="0"/>
  </r>
  <r>
    <x v="23"/>
    <s v="Ra2ed_300x250_KSA_AR"/>
    <x v="0"/>
    <s v="Default"/>
    <s v="Gif"/>
    <n v="10"/>
    <n v="0"/>
    <n v="0"/>
    <x v="0"/>
  </r>
  <r>
    <x v="23"/>
    <s v="Ra2ed_300x250_KSA_AR"/>
    <x v="0"/>
    <s v="Standard"/>
    <s v="Flash In-Page"/>
    <n v="23816"/>
    <n v="65"/>
    <n v="2.7292576419213972E-3"/>
    <x v="0"/>
  </r>
  <r>
    <x v="23"/>
    <s v="Ra2ed_300x250_KSA_AR"/>
    <x v="0"/>
    <s v="Standard"/>
    <s v="Flash In-Page"/>
    <n v="26881"/>
    <n v="138"/>
    <n v="5.1337375841672556E-3"/>
    <x v="0"/>
  </r>
  <r>
    <x v="23"/>
    <s v="Ra2ed_300x250_KSA_AR"/>
    <x v="0"/>
    <s v="Standard"/>
    <s v="Flash In-Page"/>
    <n v="35646"/>
    <n v="225"/>
    <n v="6.3120686753071874E-3"/>
    <x v="0"/>
  </r>
  <r>
    <x v="23"/>
    <s v="Ra2ed_300x250_KSA_AR"/>
    <x v="0"/>
    <s v="Standard"/>
    <s v="Flash In-Page"/>
    <n v="31497"/>
    <n v="103"/>
    <n v="3.2701527129567897E-3"/>
    <x v="0"/>
  </r>
  <r>
    <x v="23"/>
    <s v="Ra2ed_300x250_KSA_AR"/>
    <x v="0"/>
    <s v="Standard"/>
    <s v="Flash In-Page"/>
    <n v="26717"/>
    <n v="76"/>
    <n v="2.8446307594415542E-3"/>
    <x v="0"/>
  </r>
  <r>
    <x v="23"/>
    <s v="Ra2ed_300x250_UAE_AR"/>
    <x v="0"/>
    <s v="Default"/>
    <s v="Gif"/>
    <n v="7"/>
    <n v="0"/>
    <n v="0"/>
    <x v="0"/>
  </r>
  <r>
    <x v="23"/>
    <s v="Ra2ed_300x250_UAE_AR"/>
    <x v="0"/>
    <s v="Default"/>
    <s v="Gif"/>
    <n v="5"/>
    <n v="0"/>
    <n v="0"/>
    <x v="0"/>
  </r>
  <r>
    <x v="23"/>
    <s v="Ra2ed_300x250_UAE_AR"/>
    <x v="0"/>
    <s v="Default"/>
    <s v="Gif"/>
    <n v="19"/>
    <n v="0"/>
    <n v="0"/>
    <x v="0"/>
  </r>
  <r>
    <x v="23"/>
    <s v="Ra2ed_300x250_UAE_AR"/>
    <x v="0"/>
    <s v="Standard"/>
    <s v="Flash In-Page"/>
    <n v="4"/>
    <n v="4"/>
    <n v="1"/>
    <x v="0"/>
  </r>
  <r>
    <x v="23"/>
    <s v="Ra2ed_300x250_UAE_AR"/>
    <x v="0"/>
    <s v="Standard"/>
    <s v="Flash In-Page"/>
    <n v="6444"/>
    <n v="20"/>
    <n v="3.1036623215394167E-3"/>
    <x v="0"/>
  </r>
  <r>
    <x v="23"/>
    <s v="Ra2ed_300x250_UAE_AR"/>
    <x v="0"/>
    <s v="Standard"/>
    <s v="Flash In-Page"/>
    <n v="19904"/>
    <n v="55"/>
    <n v="2.7632636655948555E-3"/>
    <x v="0"/>
  </r>
  <r>
    <x v="23"/>
    <s v="Ra2ed_300x250_UAE_AR"/>
    <x v="0"/>
    <s v="Standard"/>
    <s v="Flash In-Page"/>
    <n v="22328"/>
    <n v="58"/>
    <n v="2.5976352561805803E-3"/>
    <x v="0"/>
  </r>
  <r>
    <x v="23"/>
    <s v="Ra2ed_300x250_UAE_AR"/>
    <x v="0"/>
    <s v="Standard"/>
    <s v="Flash In-Page"/>
    <n v="85998"/>
    <n v="162"/>
    <n v="1.8837647387148538E-3"/>
    <x v="0"/>
  </r>
  <r>
    <x v="23"/>
    <s v="Ra2ed_300x250_UAE_AR"/>
    <x v="0"/>
    <s v="Standard"/>
    <s v="Flash In-Page"/>
    <n v="5375"/>
    <n v="3"/>
    <n v="5.581395348837209E-4"/>
    <x v="0"/>
  </r>
  <r>
    <x v="23"/>
    <s v="Ra2ed_728x90_KSA_AR"/>
    <x v="1"/>
    <s v="Default"/>
    <s v="Gif"/>
    <n v="10"/>
    <n v="0"/>
    <n v="0"/>
    <x v="0"/>
  </r>
  <r>
    <x v="23"/>
    <s v="Ra2ed_728x90_KSA_AR"/>
    <x v="1"/>
    <s v="Default"/>
    <s v="Gif"/>
    <n v="22"/>
    <n v="0"/>
    <n v="0"/>
    <x v="0"/>
  </r>
  <r>
    <x v="23"/>
    <s v="Ra2ed_728x90_KSA_AR"/>
    <x v="1"/>
    <s v="Default"/>
    <s v="Gif"/>
    <n v="16"/>
    <n v="0"/>
    <n v="0"/>
    <x v="0"/>
  </r>
  <r>
    <x v="23"/>
    <s v="Ra2ed_728x90_KSA_AR"/>
    <x v="1"/>
    <s v="Default"/>
    <s v="Gif"/>
    <n v="22"/>
    <n v="0"/>
    <n v="0"/>
    <x v="0"/>
  </r>
  <r>
    <x v="23"/>
    <s v="Ra2ed_728x90_KSA_AR"/>
    <x v="1"/>
    <s v="Default"/>
    <s v="Gif"/>
    <n v="22"/>
    <n v="0"/>
    <n v="0"/>
    <x v="0"/>
  </r>
  <r>
    <x v="23"/>
    <s v="Ra2ed_728x90_KSA_AR"/>
    <x v="1"/>
    <s v="Standard"/>
    <s v="Flash In-Page"/>
    <n v="17570"/>
    <n v="52"/>
    <n v="2.9595902105862266E-3"/>
    <x v="0"/>
  </r>
  <r>
    <x v="23"/>
    <s v="Ra2ed_728x90_KSA_AR"/>
    <x v="1"/>
    <s v="Standard"/>
    <s v="Flash In-Page"/>
    <n v="32517"/>
    <n v="119"/>
    <n v="3.6596241965740997E-3"/>
    <x v="0"/>
  </r>
  <r>
    <x v="23"/>
    <s v="Ra2ed_728x90_KSA_AR"/>
    <x v="1"/>
    <s v="Standard"/>
    <s v="Flash In-Page"/>
    <n v="36284"/>
    <n v="142"/>
    <n v="3.9135707198765298E-3"/>
    <x v="0"/>
  </r>
  <r>
    <x v="23"/>
    <s v="Ra2ed_728x90_KSA_AR"/>
    <x v="1"/>
    <s v="Standard"/>
    <s v="Flash In-Page"/>
    <n v="26640"/>
    <n v="59"/>
    <n v="2.2147147147147145E-3"/>
    <x v="0"/>
  </r>
  <r>
    <x v="23"/>
    <s v="Ra2ed_728x90_KSA_AR"/>
    <x v="1"/>
    <s v="Standard"/>
    <s v="Flash In-Page"/>
    <n v="33203"/>
    <n v="101"/>
    <n v="3.0418938047766767E-3"/>
    <x v="0"/>
  </r>
  <r>
    <x v="23"/>
    <s v="Ra2ed_728x90_UAE_AR"/>
    <x v="1"/>
    <s v="Default"/>
    <s v="Gif"/>
    <n v="10"/>
    <n v="0"/>
    <n v="0"/>
    <x v="0"/>
  </r>
  <r>
    <x v="23"/>
    <s v="Ra2ed_728x90_UAE_AR"/>
    <x v="1"/>
    <s v="Default"/>
    <s v="Gif"/>
    <n v="20"/>
    <n v="0"/>
    <n v="0"/>
    <x v="0"/>
  </r>
  <r>
    <x v="23"/>
    <s v="Ra2ed_728x90_UAE_AR"/>
    <x v="1"/>
    <s v="Default"/>
    <s v="Gif"/>
    <n v="5"/>
    <n v="0"/>
    <n v="0"/>
    <x v="0"/>
  </r>
  <r>
    <x v="23"/>
    <s v="Ra2ed_728x90_UAE_AR"/>
    <x v="1"/>
    <s v="Default"/>
    <s v="Gif"/>
    <n v="5"/>
    <n v="0"/>
    <n v="0"/>
    <x v="0"/>
  </r>
  <r>
    <x v="23"/>
    <s v="Ra2ed_728x90_UAE_AR"/>
    <x v="1"/>
    <s v="Default"/>
    <s v="Gif"/>
    <n v="9"/>
    <n v="0"/>
    <n v="0"/>
    <x v="0"/>
  </r>
  <r>
    <x v="23"/>
    <s v="Ra2ed_728x90_UAE_AR"/>
    <x v="1"/>
    <s v="Standard"/>
    <s v="Flash In-Page"/>
    <n v="9535"/>
    <n v="47"/>
    <n v="4.9292081803880439E-3"/>
    <x v="0"/>
  </r>
  <r>
    <x v="23"/>
    <s v="Ra2ed_728x90_UAE_AR"/>
    <x v="1"/>
    <s v="Standard"/>
    <s v="Flash In-Page"/>
    <n v="28873"/>
    <n v="66"/>
    <n v="2.2858726145533891E-3"/>
    <x v="0"/>
  </r>
  <r>
    <x v="23"/>
    <s v="Ra2ed_728x90_UAE_AR"/>
    <x v="1"/>
    <s v="Standard"/>
    <s v="Flash In-Page"/>
    <n v="29658"/>
    <n v="70"/>
    <n v="2.3602400701328479E-3"/>
    <x v="0"/>
  </r>
  <r>
    <x v="23"/>
    <s v="Ra2ed_728x90_UAE_AR"/>
    <x v="1"/>
    <s v="Standard"/>
    <s v="Flash In-Page"/>
    <n v="54702"/>
    <n v="69"/>
    <n v="1.2613798398596028E-3"/>
    <x v="0"/>
  </r>
  <r>
    <x v="23"/>
    <s v="Ra2ed_728x90_UAE_AR"/>
    <x v="1"/>
    <s v="Standard"/>
    <s v="Flash In-Page"/>
    <n v="20946"/>
    <n v="16"/>
    <n v="7.6386899646710589E-4"/>
    <x v="0"/>
  </r>
  <r>
    <x v="23"/>
    <s v="Ra2ed_Video_300x250_OMN_AR"/>
    <x v="0"/>
    <s v="Standard"/>
    <s v="Rich Media In-Page Flash"/>
    <n v="2"/>
    <n v="0"/>
    <n v="0"/>
    <x v="0"/>
  </r>
  <r>
    <x v="24"/>
    <s v="Sabq_HP_300x250_KSA_AR"/>
    <x v="0"/>
    <s v="Default"/>
    <s v="Gif"/>
    <n v="4"/>
    <n v="0"/>
    <n v="0"/>
    <x v="0"/>
  </r>
  <r>
    <x v="24"/>
    <s v="Sabq_HP_300x250_KSA_AR"/>
    <x v="0"/>
    <s v="Default"/>
    <s v="Gif"/>
    <n v="4"/>
    <n v="0"/>
    <n v="0"/>
    <x v="0"/>
  </r>
  <r>
    <x v="24"/>
    <s v="Sabq_HP_300x250_KSA_AR"/>
    <x v="0"/>
    <s v="Default"/>
    <s v="Gif"/>
    <n v="5"/>
    <n v="0"/>
    <n v="0"/>
    <x v="0"/>
  </r>
  <r>
    <x v="24"/>
    <s v="Sabq_HP_300x250_KSA_AR"/>
    <x v="0"/>
    <s v="Default"/>
    <s v="Gif"/>
    <n v="12"/>
    <n v="0"/>
    <n v="0"/>
    <x v="0"/>
  </r>
  <r>
    <x v="24"/>
    <s v="Sabq_HP_300x250_KSA_AR"/>
    <x v="0"/>
    <s v="Default"/>
    <s v="Gif"/>
    <n v="6"/>
    <n v="0"/>
    <n v="0"/>
    <x v="0"/>
  </r>
  <r>
    <x v="24"/>
    <s v="Sabq_HP_300x250_KSA_AR"/>
    <x v="0"/>
    <s v="Standard"/>
    <s v="Flash In-Page"/>
    <n v="72026"/>
    <n v="162"/>
    <n v="2.249187793296865E-3"/>
    <x v="0"/>
  </r>
  <r>
    <x v="24"/>
    <s v="Sabq_HP_300x250_KSA_AR"/>
    <x v="0"/>
    <s v="Standard"/>
    <s v="Flash In-Page"/>
    <n v="113887"/>
    <n v="267"/>
    <n v="2.3444291271172302E-3"/>
    <x v="0"/>
  </r>
  <r>
    <x v="24"/>
    <s v="Sabq_HP_300x250_KSA_AR"/>
    <x v="0"/>
    <s v="Standard"/>
    <s v="Flash In-Page"/>
    <n v="102425"/>
    <n v="212"/>
    <n v="2.069807175982426E-3"/>
    <x v="0"/>
  </r>
  <r>
    <x v="24"/>
    <s v="Sabq_HP_300x250_KSA_AR"/>
    <x v="0"/>
    <s v="Standard"/>
    <s v="Flash In-Page"/>
    <n v="72624"/>
    <n v="169"/>
    <n v="2.3270544172725271E-3"/>
    <x v="0"/>
  </r>
  <r>
    <x v="24"/>
    <s v="Sabq_HP_300x250_KSA_AR"/>
    <x v="0"/>
    <s v="Standard"/>
    <s v="Flash In-Page"/>
    <n v="39908"/>
    <n v="85"/>
    <n v="2.1298987671644785E-3"/>
    <x v="0"/>
  </r>
  <r>
    <x v="24"/>
    <s v="Sabq_HP_728x270_KSA_AR"/>
    <x v="1"/>
    <s v="Default"/>
    <s v="Gif"/>
    <n v="4"/>
    <n v="0"/>
    <n v="0"/>
    <x v="0"/>
  </r>
  <r>
    <x v="24"/>
    <s v="Sabq_HP_728x270_KSA_AR"/>
    <x v="1"/>
    <s v="Default"/>
    <s v="Gif"/>
    <n v="2"/>
    <n v="0"/>
    <n v="0"/>
    <x v="0"/>
  </r>
  <r>
    <x v="24"/>
    <s v="Sabq_HP_728x270_KSA_AR"/>
    <x v="1"/>
    <s v="Default"/>
    <s v="Gif"/>
    <n v="7"/>
    <n v="0"/>
    <n v="0"/>
    <x v="0"/>
  </r>
  <r>
    <x v="24"/>
    <s v="Sabq_HP_728x270_KSA_AR"/>
    <x v="1"/>
    <s v="Default"/>
    <s v="Gif"/>
    <n v="3"/>
    <n v="0"/>
    <n v="0"/>
    <x v="0"/>
  </r>
  <r>
    <x v="24"/>
    <s v="Sabq_HP_728x270_KSA_AR"/>
    <x v="1"/>
    <s v="Standard"/>
    <s v="Rich Media Expandable"/>
    <n v="76574"/>
    <n v="98"/>
    <n v="1.2798077676495938E-3"/>
    <x v="0"/>
  </r>
  <r>
    <x v="24"/>
    <s v="Sabq_HP_728x270_KSA_AR"/>
    <x v="1"/>
    <s v="Standard"/>
    <s v="Rich Media Expandable"/>
    <n v="127244"/>
    <n v="141"/>
    <n v="1.108107258495489E-3"/>
    <x v="0"/>
  </r>
  <r>
    <x v="24"/>
    <s v="Sabq_HP_728x270_KSA_AR"/>
    <x v="1"/>
    <s v="Standard"/>
    <s v="Rich Media Expandable"/>
    <n v="110523"/>
    <n v="135"/>
    <n v="1.2214652153850331E-3"/>
    <x v="0"/>
  </r>
  <r>
    <x v="24"/>
    <s v="Sabq_HP_728x270_KSA_AR"/>
    <x v="1"/>
    <s v="Standard"/>
    <s v="Rich Media Expandable"/>
    <n v="83154"/>
    <n v="92"/>
    <n v="1.1063809317651586E-3"/>
    <x v="0"/>
  </r>
  <r>
    <x v="24"/>
    <s v="Sabq_HP_728x270_KSA_AR"/>
    <x v="1"/>
    <s v="Standard"/>
    <s v="Rich Media Expandable"/>
    <n v="27847"/>
    <n v="43"/>
    <n v="1.5441519732825799E-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">
  <r>
    <s v="Ford"/>
    <s v="Primary Brand_Yousef_Phase 1_June 2013"/>
    <x v="0"/>
    <n v="140471"/>
    <n v="862"/>
    <n v="801012"/>
    <n v="1220"/>
    <n v="1745781.414994719"/>
    <n v="100000"/>
  </r>
  <r>
    <s v="Ford"/>
    <s v="Primary Brand_Yousef_Phase 1_June 2013"/>
    <x v="1"/>
    <n v="432914"/>
    <n v="1814"/>
    <n v="2281933"/>
    <n v="2146"/>
    <n v="1000000"/>
    <n v="100000"/>
  </r>
  <r>
    <s v="Ford"/>
    <s v="Primary Brand_Yousef_Phase 1_June 2013"/>
    <x v="2"/>
    <n v="174130"/>
    <n v="260"/>
    <n v="586795"/>
    <n v="297"/>
    <n v="2350000"/>
    <n v="100000"/>
  </r>
  <r>
    <s v="Ford"/>
    <s v="Primary Brand_Yousef_Phase 1_June 2013"/>
    <x v="3"/>
    <n v="287666"/>
    <n v="1677"/>
    <n v="563865"/>
    <n v="1898"/>
    <n v="2702857.1428571427"/>
    <n v="100000"/>
  </r>
  <r>
    <s v="Ford"/>
    <s v="Mobile"/>
    <x v="4"/>
    <s v="-"/>
    <s v="-"/>
    <n v="563865"/>
    <n v="1898"/>
    <n v="5337000"/>
    <n v="100000"/>
  </r>
  <r>
    <s v="Ford"/>
    <s v="Mobile"/>
    <x v="5"/>
    <s v="-"/>
    <s v="-"/>
    <n v="563865"/>
    <n v="1898"/>
    <n v="500000"/>
    <n v="100000"/>
  </r>
  <r>
    <s v="Ford"/>
    <s v="Emailer"/>
    <x v="6"/>
    <s v="-"/>
    <s v="-"/>
    <n v="787878"/>
    <n v="977"/>
    <n v="500000"/>
    <n v="100000"/>
  </r>
  <r>
    <s v="Ford"/>
    <s v="Emailer"/>
    <x v="7"/>
    <s v="-"/>
    <s v="-"/>
    <n v="98988"/>
    <n v="989"/>
    <n v="500000"/>
    <n v="100000"/>
  </r>
  <r>
    <s v="Ford"/>
    <s v="GDN"/>
    <x v="8"/>
    <s v="-"/>
    <s v="-"/>
    <n v="98988"/>
    <n v="989"/>
    <n v="500000"/>
    <n v="100000"/>
  </r>
  <r>
    <s v="Ford"/>
    <s v="Google Search"/>
    <x v="9"/>
    <s v="-"/>
    <s v="-"/>
    <n v="98988"/>
    <n v="989"/>
    <n v="500000"/>
    <n v="10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">
  <r>
    <x v="0"/>
    <n v="833891"/>
    <n v="1354"/>
  </r>
  <r>
    <x v="1"/>
    <n v="418377"/>
    <n v="432"/>
  </r>
  <r>
    <x v="1"/>
    <n v="381556"/>
    <n v="230"/>
  </r>
  <r>
    <x v="0"/>
    <n v="353442"/>
    <n v="607"/>
  </r>
  <r>
    <x v="0"/>
    <n v="327837"/>
    <n v="408"/>
  </r>
  <r>
    <x v="1"/>
    <n v="180574"/>
    <n v="292"/>
  </r>
  <r>
    <x v="0"/>
    <n v="177451"/>
    <n v="332"/>
  </r>
  <r>
    <x v="0"/>
    <n v="166470"/>
    <n v="406"/>
  </r>
  <r>
    <x v="2"/>
    <n v="75988"/>
    <n v="114"/>
  </r>
  <r>
    <x v="3"/>
    <n v="65254"/>
    <n v="6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102">
  <r>
    <x v="0"/>
    <s v="Tech,World,Ent._300x250_Vid_ARE_AR"/>
    <x v="0"/>
    <s v="Standard"/>
    <s v="Rich Media In-Page Flash"/>
    <n v="2"/>
    <n v="0"/>
    <n v="0"/>
    <x v="0"/>
  </r>
  <r>
    <x v="0"/>
    <s v="Tech,World,Ent._300x250_Vid_ARE_AR"/>
    <x v="0"/>
    <s v="Standard"/>
    <s v="Rich Media In-Page Flash"/>
    <n v="1"/>
    <n v="0"/>
    <n v="0"/>
    <x v="0"/>
  </r>
  <r>
    <x v="0"/>
    <s v="Tech,World,Ent._300x250_Vid_ARE_AR"/>
    <x v="0"/>
    <s v="Standard"/>
    <s v="Rich Media In-Page Flash"/>
    <n v="2"/>
    <n v="0"/>
    <n v="0"/>
    <x v="0"/>
  </r>
  <r>
    <x v="0"/>
    <s v="Tech,World,Ent._300x250_Vid_ARE_AR"/>
    <x v="0"/>
    <s v="Standard"/>
    <s v="Rich Media In-Page Flash"/>
    <n v="6"/>
    <n v="0"/>
    <n v="0"/>
    <x v="0"/>
  </r>
  <r>
    <x v="0"/>
    <s v="Tech,World,Ent._300x250_Vid_BHR_AR"/>
    <x v="0"/>
    <s v="Standard"/>
    <s v="Rich Media In-Page Flash"/>
    <n v="1"/>
    <n v="0"/>
    <n v="0"/>
    <x v="0"/>
  </r>
  <r>
    <x v="0"/>
    <s v="Tech,World,Ent._300x250_Vid_KSA_AR"/>
    <x v="0"/>
    <s v="Standard"/>
    <s v="Rich Media In-Page Flash"/>
    <n v="2"/>
    <n v="0"/>
    <n v="0"/>
    <x v="0"/>
  </r>
  <r>
    <x v="0"/>
    <s v="Tech,World,Ent._300x250_Vid_KSA_AR"/>
    <x v="0"/>
    <s v="Standard"/>
    <s v="Rich Media In-Page Flash"/>
    <n v="2"/>
    <n v="0"/>
    <n v="0"/>
    <x v="0"/>
  </r>
  <r>
    <x v="0"/>
    <s v="Tech,World,Ent._300x250_Vid_KSA_AR"/>
    <x v="0"/>
    <s v="Standard"/>
    <s v="Rich Media In-Page Flash"/>
    <n v="2"/>
    <n v="0"/>
    <n v="0"/>
    <x v="0"/>
  </r>
  <r>
    <x v="0"/>
    <s v="Tech,World,Ent._300x250_Vid_KSA_AR"/>
    <x v="0"/>
    <s v="Standard"/>
    <s v="Rich Media In-Page Flash"/>
    <n v="10"/>
    <n v="0"/>
    <n v="0"/>
    <x v="0"/>
  </r>
  <r>
    <x v="0"/>
    <s v="Tech,World,Ent._300x250_Vid_KSA_AR"/>
    <x v="0"/>
    <s v="Standard"/>
    <s v="Rich Media In-Page Flash"/>
    <n v="11"/>
    <n v="0"/>
    <n v="0"/>
    <x v="0"/>
  </r>
  <r>
    <x v="0"/>
    <s v="Tech,World,Ent._300x250_Vid_OMN_AR"/>
    <x v="0"/>
    <s v="Standard"/>
    <s v="Rich Media In-Page Flash"/>
    <n v="1"/>
    <n v="0"/>
    <n v="0"/>
    <x v="0"/>
  </r>
  <r>
    <x v="0"/>
    <s v="Tech,World,Ent._300x250_Vid_OMN_AR"/>
    <x v="0"/>
    <s v="Standard"/>
    <s v="Rich Media In-Page Flash"/>
    <n v="2"/>
    <n v="0"/>
    <n v="0"/>
    <x v="0"/>
  </r>
  <r>
    <x v="0"/>
    <s v="Tech,World,Ent._300x250_Vid_OMN_AR"/>
    <x v="0"/>
    <s v="Standard"/>
    <s v="Rich Media In-Page Flash"/>
    <n v="2"/>
    <n v="0"/>
    <n v="0"/>
    <x v="0"/>
  </r>
  <r>
    <x v="1"/>
    <s v="Tech,World,Ent._728x270_Vid_QAT_EN"/>
    <x v="1"/>
    <s v="Standard"/>
    <s v="Rich Media Expandable"/>
    <n v="5"/>
    <n v="0"/>
    <n v="0"/>
    <x v="1"/>
  </r>
  <r>
    <x v="1"/>
    <s v="Tech,World,Ent._728x270_Vid_QAT_EN"/>
    <x v="1"/>
    <s v="Standard"/>
    <s v="Rich Media Expandable"/>
    <n v="8"/>
    <n v="0"/>
    <n v="0"/>
    <x v="1"/>
  </r>
  <r>
    <x v="1"/>
    <s v="Tech,World,Ent._728x270_Vid_QAT_EN"/>
    <x v="1"/>
    <s v="Standard"/>
    <s v="Rich Media Expandable"/>
    <n v="6"/>
    <n v="0"/>
    <n v="0"/>
    <x v="1"/>
  </r>
  <r>
    <x v="1"/>
    <s v="Tech,World,Ent._728x270_Vid_QAT_EN"/>
    <x v="1"/>
    <s v="Standard"/>
    <s v="Rich Media Expandable"/>
    <n v="2"/>
    <n v="0"/>
    <n v="0"/>
    <x v="1"/>
  </r>
  <r>
    <x v="2"/>
    <s v="Dubizzle_300x250_UAE_AR"/>
    <x v="0"/>
    <s v="Standard"/>
    <s v="Flash In-Page"/>
    <n v="41253"/>
    <n v="76"/>
    <n v="1.8422902576782296E-3"/>
    <x v="0"/>
  </r>
  <r>
    <x v="2"/>
    <s v="Dubizzle_300x250_UAE_AR"/>
    <x v="0"/>
    <s v="Standard"/>
    <s v="Flash In-Page"/>
    <n v="34048"/>
    <n v="54"/>
    <n v="1.5859962406015037E-3"/>
    <x v="0"/>
  </r>
  <r>
    <x v="2"/>
    <s v="Dubizzle_300x250_UAE_AR"/>
    <x v="0"/>
    <s v="Standard"/>
    <s v="Flash In-Page"/>
    <n v="6272"/>
    <n v="11"/>
    <n v="1.7538265306122449E-3"/>
    <x v="0"/>
  </r>
  <r>
    <x v="2"/>
    <s v="Dubizzle_300x250_UAE_EN"/>
    <x v="0"/>
    <s v="Standard"/>
    <s v="Flash In-Page"/>
    <n v="75548"/>
    <n v="270"/>
    <n v="3.5738868004447505E-3"/>
    <x v="1"/>
  </r>
  <r>
    <x v="2"/>
    <s v="Dubizzle_300x250_UAE_EN"/>
    <x v="0"/>
    <s v="Standard"/>
    <s v="Flash In-Page"/>
    <n v="98165"/>
    <n v="368"/>
    <n v="3.7487903020424797E-3"/>
    <x v="1"/>
  </r>
  <r>
    <x v="2"/>
    <s v="Dubizzle_300x250_UAE_EN"/>
    <x v="0"/>
    <s v="Standard"/>
    <s v="Flash In-Page"/>
    <n v="20833"/>
    <n v="73"/>
    <n v="3.5040560648970384E-3"/>
    <x v="1"/>
  </r>
  <r>
    <x v="2"/>
    <s v="Dubizzle_728x90_BHR_AR"/>
    <x v="1"/>
    <s v="Standard"/>
    <s v="Flash In-Page"/>
    <n v="14102"/>
    <n v="10"/>
    <n v="7.0911927386186355E-4"/>
    <x v="0"/>
  </r>
  <r>
    <x v="2"/>
    <s v="Dubizzle_728x90_BHR_AR"/>
    <x v="1"/>
    <s v="Standard"/>
    <s v="Flash In-Page"/>
    <n v="3846"/>
    <n v="2"/>
    <n v="5.2002080083203334E-4"/>
    <x v="0"/>
  </r>
  <r>
    <x v="2"/>
    <s v="Dubizzle_728x90_BHR_AR"/>
    <x v="1"/>
    <s v="Standard"/>
    <s v="Flash In-Page"/>
    <n v="498"/>
    <n v="0"/>
    <n v="0"/>
    <x v="0"/>
  </r>
  <r>
    <x v="2"/>
    <s v="Dubizzle_728x90_BHR_EN"/>
    <x v="1"/>
    <s v="Standard"/>
    <s v="Flash In-Page"/>
    <n v="2886"/>
    <n v="2"/>
    <n v="6.93000693000693E-4"/>
    <x v="1"/>
  </r>
  <r>
    <x v="2"/>
    <s v="Dubizzle_728x90_BHR_EN"/>
    <x v="1"/>
    <s v="Standard"/>
    <s v="Flash In-Page"/>
    <n v="4657"/>
    <n v="8"/>
    <n v="1.7178441056474125E-3"/>
    <x v="1"/>
  </r>
  <r>
    <x v="2"/>
    <s v="Dubizzle_728x90_BHR_EN"/>
    <x v="1"/>
    <s v="Standard"/>
    <s v="Flash In-Page"/>
    <n v="1333"/>
    <n v="4"/>
    <n v="3.0007501875468868E-3"/>
    <x v="1"/>
  </r>
  <r>
    <x v="2"/>
    <s v="Dubizzle_728x90_KSA_AR"/>
    <x v="1"/>
    <s v="Standard"/>
    <s v="Flash In-Page"/>
    <n v="30179"/>
    <n v="35"/>
    <n v="1.1597468438318036E-3"/>
    <x v="0"/>
  </r>
  <r>
    <x v="2"/>
    <s v="Dubizzle_728x90_KSA_AR"/>
    <x v="1"/>
    <s v="Standard"/>
    <s v="Flash In-Page"/>
    <n v="31234"/>
    <n v="38"/>
    <n v="1.2166229109303963E-3"/>
    <x v="0"/>
  </r>
  <r>
    <x v="2"/>
    <s v="Dubizzle_728x90_KSA_AR"/>
    <x v="1"/>
    <s v="Standard"/>
    <s v="Flash In-Page"/>
    <n v="7330"/>
    <n v="2"/>
    <n v="2.7285129604365623E-4"/>
    <x v="0"/>
  </r>
  <r>
    <x v="2"/>
    <s v="Dubizzle_728x90_KSA_EN"/>
    <x v="1"/>
    <s v="Standard"/>
    <s v="Flash In-Page"/>
    <n v="9145"/>
    <n v="8"/>
    <n v="8.747949699289229E-4"/>
    <x v="1"/>
  </r>
  <r>
    <x v="2"/>
    <s v="Dubizzle_728x90_KSA_EN"/>
    <x v="1"/>
    <s v="Standard"/>
    <s v="Flash In-Page"/>
    <n v="6253"/>
    <n v="10"/>
    <n v="1.5992323684631377E-3"/>
    <x v="1"/>
  </r>
  <r>
    <x v="2"/>
    <s v="Dubizzle_728x90_KSA_EN"/>
    <x v="1"/>
    <s v="Standard"/>
    <s v="Flash In-Page"/>
    <n v="1391"/>
    <n v="2"/>
    <n v="1.4378145219266715E-3"/>
    <x v="1"/>
  </r>
  <r>
    <x v="2"/>
    <s v="Dubizzle_728x90_KWT_AR"/>
    <x v="1"/>
    <s v="Standard"/>
    <s v="Flash In-Page"/>
    <n v="9871"/>
    <n v="10"/>
    <n v="1.013068584743187E-3"/>
    <x v="0"/>
  </r>
  <r>
    <x v="2"/>
    <s v="Dubizzle_728x90_KWT_AR"/>
    <x v="1"/>
    <s v="Standard"/>
    <s v="Flash In-Page"/>
    <n v="11667"/>
    <n v="5"/>
    <n v="4.2855918402331364E-4"/>
    <x v="0"/>
  </r>
  <r>
    <x v="2"/>
    <s v="Dubizzle_728x90_KWT_AR"/>
    <x v="1"/>
    <s v="Standard"/>
    <s v="Flash In-Page"/>
    <n v="2206"/>
    <n v="0"/>
    <n v="0"/>
    <x v="0"/>
  </r>
  <r>
    <x v="2"/>
    <s v="Dubizzle_728x90_KWT_EN"/>
    <x v="1"/>
    <s v="Standard"/>
    <s v="Flash In-Page"/>
    <n v="3250"/>
    <n v="1"/>
    <n v="3.076923076923077E-4"/>
    <x v="1"/>
  </r>
  <r>
    <x v="2"/>
    <s v="Dubizzle_728x90_KWT_EN"/>
    <x v="1"/>
    <s v="Standard"/>
    <s v="Flash In-Page"/>
    <n v="3905"/>
    <n v="4"/>
    <n v="1.0243277848911651E-3"/>
    <x v="1"/>
  </r>
  <r>
    <x v="2"/>
    <s v="Dubizzle_728x90_KWT_EN"/>
    <x v="1"/>
    <s v="Standard"/>
    <s v="Flash In-Page"/>
    <n v="52"/>
    <n v="0"/>
    <n v="0"/>
    <x v="1"/>
  </r>
  <r>
    <x v="2"/>
    <s v="Dubizzle_728x90_OMN_AR"/>
    <x v="1"/>
    <s v="Standard"/>
    <s v="Flash In-Page"/>
    <n v="2979"/>
    <n v="5"/>
    <n v="1.6784155756965425E-3"/>
    <x v="0"/>
  </r>
  <r>
    <x v="2"/>
    <s v="Dubizzle_728x90_OMN_AR"/>
    <x v="1"/>
    <s v="Standard"/>
    <s v="Flash In-Page"/>
    <n v="4595"/>
    <n v="3"/>
    <n v="6.5288356909684435E-4"/>
    <x v="0"/>
  </r>
  <r>
    <x v="2"/>
    <s v="Dubizzle_728x90_OMN_AR"/>
    <x v="1"/>
    <s v="Standard"/>
    <s v="Flash In-Page"/>
    <n v="1443"/>
    <n v="1"/>
    <n v="6.93000693000693E-4"/>
    <x v="0"/>
  </r>
  <r>
    <x v="2"/>
    <s v="Dubizzle_728x90_OMN_EN"/>
    <x v="1"/>
    <s v="Standard"/>
    <s v="Flash In-Page"/>
    <n v="2918"/>
    <n v="1"/>
    <n v="3.4270047978067172E-4"/>
    <x v="1"/>
  </r>
  <r>
    <x v="2"/>
    <s v="Dubizzle_728x90_OMN_EN"/>
    <x v="1"/>
    <s v="Standard"/>
    <s v="Flash In-Page"/>
    <n v="4618"/>
    <n v="7"/>
    <n v="1.5158077089649198E-3"/>
    <x v="1"/>
  </r>
  <r>
    <x v="2"/>
    <s v="Dubizzle_728x90_OMN_EN"/>
    <x v="1"/>
    <s v="Standard"/>
    <s v="Flash In-Page"/>
    <n v="1377"/>
    <n v="1"/>
    <n v="7.2621641249092229E-4"/>
    <x v="1"/>
  </r>
  <r>
    <x v="2"/>
    <s v="Dubizzle_728x90_QAT_AR"/>
    <x v="1"/>
    <s v="Standard"/>
    <s v="Flash In-Page"/>
    <n v="16643"/>
    <n v="22"/>
    <n v="1.3218770654329147E-3"/>
    <x v="0"/>
  </r>
  <r>
    <x v="2"/>
    <s v="Dubizzle_728x90_QAT_AR"/>
    <x v="1"/>
    <s v="Standard"/>
    <s v="Flash In-Page"/>
    <n v="13632"/>
    <n v="8"/>
    <n v="5.8685446009389673E-4"/>
    <x v="0"/>
  </r>
  <r>
    <x v="2"/>
    <s v="Dubizzle_728x90_QAT_AR"/>
    <x v="1"/>
    <s v="Standard"/>
    <s v="Flash In-Page"/>
    <n v="2887"/>
    <n v="2"/>
    <n v="6.9276065119501214E-4"/>
    <x v="0"/>
  </r>
  <r>
    <x v="2"/>
    <s v="Dubizzle_728x90_QAT_EN"/>
    <x v="1"/>
    <s v="Standard"/>
    <s v="Flash In-Page"/>
    <n v="4146"/>
    <n v="4"/>
    <n v="9.6478533526290404E-4"/>
    <x v="1"/>
  </r>
  <r>
    <x v="2"/>
    <s v="Dubizzle_728x90_QAT_EN"/>
    <x v="1"/>
    <s v="Standard"/>
    <s v="Flash In-Page"/>
    <n v="7483"/>
    <n v="12"/>
    <n v="1.6036349057864494E-3"/>
    <x v="1"/>
  </r>
  <r>
    <x v="2"/>
    <s v="Dubizzle_728x90_QAT_EN"/>
    <x v="1"/>
    <s v="Standard"/>
    <s v="Flash In-Page"/>
    <n v="1846"/>
    <n v="1"/>
    <n v="5.4171180931744309E-4"/>
    <x v="1"/>
  </r>
  <r>
    <x v="3"/>
    <s v="Ikoo_Auto_Channels_300x250_KSA_AR"/>
    <x v="0"/>
    <s v="Default"/>
    <s v="Gif"/>
    <n v="1"/>
    <n v="0"/>
    <n v="0"/>
    <x v="0"/>
  </r>
  <r>
    <x v="3"/>
    <s v="Ikoo_Automotive_300x250_BHR_AR"/>
    <x v="0"/>
    <s v="Standard"/>
    <s v="Flash In-Page"/>
    <n v="23783"/>
    <n v="1"/>
    <n v="4.2046840179960479E-5"/>
    <x v="0"/>
  </r>
  <r>
    <x v="3"/>
    <s v="Ikoo_Automotive_300x250_BHR_AR"/>
    <x v="0"/>
    <s v="Standard"/>
    <s v="Flash In-Page"/>
    <n v="53276"/>
    <n v="1"/>
    <n v="1.8770177941286883E-5"/>
    <x v="0"/>
  </r>
  <r>
    <x v="3"/>
    <s v="Ikoo_Automotive_300x250_BHR_AR"/>
    <x v="0"/>
    <s v="Standard"/>
    <s v="Flash In-Page"/>
    <n v="40625"/>
    <n v="2"/>
    <n v="4.9230769230769232E-5"/>
    <x v="0"/>
  </r>
  <r>
    <x v="3"/>
    <s v="Ikoo_Automotive_300x250_BHR_AR"/>
    <x v="0"/>
    <s v="Standard"/>
    <s v="Flash In-Page"/>
    <n v="50996"/>
    <n v="2"/>
    <n v="3.9218762255863202E-5"/>
    <x v="0"/>
  </r>
  <r>
    <x v="3"/>
    <s v="Ikoo_Automotive_300x250_BHR_AR"/>
    <x v="0"/>
    <s v="Standard"/>
    <s v="Flash In-Page"/>
    <n v="33372"/>
    <n v="4"/>
    <n v="1.1986096128490951E-4"/>
    <x v="0"/>
  </r>
  <r>
    <x v="3"/>
    <s v="Ikoo_Automotive_300x250_KSA_AR"/>
    <x v="0"/>
    <s v="Standard"/>
    <s v="Flash In-Page"/>
    <n v="2837"/>
    <n v="0"/>
    <n v="0"/>
    <x v="0"/>
  </r>
  <r>
    <x v="3"/>
    <s v="Ikoo_Automotive_300x250_KSA_AR"/>
    <x v="0"/>
    <s v="Standard"/>
    <s v="Flash In-Page"/>
    <n v="8670"/>
    <n v="14"/>
    <n v="1.6147635524798155E-3"/>
    <x v="0"/>
  </r>
  <r>
    <x v="3"/>
    <s v="Ikoo_Automotive_300x250_KSA_AR"/>
    <x v="0"/>
    <s v="Standard"/>
    <s v="Flash In-Page"/>
    <n v="20748"/>
    <n v="19"/>
    <n v="9.1575091575091575E-4"/>
    <x v="0"/>
  </r>
  <r>
    <x v="3"/>
    <s v="Ikoo_Automotive_300x250_KSA_AR"/>
    <x v="0"/>
    <s v="Standard"/>
    <s v="Flash In-Page"/>
    <n v="28243"/>
    <n v="30"/>
    <n v="1.0622101051588004E-3"/>
    <x v="0"/>
  </r>
  <r>
    <x v="3"/>
    <s v="Ikoo_Automotive_300x250_KSA_AR"/>
    <x v="0"/>
    <s v="Standard"/>
    <s v="Flash In-Page"/>
    <n v="13736"/>
    <n v="21"/>
    <n v="1.5288293535235876E-3"/>
    <x v="0"/>
  </r>
  <r>
    <x v="3"/>
    <s v="Ikoo_Automotive_300x250_KWT_AR"/>
    <x v="0"/>
    <s v="Standard"/>
    <s v="Flash In-Page"/>
    <n v="8796"/>
    <n v="22"/>
    <n v="2.5011368804001817E-3"/>
    <x v="0"/>
  </r>
  <r>
    <x v="3"/>
    <s v="Ikoo_Automotive_300x250_KWT_AR"/>
    <x v="0"/>
    <s v="Standard"/>
    <s v="Flash In-Page"/>
    <n v="21341"/>
    <n v="36"/>
    <n v="1.6868937725504896E-3"/>
    <x v="0"/>
  </r>
  <r>
    <x v="3"/>
    <s v="Ikoo_Automotive_300x250_KWT_AR"/>
    <x v="0"/>
    <s v="Standard"/>
    <s v="Flash In-Page"/>
    <n v="25091"/>
    <n v="42"/>
    <n v="1.6739069785979036E-3"/>
    <x v="0"/>
  </r>
  <r>
    <x v="3"/>
    <s v="Ikoo_Automotive_300x250_KWT_AR"/>
    <x v="0"/>
    <s v="Standard"/>
    <s v="Flash In-Page"/>
    <n v="28763"/>
    <n v="34"/>
    <n v="1.1820741925390259E-3"/>
    <x v="0"/>
  </r>
  <r>
    <x v="3"/>
    <s v="Ikoo_Automotive_300x250_KWT_AR"/>
    <x v="0"/>
    <s v="Standard"/>
    <s v="Flash In-Page"/>
    <n v="59747"/>
    <n v="53"/>
    <n v="8.870738279746263E-4"/>
    <x v="0"/>
  </r>
  <r>
    <x v="3"/>
    <s v="Ikoo_Automotive_300x250_OMN_AR"/>
    <x v="0"/>
    <s v="Standard"/>
    <s v="Flash In-Page"/>
    <n v="2493"/>
    <n v="4"/>
    <n v="1.604492579221821E-3"/>
    <x v="0"/>
  </r>
  <r>
    <x v="3"/>
    <s v="Ikoo_Automotive_300x250_OMN_AR"/>
    <x v="0"/>
    <s v="Standard"/>
    <s v="Flash In-Page"/>
    <n v="8354"/>
    <n v="7"/>
    <n v="8.379219535551831E-4"/>
    <x v="0"/>
  </r>
  <r>
    <x v="3"/>
    <s v="Ikoo_Automotive_300x250_OMN_AR"/>
    <x v="0"/>
    <s v="Standard"/>
    <s v="Flash In-Page"/>
    <n v="17341"/>
    <n v="25"/>
    <n v="1.4416700305634046E-3"/>
    <x v="0"/>
  </r>
  <r>
    <x v="3"/>
    <s v="Ikoo_Automotive_300x250_OMN_AR"/>
    <x v="0"/>
    <s v="Standard"/>
    <s v="Flash In-Page"/>
    <n v="10798"/>
    <n v="25"/>
    <n v="2.315243563622893E-3"/>
    <x v="0"/>
  </r>
  <r>
    <x v="3"/>
    <s v="Ikoo_Automotive_300x250_OMN_AR"/>
    <x v="0"/>
    <s v="Standard"/>
    <s v="Flash In-Page"/>
    <n v="13195"/>
    <n v="35"/>
    <n v="2.6525198938992041E-3"/>
    <x v="0"/>
  </r>
  <r>
    <x v="3"/>
    <s v="Ikoo_Automotive_300x250_QAT_AR"/>
    <x v="0"/>
    <s v="Standard"/>
    <s v="Flash In-Page"/>
    <n v="108535"/>
    <n v="209"/>
    <n v="1.9256461049431059E-3"/>
    <x v="0"/>
  </r>
  <r>
    <x v="3"/>
    <s v="Ikoo_Automotive_300x250_QAT_AR"/>
    <x v="0"/>
    <s v="Standard"/>
    <s v="Flash In-Page"/>
    <n v="152172"/>
    <n v="307"/>
    <n v="2.0174539337065953E-3"/>
    <x v="0"/>
  </r>
  <r>
    <x v="3"/>
    <s v="Ikoo_Automotive_300x250_QAT_AR"/>
    <x v="0"/>
    <s v="Standard"/>
    <s v="Flash In-Page"/>
    <n v="78388"/>
    <n v="142"/>
    <n v="1.8115017604735419E-3"/>
    <x v="0"/>
  </r>
  <r>
    <x v="3"/>
    <s v="Ikoo_Automotive_300x250_QAT_AR"/>
    <x v="0"/>
    <s v="Standard"/>
    <s v="Flash In-Page"/>
    <n v="145466"/>
    <n v="178"/>
    <n v="1.2236536372760645E-3"/>
    <x v="0"/>
  </r>
  <r>
    <x v="3"/>
    <s v="Ikoo_Automotive_300x250_QAT_AR"/>
    <x v="0"/>
    <s v="Standard"/>
    <s v="Flash In-Page"/>
    <n v="110541"/>
    <n v="166"/>
    <n v="1.5017052496358817E-3"/>
    <x v="0"/>
  </r>
  <r>
    <x v="3"/>
    <s v="Ikoo_Automotive_300x250_UAE_AR"/>
    <x v="0"/>
    <s v="Standard"/>
    <s v="Flash In-Page"/>
    <n v="3821"/>
    <n v="4"/>
    <n v="1.0468463752944255E-3"/>
    <x v="0"/>
  </r>
  <r>
    <x v="3"/>
    <s v="Ikoo_Automotive_300x250_UAE_AR"/>
    <x v="0"/>
    <s v="Standard"/>
    <s v="Flash In-Page"/>
    <n v="3295"/>
    <n v="2"/>
    <n v="6.0698027314112291E-4"/>
    <x v="0"/>
  </r>
  <r>
    <x v="3"/>
    <s v="Ikoo_Automotive_300x250_UAE_AR"/>
    <x v="0"/>
    <s v="Standard"/>
    <s v="Flash In-Page"/>
    <n v="4261"/>
    <n v="6"/>
    <n v="1.4081201595869514E-3"/>
    <x v="0"/>
  </r>
  <r>
    <x v="3"/>
    <s v="Ikoo_Automotive_300x250_UAE_AR"/>
    <x v="0"/>
    <s v="Standard"/>
    <s v="Flash In-Page"/>
    <n v="5689"/>
    <n v="1"/>
    <n v="1.7577781683951485E-4"/>
    <x v="0"/>
  </r>
  <r>
    <x v="3"/>
    <s v="Ikoo_Automotive_300x250_UAE_AR"/>
    <x v="0"/>
    <s v="Standard"/>
    <s v="Flash In-Page"/>
    <n v="3409"/>
    <n v="2"/>
    <n v="5.8668231152830743E-4"/>
    <x v="0"/>
  </r>
  <r>
    <x v="3"/>
    <s v="Ikoo_Automotive_728x90_BHR_AR"/>
    <x v="1"/>
    <s v="Standard"/>
    <s v="Flash In-Page"/>
    <n v="18670"/>
    <n v="3"/>
    <n v="1.6068559185859668E-4"/>
    <x v="0"/>
  </r>
  <r>
    <x v="3"/>
    <s v="Ikoo_Automotive_728x90_BHR_AR"/>
    <x v="1"/>
    <s v="Standard"/>
    <s v="Flash In-Page"/>
    <n v="41364"/>
    <n v="0"/>
    <n v="0"/>
    <x v="0"/>
  </r>
  <r>
    <x v="3"/>
    <s v="Ikoo_Automotive_728x90_BHR_AR"/>
    <x v="1"/>
    <s v="Standard"/>
    <s v="Flash In-Page"/>
    <n v="32313"/>
    <n v="1"/>
    <n v="3.0947296753628568E-5"/>
    <x v="0"/>
  </r>
  <r>
    <x v="3"/>
    <s v="Ikoo_Automotive_728x90_BHR_AR"/>
    <x v="1"/>
    <s v="Standard"/>
    <s v="Flash In-Page"/>
    <n v="40519"/>
    <n v="16"/>
    <n v="3.9487647770181892E-4"/>
    <x v="0"/>
  </r>
  <r>
    <x v="3"/>
    <s v="Ikoo_Automotive_728x90_BHR_AR"/>
    <x v="1"/>
    <s v="Standard"/>
    <s v="Flash In-Page"/>
    <n v="26363"/>
    <n v="10"/>
    <n v="3.7931950081553691E-4"/>
    <x v="0"/>
  </r>
  <r>
    <x v="3"/>
    <s v="Ikoo_Automotive_728x90_KSA_AR"/>
    <x v="1"/>
    <s v="Standard"/>
    <s v="Flash In-Page"/>
    <n v="27111"/>
    <n v="23"/>
    <n v="8.4836413263988789E-4"/>
    <x v="0"/>
  </r>
  <r>
    <x v="3"/>
    <s v="Ikoo_Automotive_728x90_KSA_AR"/>
    <x v="1"/>
    <s v="Standard"/>
    <s v="Flash In-Page"/>
    <n v="24134"/>
    <n v="42"/>
    <n v="1.7402834175851496E-3"/>
    <x v="0"/>
  </r>
  <r>
    <x v="3"/>
    <s v="Ikoo_Automotive_728x90_KSA_AR"/>
    <x v="1"/>
    <s v="Standard"/>
    <s v="Flash In-Page"/>
    <n v="41857"/>
    <n v="79"/>
    <n v="1.8873784552165707E-3"/>
    <x v="0"/>
  </r>
  <r>
    <x v="3"/>
    <s v="Ikoo_Automotive_728x90_KSA_AR"/>
    <x v="1"/>
    <s v="Standard"/>
    <s v="Flash In-Page"/>
    <n v="38159"/>
    <n v="63"/>
    <n v="1.6509866610760239E-3"/>
    <x v="0"/>
  </r>
  <r>
    <x v="3"/>
    <s v="Ikoo_Automotive_728x90_KSA_AR"/>
    <x v="1"/>
    <s v="Standard"/>
    <s v="Flash In-Page"/>
    <n v="27095"/>
    <n v="45"/>
    <n v="1.6608230300793503E-3"/>
    <x v="0"/>
  </r>
  <r>
    <x v="3"/>
    <s v="Ikoo_Automotive_728x90_KWT_AR"/>
    <x v="1"/>
    <s v="Standard"/>
    <s v="Flash In-Page"/>
    <n v="6101"/>
    <n v="41"/>
    <n v="6.7202098016718569E-3"/>
    <x v="0"/>
  </r>
  <r>
    <x v="3"/>
    <s v="Ikoo_Automotive_728x90_KWT_AR"/>
    <x v="1"/>
    <s v="Standard"/>
    <s v="Flash In-Page"/>
    <n v="34664"/>
    <n v="173"/>
    <n v="4.990768520655435E-3"/>
    <x v="0"/>
  </r>
  <r>
    <x v="3"/>
    <s v="Ikoo_Automotive_728x90_KWT_AR"/>
    <x v="1"/>
    <s v="Standard"/>
    <s v="Flash In-Page"/>
    <n v="80293"/>
    <n v="276"/>
    <n v="3.4374104841019765E-3"/>
    <x v="0"/>
  </r>
  <r>
    <x v="3"/>
    <s v="Ikoo_Automotive_728x90_KWT_AR"/>
    <x v="1"/>
    <s v="Standard"/>
    <s v="Flash In-Page"/>
    <n v="83994"/>
    <n v="329"/>
    <n v="3.9169464485558489E-3"/>
    <x v="0"/>
  </r>
  <r>
    <x v="3"/>
    <s v="Ikoo_Automotive_728x90_KWT_AR"/>
    <x v="1"/>
    <s v="Standard"/>
    <s v="Flash In-Page"/>
    <n v="93489"/>
    <n v="334"/>
    <n v="3.5726128207596614E-3"/>
    <x v="0"/>
  </r>
  <r>
    <x v="3"/>
    <s v="Ikoo_Automotive_728x90_OMN_AR"/>
    <x v="1"/>
    <s v="Standard"/>
    <s v="Flash In-Page"/>
    <n v="2219"/>
    <n v="23"/>
    <n v="1.0365029292474088E-2"/>
    <x v="0"/>
  </r>
  <r>
    <x v="3"/>
    <s v="Ikoo_Automotive_728x90_OMN_AR"/>
    <x v="1"/>
    <s v="Standard"/>
    <s v="Flash In-Page"/>
    <n v="6723"/>
    <n v="28"/>
    <n v="4.1648073776587831E-3"/>
    <x v="0"/>
  </r>
  <r>
    <x v="3"/>
    <s v="Ikoo_Automotive_728x90_OMN_AR"/>
    <x v="1"/>
    <s v="Standard"/>
    <s v="Flash In-Page"/>
    <n v="14386"/>
    <n v="91"/>
    <n v="6.3255943278187126E-3"/>
    <x v="0"/>
  </r>
  <r>
    <x v="3"/>
    <s v="Ikoo_Automotive_728x90_OMN_AR"/>
    <x v="1"/>
    <s v="Standard"/>
    <s v="Flash In-Page"/>
    <n v="9269"/>
    <n v="76"/>
    <n v="8.1993742582802884E-3"/>
    <x v="0"/>
  </r>
  <r>
    <x v="3"/>
    <s v="Ikoo_Automotive_728x90_OMN_AR"/>
    <x v="1"/>
    <s v="Standard"/>
    <s v="Flash In-Page"/>
    <n v="11104"/>
    <n v="73"/>
    <n v="6.574207492795389E-3"/>
    <x v="0"/>
  </r>
  <r>
    <x v="3"/>
    <s v="Ikoo_Automotive_728x90_QAT_AR"/>
    <x v="1"/>
    <s v="Standard"/>
    <s v="Flash In-Page"/>
    <n v="85529"/>
    <n v="355"/>
    <n v="4.1506389645617273E-3"/>
    <x v="0"/>
  </r>
  <r>
    <x v="3"/>
    <s v="Ikoo_Automotive_728x90_QAT_AR"/>
    <x v="1"/>
    <s v="Standard"/>
    <s v="Flash In-Page"/>
    <n v="117625"/>
    <n v="590"/>
    <n v="5.0159404888416581E-3"/>
    <x v="0"/>
  </r>
  <r>
    <x v="3"/>
    <s v="Ikoo_Automotive_728x90_QAT_AR"/>
    <x v="1"/>
    <s v="Standard"/>
    <s v="Flash In-Page"/>
    <n v="60152"/>
    <n v="253"/>
    <n v="4.2060114376911827E-3"/>
    <x v="0"/>
  </r>
  <r>
    <x v="3"/>
    <s v="Ikoo_Automotive_728x90_QAT_AR"/>
    <x v="1"/>
    <s v="Standard"/>
    <s v="Flash In-Page"/>
    <n v="113036"/>
    <n v="309"/>
    <n v="2.733642379418946E-3"/>
    <x v="0"/>
  </r>
  <r>
    <x v="3"/>
    <s v="Ikoo_Automotive_728x90_QAT_AR"/>
    <x v="1"/>
    <s v="Standard"/>
    <s v="Flash In-Page"/>
    <n v="86268"/>
    <n v="267"/>
    <n v="3.0950062595632216E-3"/>
    <x v="0"/>
  </r>
  <r>
    <x v="3"/>
    <s v="Ikoo_Automotive_728x90_UAE_AR"/>
    <x v="1"/>
    <s v="Standard"/>
    <s v="Flash In-Page"/>
    <n v="78477"/>
    <n v="254"/>
    <n v="3.2366170980032368E-3"/>
    <x v="0"/>
  </r>
  <r>
    <x v="3"/>
    <s v="Ikoo_Automotive_728x90_UAE_AR"/>
    <x v="1"/>
    <s v="Standard"/>
    <s v="Flash In-Page"/>
    <n v="167594"/>
    <n v="544"/>
    <n v="3.2459395921095027E-3"/>
    <x v="0"/>
  </r>
  <r>
    <x v="3"/>
    <s v="Ikoo_Automotive_728x90_UAE_AR"/>
    <x v="1"/>
    <s v="Standard"/>
    <s v="Flash In-Page"/>
    <n v="215887"/>
    <n v="528"/>
    <n v="2.4457239203842752E-3"/>
    <x v="0"/>
  </r>
  <r>
    <x v="3"/>
    <s v="Ikoo_Automotive_728x90_UAE_AR"/>
    <x v="1"/>
    <s v="Standard"/>
    <s v="Flash In-Page"/>
    <n v="81747"/>
    <n v="169"/>
    <n v="2.0673541536692479E-3"/>
    <x v="0"/>
  </r>
  <r>
    <x v="3"/>
    <s v="Ikoo_Automotive_728x90_UAE_AR"/>
    <x v="1"/>
    <s v="Standard"/>
    <s v="Flash In-Page"/>
    <n v="71188"/>
    <n v="201"/>
    <n v="2.8235095802663372E-3"/>
    <x v="0"/>
  </r>
  <r>
    <x v="3"/>
    <s v="Ikoo_Fun&amp;Ent_300x250Vid_Torque_KSA_AR"/>
    <x v="0"/>
    <s v="Standard"/>
    <s v="Rich Media In-Page Flash"/>
    <n v="1"/>
    <n v="0"/>
    <n v="0"/>
    <x v="0"/>
  </r>
  <r>
    <x v="4"/>
    <s v="Jeeran_Motors_Powertrain_728x90Exp_SAU_AR"/>
    <x v="1"/>
    <s v="Default"/>
    <s v="Gif"/>
    <n v="1"/>
    <n v="0"/>
    <n v="0"/>
    <x v="0"/>
  </r>
  <r>
    <x v="5"/>
    <s v="Kooora_300x250_BHR_AR"/>
    <x v="0"/>
    <s v="Standard"/>
    <s v="Flash In-Page"/>
    <n v="3481"/>
    <n v="3"/>
    <n v="8.6182131571387532E-4"/>
    <x v="0"/>
  </r>
  <r>
    <x v="5"/>
    <s v="Kooora_300x250_BHR_AR"/>
    <x v="0"/>
    <s v="Standard"/>
    <s v="Flash In-Page"/>
    <n v="7725"/>
    <n v="11"/>
    <n v="1.4239482200647249E-3"/>
    <x v="0"/>
  </r>
  <r>
    <x v="5"/>
    <s v="Kooora_300x250_BHR_AR"/>
    <x v="0"/>
    <s v="Standard"/>
    <s v="Flash In-Page"/>
    <n v="8068"/>
    <n v="12"/>
    <n v="1.4873574615765989E-3"/>
    <x v="0"/>
  </r>
  <r>
    <x v="5"/>
    <s v="Kooora_300x250_BHR_AR"/>
    <x v="0"/>
    <s v="Standard"/>
    <s v="Flash In-Page"/>
    <n v="4990"/>
    <n v="6"/>
    <n v="1.2024048096192384E-3"/>
    <x v="0"/>
  </r>
  <r>
    <x v="5"/>
    <s v="Kooora_300x250_BHR_AR"/>
    <x v="0"/>
    <s v="Standard"/>
    <s v="Flash In-Page"/>
    <n v="6808"/>
    <n v="7"/>
    <n v="1.0282021151586369E-3"/>
    <x v="0"/>
  </r>
  <r>
    <x v="5"/>
    <s v="Kooora_300x250_KSA_AR"/>
    <x v="0"/>
    <s v="Standard"/>
    <s v="Flash In-Page"/>
    <n v="19873"/>
    <n v="32"/>
    <n v="1.6102249282946711E-3"/>
    <x v="0"/>
  </r>
  <r>
    <x v="5"/>
    <s v="Kooora_300x250_KSA_AR"/>
    <x v="0"/>
    <s v="Standard"/>
    <s v="Flash In-Page"/>
    <n v="44971"/>
    <n v="75"/>
    <n v="1.6677414333681707E-3"/>
    <x v="0"/>
  </r>
  <r>
    <x v="5"/>
    <s v="Kooora_300x250_KSA_AR"/>
    <x v="0"/>
    <s v="Standard"/>
    <s v="Flash In-Page"/>
    <n v="34446"/>
    <n v="76"/>
    <n v="2.2063519712013004E-3"/>
    <x v="0"/>
  </r>
  <r>
    <x v="5"/>
    <s v="Kooora_300x250_KSA_AR"/>
    <x v="0"/>
    <s v="Standard"/>
    <s v="Flash In-Page"/>
    <n v="32770"/>
    <n v="55"/>
    <n v="1.6783643576441867E-3"/>
    <x v="0"/>
  </r>
  <r>
    <x v="5"/>
    <s v="Kooora_300x250_KSA_AR"/>
    <x v="0"/>
    <s v="Standard"/>
    <s v="Flash In-Page"/>
    <n v="99937"/>
    <n v="99"/>
    <n v="9.9062409317870266E-4"/>
    <x v="0"/>
  </r>
  <r>
    <x v="5"/>
    <s v="Kooora_300x250_KWT_AR"/>
    <x v="0"/>
    <s v="Standard"/>
    <s v="Flash In-Page"/>
    <n v="3164"/>
    <n v="8"/>
    <n v="2.5284450063211127E-3"/>
    <x v="0"/>
  </r>
  <r>
    <x v="5"/>
    <s v="Kooora_300x250_KWT_AR"/>
    <x v="0"/>
    <s v="Standard"/>
    <s v="Flash In-Page"/>
    <n v="7724"/>
    <n v="19"/>
    <n v="2.4598653547384776E-3"/>
    <x v="0"/>
  </r>
  <r>
    <x v="5"/>
    <s v="Kooora_300x250_KWT_AR"/>
    <x v="0"/>
    <s v="Standard"/>
    <s v="Flash In-Page"/>
    <n v="6592"/>
    <n v="18"/>
    <n v="2.7305825242718447E-3"/>
    <x v="0"/>
  </r>
  <r>
    <x v="5"/>
    <s v="Kooora_300x250_KWT_AR"/>
    <x v="0"/>
    <s v="Standard"/>
    <s v="Flash In-Page"/>
    <n v="5632"/>
    <n v="11"/>
    <n v="1.953125E-3"/>
    <x v="0"/>
  </r>
  <r>
    <x v="5"/>
    <s v="Kooora_300x250_KWT_AR"/>
    <x v="0"/>
    <s v="Standard"/>
    <s v="Flash In-Page"/>
    <n v="5449"/>
    <n v="14"/>
    <n v="2.5692787667461921E-3"/>
    <x v="0"/>
  </r>
  <r>
    <x v="5"/>
    <s v="Kooora_300x250_OMN_AR"/>
    <x v="0"/>
    <s v="Standard"/>
    <s v="Flash In-Page"/>
    <n v="3835"/>
    <n v="8"/>
    <n v="2.0860495436766623E-3"/>
    <x v="0"/>
  </r>
  <r>
    <x v="5"/>
    <s v="Kooora_300x250_OMN_AR"/>
    <x v="0"/>
    <s v="Standard"/>
    <s v="Flash In-Page"/>
    <n v="8957"/>
    <n v="7"/>
    <n v="7.8151166685274092E-4"/>
    <x v="0"/>
  </r>
  <r>
    <x v="5"/>
    <s v="Kooora_300x250_OMN_AR"/>
    <x v="0"/>
    <s v="Standard"/>
    <s v="Flash In-Page"/>
    <n v="9050"/>
    <n v="7"/>
    <n v="7.7348066298342543E-4"/>
    <x v="0"/>
  </r>
  <r>
    <x v="5"/>
    <s v="Kooora_300x250_OMN_AR"/>
    <x v="0"/>
    <s v="Standard"/>
    <s v="Flash In-Page"/>
    <n v="3881"/>
    <n v="7"/>
    <n v="1.8036588508116465E-3"/>
    <x v="0"/>
  </r>
  <r>
    <x v="5"/>
    <s v="Kooora_300x250_OMN_AR"/>
    <x v="0"/>
    <s v="Standard"/>
    <s v="Flash In-Page"/>
    <n v="7272"/>
    <n v="7"/>
    <n v="9.6259625962596257E-4"/>
    <x v="0"/>
  </r>
  <r>
    <x v="5"/>
    <s v="Kooora_300x250_QAT_AR"/>
    <x v="0"/>
    <s v="Standard"/>
    <s v="Flash In-Page"/>
    <n v="3099"/>
    <n v="8"/>
    <n v="2.5814778960955146E-3"/>
    <x v="0"/>
  </r>
  <r>
    <x v="5"/>
    <s v="Kooora_300x250_QAT_AR"/>
    <x v="0"/>
    <s v="Standard"/>
    <s v="Flash In-Page"/>
    <n v="6788"/>
    <n v="7"/>
    <n v="1.0312315851502651E-3"/>
    <x v="0"/>
  </r>
  <r>
    <x v="5"/>
    <s v="Kooora_300x250_QAT_AR"/>
    <x v="0"/>
    <s v="Standard"/>
    <s v="Flash In-Page"/>
    <n v="3668"/>
    <n v="2"/>
    <n v="5.4525627044711017E-4"/>
    <x v="0"/>
  </r>
  <r>
    <x v="5"/>
    <s v="Kooora_300x250_QAT_AR"/>
    <x v="0"/>
    <s v="Standard"/>
    <s v="Flash In-Page"/>
    <n v="827"/>
    <n v="0"/>
    <n v="0"/>
    <x v="0"/>
  </r>
  <r>
    <x v="5"/>
    <s v="Kooora_300x250_QAT_AR"/>
    <x v="0"/>
    <s v="Standard"/>
    <s v="Flash In-Page"/>
    <n v="6578"/>
    <n v="6"/>
    <n v="9.1213134691395562E-4"/>
    <x v="0"/>
  </r>
  <r>
    <x v="5"/>
    <s v="Kooora_300x250_UAE_AR"/>
    <x v="0"/>
    <s v="Standard"/>
    <s v="Flash In-Page"/>
    <n v="21230"/>
    <n v="20"/>
    <n v="9.4206311822892137E-4"/>
    <x v="0"/>
  </r>
  <r>
    <x v="5"/>
    <s v="Kooora_300x250_UAE_AR"/>
    <x v="0"/>
    <s v="Standard"/>
    <s v="Flash In-Page"/>
    <n v="49913"/>
    <n v="55"/>
    <n v="1.1019173361649271E-3"/>
    <x v="0"/>
  </r>
  <r>
    <x v="5"/>
    <s v="Kooora_300x250_UAE_AR"/>
    <x v="0"/>
    <s v="Standard"/>
    <s v="Flash In-Page"/>
    <n v="39904"/>
    <n v="41"/>
    <n v="1.0274659182036888E-3"/>
    <x v="0"/>
  </r>
  <r>
    <x v="5"/>
    <s v="Kooora_300x250_UAE_AR"/>
    <x v="0"/>
    <s v="Standard"/>
    <s v="Flash In-Page"/>
    <n v="18929"/>
    <n v="18"/>
    <n v="9.5092186592001687E-4"/>
    <x v="0"/>
  </r>
  <r>
    <x v="5"/>
    <s v="Kooora_300x250_UAE_AR"/>
    <x v="0"/>
    <s v="Standard"/>
    <s v="Flash In-Page"/>
    <n v="42097"/>
    <n v="47"/>
    <n v="1.1164691070622609E-3"/>
    <x v="0"/>
  </r>
  <r>
    <x v="5"/>
    <s v="Kooora_728x90_BHR_AR"/>
    <x v="1"/>
    <s v="Standard"/>
    <s v="Flash In-Page"/>
    <n v="5173"/>
    <n v="12"/>
    <n v="2.3197370964624011E-3"/>
    <x v="0"/>
  </r>
  <r>
    <x v="5"/>
    <s v="Kooora_728x90_BHR_AR"/>
    <x v="1"/>
    <s v="Standard"/>
    <s v="Flash In-Page"/>
    <n v="12519"/>
    <n v="12"/>
    <n v="9.5854301461778101E-4"/>
    <x v="0"/>
  </r>
  <r>
    <x v="5"/>
    <s v="Kooora_728x90_BHR_AR"/>
    <x v="1"/>
    <s v="Standard"/>
    <s v="Flash In-Page"/>
    <n v="13016"/>
    <n v="8"/>
    <n v="6.1462814996926854E-4"/>
    <x v="0"/>
  </r>
  <r>
    <x v="5"/>
    <s v="Kooora_728x90_BHR_AR"/>
    <x v="1"/>
    <s v="Standard"/>
    <s v="Flash In-Page"/>
    <n v="12961"/>
    <n v="14"/>
    <n v="1.0801635676259548E-3"/>
    <x v="0"/>
  </r>
  <r>
    <x v="5"/>
    <s v="Kooora_728x90_BHR_AR"/>
    <x v="1"/>
    <s v="Standard"/>
    <s v="Flash In-Page"/>
    <n v="8414"/>
    <n v="6"/>
    <n v="7.1309721892084618E-4"/>
    <x v="0"/>
  </r>
  <r>
    <x v="5"/>
    <s v="Kooora_728x90_KSA_AR"/>
    <x v="1"/>
    <s v="Standard"/>
    <s v="Flash In-Page"/>
    <n v="19767"/>
    <n v="14"/>
    <n v="7.0825112561339611E-4"/>
    <x v="0"/>
  </r>
  <r>
    <x v="5"/>
    <s v="Kooora_728x90_KSA_AR"/>
    <x v="1"/>
    <s v="Standard"/>
    <s v="Flash In-Page"/>
    <n v="45969"/>
    <n v="34"/>
    <n v="7.3962888033239789E-4"/>
    <x v="0"/>
  </r>
  <r>
    <x v="5"/>
    <s v="Kooora_728x90_KSA_AR"/>
    <x v="1"/>
    <s v="Standard"/>
    <s v="Flash In-Page"/>
    <n v="44739"/>
    <n v="28"/>
    <n v="6.2585216477793423E-4"/>
    <x v="0"/>
  </r>
  <r>
    <x v="5"/>
    <s v="Kooora_728x90_KSA_AR"/>
    <x v="1"/>
    <s v="Standard"/>
    <s v="Flash In-Page"/>
    <n v="53540"/>
    <n v="26"/>
    <n v="4.8561822936122527E-4"/>
    <x v="0"/>
  </r>
  <r>
    <x v="5"/>
    <s v="Kooora_728x90_KSA_AR"/>
    <x v="1"/>
    <s v="Standard"/>
    <s v="Flash In-Page"/>
    <n v="43723"/>
    <n v="16"/>
    <n v="3.6594012304736639E-4"/>
    <x v="0"/>
  </r>
  <r>
    <x v="5"/>
    <s v="Kooora_728x90_KWT_AR"/>
    <x v="1"/>
    <s v="Standard"/>
    <s v="Flash In-Page"/>
    <n v="5089"/>
    <n v="3"/>
    <n v="5.8950677932796225E-4"/>
    <x v="0"/>
  </r>
  <r>
    <x v="5"/>
    <s v="Kooora_728x90_KWT_AR"/>
    <x v="1"/>
    <s v="Standard"/>
    <s v="Flash In-Page"/>
    <n v="12000"/>
    <n v="3"/>
    <n v="2.5000000000000001E-4"/>
    <x v="0"/>
  </r>
  <r>
    <x v="5"/>
    <s v="Kooora_728x90_KWT_AR"/>
    <x v="1"/>
    <s v="Standard"/>
    <s v="Flash In-Page"/>
    <n v="10571"/>
    <n v="6"/>
    <n v="5.6759057799640527E-4"/>
    <x v="0"/>
  </r>
  <r>
    <x v="5"/>
    <s v="Kooora_728x90_KWT_AR"/>
    <x v="1"/>
    <s v="Standard"/>
    <s v="Flash In-Page"/>
    <n v="10251"/>
    <n v="6"/>
    <n v="5.8530875036581797E-4"/>
    <x v="0"/>
  </r>
  <r>
    <x v="5"/>
    <s v="Kooora_728x90_KWT_AR"/>
    <x v="1"/>
    <s v="Standard"/>
    <s v="Flash In-Page"/>
    <n v="7523"/>
    <n v="5"/>
    <n v="6.6462847268376974E-4"/>
    <x v="0"/>
  </r>
  <r>
    <x v="5"/>
    <s v="Kooora_728x90_OMN_AR"/>
    <x v="1"/>
    <s v="Standard"/>
    <s v="Flash In-Page"/>
    <n v="4927"/>
    <n v="4"/>
    <n v="8.1185305459711792E-4"/>
    <x v="0"/>
  </r>
  <r>
    <x v="5"/>
    <s v="Kooora_728x90_OMN_AR"/>
    <x v="1"/>
    <s v="Standard"/>
    <s v="Flash In-Page"/>
    <n v="12159"/>
    <n v="5"/>
    <n v="4.112180277983387E-4"/>
    <x v="0"/>
  </r>
  <r>
    <x v="5"/>
    <s v="Kooora_728x90_OMN_AR"/>
    <x v="1"/>
    <s v="Standard"/>
    <s v="Flash In-Page"/>
    <n v="11902"/>
    <n v="14"/>
    <n v="1.1762728953117123E-3"/>
    <x v="0"/>
  </r>
  <r>
    <x v="5"/>
    <s v="Kooora_728x90_OMN_AR"/>
    <x v="1"/>
    <s v="Standard"/>
    <s v="Flash In-Page"/>
    <n v="12679"/>
    <n v="13"/>
    <n v="1.0253174540578911E-3"/>
    <x v="0"/>
  </r>
  <r>
    <x v="5"/>
    <s v="Kooora_728x90_OMN_AR"/>
    <x v="1"/>
    <s v="Standard"/>
    <s v="Flash In-Page"/>
    <n v="8323"/>
    <n v="2"/>
    <n v="2.4029796948215788E-4"/>
    <x v="0"/>
  </r>
  <r>
    <x v="5"/>
    <s v="Kooora_728x90_QAT_AR"/>
    <x v="1"/>
    <s v="Standard"/>
    <s v="Flash In-Page"/>
    <n v="5224"/>
    <n v="5"/>
    <n v="9.5712098009188363E-4"/>
    <x v="0"/>
  </r>
  <r>
    <x v="5"/>
    <s v="Kooora_728x90_QAT_AR"/>
    <x v="1"/>
    <s v="Standard"/>
    <s v="Flash In-Page"/>
    <n v="12716"/>
    <n v="7"/>
    <n v="5.5048757470902798E-4"/>
    <x v="0"/>
  </r>
  <r>
    <x v="5"/>
    <s v="Kooora_728x90_QAT_AR"/>
    <x v="1"/>
    <s v="Standard"/>
    <s v="Flash In-Page"/>
    <n v="12454"/>
    <n v="5"/>
    <n v="4.0147743696804239E-4"/>
    <x v="0"/>
  </r>
  <r>
    <x v="5"/>
    <s v="Kooora_728x90_QAT_AR"/>
    <x v="1"/>
    <s v="Standard"/>
    <s v="Flash In-Page"/>
    <n v="12834"/>
    <n v="8"/>
    <n v="6.2334424185756584E-4"/>
    <x v="0"/>
  </r>
  <r>
    <x v="5"/>
    <s v="Kooora_728x90_QAT_AR"/>
    <x v="1"/>
    <s v="Standard"/>
    <s v="Flash In-Page"/>
    <n v="8505"/>
    <n v="4"/>
    <n v="4.7031158142269255E-4"/>
    <x v="0"/>
  </r>
  <r>
    <x v="5"/>
    <s v="Kooora_728x90_UAE_AR"/>
    <x v="1"/>
    <s v="Standard"/>
    <s v="Flash In-Page"/>
    <n v="21380"/>
    <n v="12"/>
    <n v="5.6127221702525728E-4"/>
    <x v="0"/>
  </r>
  <r>
    <x v="5"/>
    <s v="Kooora_728x90_UAE_AR"/>
    <x v="1"/>
    <s v="Standard"/>
    <s v="Flash In-Page"/>
    <n v="51019"/>
    <n v="27"/>
    <n v="5.2921460632313457E-4"/>
    <x v="0"/>
  </r>
  <r>
    <x v="5"/>
    <s v="Kooora_728x90_UAE_AR"/>
    <x v="1"/>
    <s v="Standard"/>
    <s v="Flash In-Page"/>
    <n v="52234"/>
    <n v="37"/>
    <n v="7.0835088256691046E-4"/>
    <x v="0"/>
  </r>
  <r>
    <x v="5"/>
    <s v="Kooora_728x90_UAE_AR"/>
    <x v="1"/>
    <s v="Standard"/>
    <s v="Flash In-Page"/>
    <n v="52360"/>
    <n v="27"/>
    <n v="5.1566080977845689E-4"/>
    <x v="0"/>
  </r>
  <r>
    <x v="5"/>
    <s v="Kooora_728x90_UAE_AR"/>
    <x v="1"/>
    <s v="Standard"/>
    <s v="Flash In-Page"/>
    <n v="33651"/>
    <n v="21"/>
    <n v="6.2405277703485784E-4"/>
    <x v="0"/>
  </r>
  <r>
    <x v="5"/>
    <s v="Koora_ROS_300x250_AR"/>
    <x v="0"/>
    <s v="Standard"/>
    <s v="Flash In-Page"/>
    <n v="178320"/>
    <n v="300"/>
    <n v="1.6823687752355316E-3"/>
    <x v="0"/>
  </r>
  <r>
    <x v="5"/>
    <s v="Koora_ROS_300x250_AR"/>
    <x v="0"/>
    <s v="Standard"/>
    <s v="Gif"/>
    <n v="1"/>
    <n v="1"/>
    <n v="1"/>
    <x v="0"/>
  </r>
  <r>
    <x v="5"/>
    <s v="Koora_ROS_300x250_AR"/>
    <x v="0"/>
    <s v="Standard"/>
    <s v="Flash In-Page"/>
    <n v="37030"/>
    <n v="55"/>
    <n v="1.4852822036186875E-3"/>
    <x v="0"/>
  </r>
  <r>
    <x v="5"/>
    <s v="Koora_ROS_300x250_AR"/>
    <x v="0"/>
    <s v="Standard"/>
    <s v="Flash In-Page"/>
    <n v="7"/>
    <n v="0"/>
    <n v="0"/>
    <x v="0"/>
  </r>
  <r>
    <x v="5"/>
    <s v="Koora_ROS_728x90_AR"/>
    <x v="1"/>
    <s v="Standard"/>
    <s v="Flash In-Page"/>
    <n v="177587"/>
    <n v="224"/>
    <n v="1.2613535900713453E-3"/>
    <x v="0"/>
  </r>
  <r>
    <x v="5"/>
    <s v="Koora_ROS_728x90_AR"/>
    <x v="1"/>
    <s v="Standard"/>
    <s v="Gif"/>
    <n v="2"/>
    <n v="1"/>
    <n v="0.5"/>
    <x v="0"/>
  </r>
  <r>
    <x v="5"/>
    <s v="Koora_ROS_728x90_AR"/>
    <x v="1"/>
    <s v="Standard"/>
    <s v="Flash In-Page"/>
    <n v="36320"/>
    <n v="32"/>
    <n v="8.81057268722467E-4"/>
    <x v="0"/>
  </r>
  <r>
    <x v="5"/>
    <s v="Koora_ROS_728x90_AR"/>
    <x v="1"/>
    <s v="Standard"/>
    <s v="Flash In-Page"/>
    <n v="15"/>
    <n v="0"/>
    <n v="0"/>
    <x v="0"/>
  </r>
  <r>
    <x v="6"/>
    <s v="MBC-300x250_Microsite"/>
    <x v="0"/>
    <s v="Standard"/>
    <s v="Flash In-Page"/>
    <n v="4681"/>
    <n v="10"/>
    <n v="2.1362956633198035E-3"/>
    <x v="2"/>
  </r>
  <r>
    <x v="6"/>
    <s v="MBC-300x250_Microsite"/>
    <x v="0"/>
    <s v="Standard"/>
    <s v="Flash In-Page"/>
    <n v="6384"/>
    <n v="15"/>
    <n v="2.3496240601503758E-3"/>
    <x v="2"/>
  </r>
  <r>
    <x v="6"/>
    <s v="MBC-300x250_Microsite"/>
    <x v="0"/>
    <s v="Standard"/>
    <s v="Flash In-Page"/>
    <n v="6286"/>
    <n v="8"/>
    <n v="1.2726694241170856E-3"/>
    <x v="2"/>
  </r>
  <r>
    <x v="6"/>
    <s v="MBC-300x250_Microsite"/>
    <x v="0"/>
    <s v="Standard"/>
    <s v="Flash In-Page"/>
    <n v="7833"/>
    <n v="14"/>
    <n v="1.7873100983020554E-3"/>
    <x v="2"/>
  </r>
  <r>
    <x v="6"/>
    <s v="MBC-300x250_Microsite"/>
    <x v="0"/>
    <s v="Standard"/>
    <s v="Flash In-Page"/>
    <n v="10309"/>
    <n v="21"/>
    <n v="2.0370550004850129E-3"/>
    <x v="2"/>
  </r>
  <r>
    <x v="6"/>
    <s v="MBC-728x90-Microsite"/>
    <x v="1"/>
    <s v="Standard"/>
    <s v="Flash In-Page"/>
    <n v="4730"/>
    <n v="8"/>
    <n v="1.6913319238900633E-3"/>
    <x v="2"/>
  </r>
  <r>
    <x v="6"/>
    <s v="MBC-728x90-Microsite"/>
    <x v="1"/>
    <s v="Standard"/>
    <s v="Flash In-Page"/>
    <n v="6451"/>
    <n v="7"/>
    <n v="1.0851030847930554E-3"/>
    <x v="2"/>
  </r>
  <r>
    <x v="6"/>
    <s v="MBC-728x90-Microsite"/>
    <x v="1"/>
    <s v="Standard"/>
    <s v="Flash In-Page"/>
    <n v="6355"/>
    <n v="8"/>
    <n v="1.2588512981904013E-3"/>
    <x v="2"/>
  </r>
  <r>
    <x v="6"/>
    <s v="MBC-728x90-Microsite"/>
    <x v="1"/>
    <s v="Standard"/>
    <s v="Flash In-Page"/>
    <n v="7917"/>
    <n v="5"/>
    <n v="6.3155235569028675E-4"/>
    <x v="2"/>
  </r>
  <r>
    <x v="6"/>
    <s v="MBC-728x90-Microsite"/>
    <x v="1"/>
    <s v="Standard"/>
    <s v="Flash In-Page"/>
    <n v="10418"/>
    <n v="7"/>
    <n v="6.7191399500863885E-4"/>
    <x v="2"/>
  </r>
  <r>
    <x v="7"/>
    <s v="Ikoo_Shamy_728x90_SAU_AR"/>
    <x v="1"/>
    <s v="Default"/>
    <s v="Gif"/>
    <n v="2"/>
    <n v="0"/>
    <n v="0"/>
    <x v="0"/>
  </r>
  <r>
    <x v="8"/>
    <s v="Souq_Motors_300x250_BHR_EN"/>
    <x v="0"/>
    <s v="Standard"/>
    <s v="Flash In-Page"/>
    <n v="489"/>
    <n v="1"/>
    <n v="2.0449897750511249E-3"/>
    <x v="1"/>
  </r>
  <r>
    <x v="8"/>
    <s v="Souq_Motors_300x250_BHR_EN"/>
    <x v="0"/>
    <s v="Standard"/>
    <s v="Flash In-Page"/>
    <n v="3614"/>
    <n v="6"/>
    <n v="1.6602102933038186E-3"/>
    <x v="1"/>
  </r>
  <r>
    <x v="8"/>
    <s v="Souq_Motors_300x250_BHR_EN"/>
    <x v="0"/>
    <s v="Standard"/>
    <s v="Flash In-Page"/>
    <n v="4069"/>
    <n v="19"/>
    <n v="4.6694519537970021E-3"/>
    <x v="1"/>
  </r>
  <r>
    <x v="8"/>
    <s v="Souq_Motors_300x250_BHR_EN"/>
    <x v="0"/>
    <s v="Standard"/>
    <s v="Flash In-Page"/>
    <n v="3646"/>
    <n v="3"/>
    <n v="8.2281952825013713E-4"/>
    <x v="1"/>
  </r>
  <r>
    <x v="8"/>
    <s v="Souq_Motors_300x250_BHR_EN"/>
    <x v="0"/>
    <s v="Standard"/>
    <s v="Flash In-Page"/>
    <n v="182"/>
    <n v="2"/>
    <n v="1.098901098901099E-2"/>
    <x v="1"/>
  </r>
  <r>
    <x v="8"/>
    <s v="Souq_Motors_300x250_KSA_EN"/>
    <x v="0"/>
    <s v="Standard"/>
    <s v="Flash In-Page"/>
    <n v="7657"/>
    <n v="40"/>
    <n v="5.2239780592921508E-3"/>
    <x v="1"/>
  </r>
  <r>
    <x v="8"/>
    <s v="Souq_Motors_300x250_KSA_EN"/>
    <x v="0"/>
    <s v="Standard"/>
    <s v="Flash In-Page"/>
    <n v="36088"/>
    <n v="128"/>
    <n v="3.5468853912657946E-3"/>
    <x v="1"/>
  </r>
  <r>
    <x v="8"/>
    <s v="Souq_Motors_300x250_KSA_EN"/>
    <x v="0"/>
    <s v="Standard"/>
    <s v="Flash In-Page"/>
    <n v="71337"/>
    <n v="226"/>
    <n v="3.1680614547850345E-3"/>
    <x v="1"/>
  </r>
  <r>
    <x v="8"/>
    <s v="Souq_Motors_300x250_KSA_EN"/>
    <x v="0"/>
    <s v="Standard"/>
    <s v="Flash In-Page"/>
    <n v="53199"/>
    <n v="208"/>
    <n v="3.9098479294723586E-3"/>
    <x v="1"/>
  </r>
  <r>
    <x v="8"/>
    <s v="Souq_Motors_300x250_KSA_EN"/>
    <x v="0"/>
    <s v="Standard"/>
    <s v="Flash In-Page"/>
    <n v="56375"/>
    <n v="235"/>
    <n v="4.1685144124168514E-3"/>
    <x v="1"/>
  </r>
  <r>
    <x v="8"/>
    <s v="Souq_Motors_300x250_KWT_EN"/>
    <x v="0"/>
    <s v="Standard"/>
    <s v="Flash In-Page"/>
    <n v="2"/>
    <n v="1"/>
    <n v="0.5"/>
    <x v="1"/>
  </r>
  <r>
    <x v="8"/>
    <s v="Souq_Motors_300x250_KWT_EN"/>
    <x v="0"/>
    <s v="Standard"/>
    <s v="Flash In-Page"/>
    <n v="624"/>
    <n v="2"/>
    <n v="3.205128205128205E-3"/>
    <x v="1"/>
  </r>
  <r>
    <x v="8"/>
    <s v="Souq_Motors_300x250_KWT_EN"/>
    <x v="0"/>
    <s v="Standard"/>
    <s v="Flash In-Page"/>
    <n v="959"/>
    <n v="7"/>
    <n v="7.2992700729927005E-3"/>
    <x v="1"/>
  </r>
  <r>
    <x v="8"/>
    <s v="Souq_Motors_300x250_KWT_EN"/>
    <x v="0"/>
    <s v="Standard"/>
    <s v="Flash In-Page"/>
    <n v="1851"/>
    <n v="7"/>
    <n v="3.7817396002160996E-3"/>
    <x v="1"/>
  </r>
  <r>
    <x v="8"/>
    <s v="Souq_Motors_300x250_KWT_EN"/>
    <x v="0"/>
    <s v="Standard"/>
    <s v="Flash In-Page"/>
    <n v="429"/>
    <n v="2"/>
    <n v="4.662004662004662E-3"/>
    <x v="1"/>
  </r>
  <r>
    <x v="8"/>
    <s v="Souq_Motors_300x250_OMN_EN"/>
    <x v="0"/>
    <s v="Standard"/>
    <s v="Flash In-Page"/>
    <n v="1210"/>
    <n v="0"/>
    <n v="0"/>
    <x v="1"/>
  </r>
  <r>
    <x v="8"/>
    <s v="Souq_Motors_300x250_OMN_EN"/>
    <x v="0"/>
    <s v="Standard"/>
    <s v="Flash In-Page"/>
    <n v="8358"/>
    <n v="11"/>
    <n v="1.316104331179708E-3"/>
    <x v="1"/>
  </r>
  <r>
    <x v="8"/>
    <s v="Souq_Motors_300x250_OMN_EN"/>
    <x v="0"/>
    <s v="Standard"/>
    <s v="Flash In-Page"/>
    <n v="13128"/>
    <n v="27"/>
    <n v="2.0566727605118829E-3"/>
    <x v="1"/>
  </r>
  <r>
    <x v="8"/>
    <s v="Souq_Motors_300x250_OMN_EN"/>
    <x v="0"/>
    <s v="Standard"/>
    <s v="Flash In-Page"/>
    <n v="11924"/>
    <n v="28"/>
    <n v="2.3482053002348204E-3"/>
    <x v="1"/>
  </r>
  <r>
    <x v="8"/>
    <s v="Souq_Motors_300x250_OMN_EN"/>
    <x v="0"/>
    <s v="Standard"/>
    <s v="Flash In-Page"/>
    <n v="1383"/>
    <n v="2"/>
    <n v="1.4461315979754157E-3"/>
    <x v="1"/>
  </r>
  <r>
    <x v="8"/>
    <s v="Souq_Motors_300x250_QAT_EN"/>
    <x v="0"/>
    <s v="Standard"/>
    <s v="Flash In-Page"/>
    <n v="308"/>
    <n v="1"/>
    <n v="3.246753246753247E-3"/>
    <x v="1"/>
  </r>
  <r>
    <x v="8"/>
    <s v="Souq_Motors_300x250_QAT_EN"/>
    <x v="0"/>
    <s v="Standard"/>
    <s v="Flash In-Page"/>
    <n v="8099"/>
    <n v="21"/>
    <n v="2.5929127052722557E-3"/>
    <x v="1"/>
  </r>
  <r>
    <x v="8"/>
    <s v="Souq_Motors_300x250_QAT_EN"/>
    <x v="0"/>
    <s v="Standard"/>
    <s v="Flash In-Page"/>
    <n v="12653"/>
    <n v="38"/>
    <n v="3.0032403382597014E-3"/>
    <x v="1"/>
  </r>
  <r>
    <x v="8"/>
    <s v="Souq_Motors_300x250_QAT_EN"/>
    <x v="0"/>
    <s v="Standard"/>
    <s v="Flash In-Page"/>
    <n v="9680"/>
    <n v="21"/>
    <n v="2.1694214876033058E-3"/>
    <x v="1"/>
  </r>
  <r>
    <x v="8"/>
    <s v="Souq_Motors_300x250_QAT_EN"/>
    <x v="0"/>
    <s v="Standard"/>
    <s v="Flash In-Page"/>
    <n v="2361"/>
    <n v="1"/>
    <n v="4.2354934349851756E-4"/>
    <x v="1"/>
  </r>
  <r>
    <x v="8"/>
    <s v="Souq_Motors_300x250_UAE_EN"/>
    <x v="0"/>
    <s v="Standard"/>
    <s v="Flash In-Page"/>
    <n v="11391"/>
    <n v="49"/>
    <n v="4.3016416469142307E-3"/>
    <x v="1"/>
  </r>
  <r>
    <x v="8"/>
    <s v="Souq_Motors_300x250_UAE_EN"/>
    <x v="0"/>
    <s v="Standard"/>
    <s v="Flash In-Page"/>
    <n v="42646"/>
    <n v="91"/>
    <n v="2.1338460816958216E-3"/>
    <x v="1"/>
  </r>
  <r>
    <x v="8"/>
    <s v="Souq_Motors_300x250_UAE_EN"/>
    <x v="0"/>
    <s v="Standard"/>
    <s v="Flash In-Page"/>
    <n v="69264"/>
    <n v="174"/>
    <n v="2.5121275121275121E-3"/>
    <x v="1"/>
  </r>
  <r>
    <x v="8"/>
    <s v="Souq_Motors_300x250_UAE_EN"/>
    <x v="0"/>
    <s v="Standard"/>
    <s v="Flash In-Page"/>
    <n v="54740"/>
    <n v="146"/>
    <n v="2.6671538180489587E-3"/>
    <x v="1"/>
  </r>
  <r>
    <x v="8"/>
    <s v="Souq_Motors_300x250_UAE_EN"/>
    <x v="0"/>
    <s v="Standard"/>
    <s v="Flash In-Page"/>
    <n v="53283"/>
    <n v="191"/>
    <n v="3.584632997391288E-3"/>
    <x v="1"/>
  </r>
  <r>
    <x v="8"/>
    <s v="Souq_Motors_728x90_BHR_EN"/>
    <x v="1"/>
    <s v="Standard"/>
    <s v="Flash In-Page"/>
    <n v="1011"/>
    <n v="3"/>
    <n v="2.967359050445104E-3"/>
    <x v="1"/>
  </r>
  <r>
    <x v="8"/>
    <s v="Souq_Motors_728x90_BHR_EN"/>
    <x v="1"/>
    <s v="Standard"/>
    <s v="Flash In-Page"/>
    <n v="5101"/>
    <n v="6"/>
    <n v="1.1762399529504019E-3"/>
    <x v="1"/>
  </r>
  <r>
    <x v="8"/>
    <s v="Souq_Motors_728x90_BHR_EN"/>
    <x v="1"/>
    <s v="Standard"/>
    <s v="Flash In-Page"/>
    <n v="6000"/>
    <n v="5"/>
    <n v="8.3333333333333339E-4"/>
    <x v="1"/>
  </r>
  <r>
    <x v="8"/>
    <s v="Souq_Motors_728x90_BHR_EN"/>
    <x v="1"/>
    <s v="Standard"/>
    <s v="Flash In-Page"/>
    <n v="3616"/>
    <n v="5"/>
    <n v="1.3827433628318584E-3"/>
    <x v="1"/>
  </r>
  <r>
    <x v="8"/>
    <s v="Souq_Motors_728x90_BHR_EN"/>
    <x v="1"/>
    <s v="Standard"/>
    <s v="Flash In-Page"/>
    <n v="1319"/>
    <n v="3"/>
    <n v="2.2744503411675512E-3"/>
    <x v="1"/>
  </r>
  <r>
    <x v="8"/>
    <s v="Souq_Motors_728x90_KSA_EN"/>
    <x v="1"/>
    <s v="Standard"/>
    <s v="Flash In-Page"/>
    <n v="3579"/>
    <n v="17"/>
    <n v="4.7499301480860576E-3"/>
    <x v="1"/>
  </r>
  <r>
    <x v="8"/>
    <s v="Souq_Motors_728x90_KSA_EN"/>
    <x v="1"/>
    <s v="Standard"/>
    <s v="Flash In-Page"/>
    <n v="22098"/>
    <n v="60"/>
    <n v="2.7151778441487917E-3"/>
    <x v="1"/>
  </r>
  <r>
    <x v="8"/>
    <s v="Souq_Motors_728x90_KSA_EN"/>
    <x v="1"/>
    <s v="Standard"/>
    <s v="Flash In-Page"/>
    <n v="62349"/>
    <n v="125"/>
    <n v="2.0048437023849619E-3"/>
    <x v="1"/>
  </r>
  <r>
    <x v="8"/>
    <s v="Souq_Motors_728x90_KSA_EN"/>
    <x v="1"/>
    <s v="Standard"/>
    <s v="Flash In-Page"/>
    <n v="35702"/>
    <n v="69"/>
    <n v="1.9326648367038262E-3"/>
    <x v="1"/>
  </r>
  <r>
    <x v="8"/>
    <s v="Souq_Motors_728x90_KSA_EN"/>
    <x v="1"/>
    <s v="Standard"/>
    <s v="Flash In-Page"/>
    <n v="27459"/>
    <n v="48"/>
    <n v="1.7480607451108925E-3"/>
    <x v="1"/>
  </r>
  <r>
    <x v="8"/>
    <s v="Souq_Motors_728x90_KWT_EN"/>
    <x v="1"/>
    <s v="Standard"/>
    <s v="Flash In-Page"/>
    <n v="3201"/>
    <n v="8"/>
    <n v="2.4992189940643548E-3"/>
    <x v="1"/>
  </r>
  <r>
    <x v="8"/>
    <s v="Souq_Motors_728x90_KWT_EN"/>
    <x v="1"/>
    <s v="Standard"/>
    <s v="Flash In-Page"/>
    <n v="12425"/>
    <n v="23"/>
    <n v="1.8511066398390341E-3"/>
    <x v="1"/>
  </r>
  <r>
    <x v="8"/>
    <s v="Souq_Motors_728x90_KWT_EN"/>
    <x v="1"/>
    <s v="Standard"/>
    <s v="Flash In-Page"/>
    <n v="15388"/>
    <n v="13"/>
    <n v="8.4481414088900439E-4"/>
    <x v="1"/>
  </r>
  <r>
    <x v="8"/>
    <s v="Souq_Motors_728x90_KWT_EN"/>
    <x v="1"/>
    <s v="Standard"/>
    <s v="Flash In-Page"/>
    <n v="11397"/>
    <n v="20"/>
    <n v="1.7548477669562166E-3"/>
    <x v="1"/>
  </r>
  <r>
    <x v="8"/>
    <s v="Souq_Motors_728x90_KWT_EN"/>
    <x v="1"/>
    <s v="Standard"/>
    <s v="Flash In-Page"/>
    <n v="1424"/>
    <n v="5"/>
    <n v="3.5112359550561797E-3"/>
    <x v="1"/>
  </r>
  <r>
    <x v="8"/>
    <s v="Souq_Motors_728x90_QAT_EN"/>
    <x v="1"/>
    <s v="Standard"/>
    <s v="Flash In-Page"/>
    <n v="597"/>
    <n v="2"/>
    <n v="3.3500837520938024E-3"/>
    <x v="1"/>
  </r>
  <r>
    <x v="8"/>
    <s v="Souq_Motors_728x90_QAT_EN"/>
    <x v="1"/>
    <s v="Standard"/>
    <s v="Flash In-Page"/>
    <n v="5413"/>
    <n v="2"/>
    <n v="3.6948087936449289E-4"/>
    <x v="1"/>
  </r>
  <r>
    <x v="8"/>
    <s v="Souq_Motors_728x90_QAT_EN"/>
    <x v="1"/>
    <s v="Standard"/>
    <s v="Flash In-Page"/>
    <n v="9326"/>
    <n v="6"/>
    <n v="6.4336264207591682E-4"/>
    <x v="1"/>
  </r>
  <r>
    <x v="8"/>
    <s v="Souq_Motors_728x90_QAT_EN"/>
    <x v="1"/>
    <s v="Standard"/>
    <s v="Flash In-Page"/>
    <n v="7868"/>
    <n v="8"/>
    <n v="1.0167768174885613E-3"/>
    <x v="1"/>
  </r>
  <r>
    <x v="8"/>
    <s v="Souq_Motors_728x90_QAT_EN"/>
    <x v="1"/>
    <s v="Standard"/>
    <s v="Flash In-Page"/>
    <n v="478"/>
    <n v="1"/>
    <n v="2.0920502092050207E-3"/>
    <x v="1"/>
  </r>
  <r>
    <x v="8"/>
    <s v="Souq_Motors_728x90_UAE_EN"/>
    <x v="1"/>
    <s v="Standard"/>
    <s v="Flash In-Page"/>
    <n v="3714"/>
    <n v="7"/>
    <n v="1.884760366182014E-3"/>
    <x v="1"/>
  </r>
  <r>
    <x v="8"/>
    <s v="Souq_Motors_728x90_UAE_EN"/>
    <x v="1"/>
    <s v="Standard"/>
    <s v="Flash In-Page"/>
    <n v="14227"/>
    <n v="37"/>
    <n v="2.6006888310958036E-3"/>
    <x v="1"/>
  </r>
  <r>
    <x v="8"/>
    <s v="Souq_Motors_728x90_UAE_EN"/>
    <x v="1"/>
    <s v="Standard"/>
    <s v="Flash In-Page"/>
    <n v="29389"/>
    <n v="64"/>
    <n v="2.1776855285991358E-3"/>
    <x v="1"/>
  </r>
  <r>
    <x v="8"/>
    <s v="Souq_Motors_728x90_UAE_EN"/>
    <x v="1"/>
    <s v="Standard"/>
    <s v="Flash In-Page"/>
    <n v="17340"/>
    <n v="46"/>
    <n v="2.6528258362168398E-3"/>
    <x v="1"/>
  </r>
  <r>
    <x v="8"/>
    <s v="Souq_Motors_728x90_UAE_EN"/>
    <x v="1"/>
    <s v="Standard"/>
    <s v="Flash In-Page"/>
    <n v="15372"/>
    <n v="48"/>
    <n v="3.1225604996096799E-3"/>
    <x v="1"/>
  </r>
  <r>
    <x v="9"/>
    <s v="FrancoisHabchi_EN_BAH_Tech_Blis_b468x60"/>
    <x v="2"/>
    <s v="Standard"/>
    <s v="Rich Media In-Page Flash"/>
    <n v="4"/>
    <n v="0"/>
    <n v="0"/>
    <x v="3"/>
  </r>
  <r>
    <x v="9"/>
    <s v="FrancoisHabchi_EN_BAH_Tech_Blis_b468x60"/>
    <x v="2"/>
    <s v="Standard"/>
    <s v="Rich Media In-Page Flash"/>
    <n v="6"/>
    <n v="0"/>
    <n v="0"/>
    <x v="3"/>
  </r>
  <r>
    <x v="9"/>
    <s v="FrancoisHabchi_EN_BAH_Tech_Blis_b468x60"/>
    <x v="2"/>
    <s v="Standard"/>
    <s v="Rich Media In-Page Flash"/>
    <n v="14"/>
    <n v="0"/>
    <n v="0"/>
    <x v="3"/>
  </r>
  <r>
    <x v="9"/>
    <s v="FrancoisHabchi_EN_BAH_Tech_Blis_b468x60"/>
    <x v="2"/>
    <s v="Standard"/>
    <s v="Rich Media In-Page Flash"/>
    <n v="3"/>
    <n v="0"/>
    <n v="0"/>
    <x v="3"/>
  </r>
  <r>
    <x v="9"/>
    <s v="FrancoisHabchi_EN_BAH_Tech_Blis_b468x60"/>
    <x v="2"/>
    <s v="Standard"/>
    <s v="Rich Media In-Page Flash"/>
    <n v="1"/>
    <n v="0"/>
    <n v="0"/>
    <x v="3"/>
  </r>
  <r>
    <x v="9"/>
    <s v="FrancoisHabchi_EN_KSA_Tech_Blis_b468x60"/>
    <x v="2"/>
    <s v="Standard"/>
    <s v="Rich Media In-Page Flash"/>
    <n v="8"/>
    <n v="0"/>
    <n v="0"/>
    <x v="3"/>
  </r>
  <r>
    <x v="9"/>
    <s v="FrancoisHabchi_EN_KSA_Tech_Blis_b468x60"/>
    <x v="2"/>
    <s v="Standard"/>
    <s v="Rich Media In-Page Flash"/>
    <n v="24"/>
    <n v="1"/>
    <n v="4.1666666666666664E-2"/>
    <x v="3"/>
  </r>
  <r>
    <x v="9"/>
    <s v="FrancoisHabchi_EN_KSA_Tech_Blis_b468x60"/>
    <x v="2"/>
    <s v="Standard"/>
    <s v="Rich Media In-Page Flash"/>
    <n v="10"/>
    <n v="0"/>
    <n v="0"/>
    <x v="3"/>
  </r>
  <r>
    <x v="9"/>
    <s v="FrancoisHabchi_EN_KSA_Tech_Blis_b468x60"/>
    <x v="2"/>
    <s v="Standard"/>
    <s v="Rich Media In-Page Flash"/>
    <n v="4"/>
    <n v="0"/>
    <n v="0"/>
    <x v="3"/>
  </r>
  <r>
    <x v="9"/>
    <s v="FrancoisHabchi_EN_KSA_Tech_Blis_b468x60"/>
    <x v="2"/>
    <s v="Standard"/>
    <s v="Rich Media In-Page Flash"/>
    <n v="1"/>
    <n v="0"/>
    <n v="0"/>
    <x v="3"/>
  </r>
  <r>
    <x v="9"/>
    <s v="FrancoisHabchi_EN_KWT_Tech_Blis_b468x60"/>
    <x v="2"/>
    <s v="Standard"/>
    <s v="Rich Media In-Page Flash"/>
    <n v="3"/>
    <n v="0"/>
    <n v="0"/>
    <x v="3"/>
  </r>
  <r>
    <x v="9"/>
    <s v="FrancoisHabchi_EN_KWT_Tech_Blis_b468x60"/>
    <x v="2"/>
    <s v="Standard"/>
    <s v="Rich Media In-Page Flash"/>
    <n v="8"/>
    <n v="0"/>
    <n v="0"/>
    <x v="3"/>
  </r>
  <r>
    <x v="9"/>
    <s v="FrancoisHabchi_EN_KWT_Tech_Blis_b468x60"/>
    <x v="2"/>
    <s v="Standard"/>
    <s v="Rich Media In-Page Flash"/>
    <n v="7"/>
    <n v="0"/>
    <n v="0"/>
    <x v="3"/>
  </r>
  <r>
    <x v="9"/>
    <s v="FrancoisHabchi_EN_KWT_Tech_Blis_b468x60"/>
    <x v="2"/>
    <s v="Standard"/>
    <s v="Rich Media In-Page Flash"/>
    <n v="7"/>
    <n v="0"/>
    <n v="0"/>
    <x v="3"/>
  </r>
  <r>
    <x v="9"/>
    <s v="FrancoisHabchi_EN_KWT_Tech_Blis_b468x60"/>
    <x v="2"/>
    <s v="Standard"/>
    <s v="Rich Media In-Page Flash"/>
    <n v="4"/>
    <n v="0"/>
    <n v="0"/>
    <x v="3"/>
  </r>
  <r>
    <x v="9"/>
    <s v="FrancoisHabchi_EN_OMN_Tech_Blis_b468x60"/>
    <x v="2"/>
    <s v="Standard"/>
    <s v="Rich Media In-Page Flash"/>
    <n v="7"/>
    <n v="0"/>
    <n v="0"/>
    <x v="3"/>
  </r>
  <r>
    <x v="9"/>
    <s v="FrancoisHabchi_EN_OMN_Tech_Blis_b468x60"/>
    <x v="2"/>
    <s v="Standard"/>
    <s v="Rich Media In-Page Flash"/>
    <n v="6"/>
    <n v="0"/>
    <n v="0"/>
    <x v="3"/>
  </r>
  <r>
    <x v="9"/>
    <s v="FrancoisHabchi_EN_OMN_Tech_Blis_b468x60"/>
    <x v="2"/>
    <s v="Standard"/>
    <s v="Rich Media In-Page Flash"/>
    <n v="4"/>
    <n v="0"/>
    <n v="0"/>
    <x v="3"/>
  </r>
  <r>
    <x v="9"/>
    <s v="FrancoisHabchi_EN_OMN_Tech_Blis_b468x60"/>
    <x v="2"/>
    <s v="Standard"/>
    <s v="Rich Media In-Page Flash"/>
    <n v="5"/>
    <n v="0"/>
    <n v="0"/>
    <x v="3"/>
  </r>
  <r>
    <x v="9"/>
    <s v="FrancoisHabchi_EN_OMN_Tech_Blis_b468x60"/>
    <x v="2"/>
    <s v="Standard"/>
    <s v="Rich Media In-Page Flash"/>
    <n v="4"/>
    <n v="0"/>
    <n v="0"/>
    <x v="3"/>
  </r>
  <r>
    <x v="9"/>
    <s v="FrancoisHabchi_EN_QAT_Tech_Blis_b468x60"/>
    <x v="2"/>
    <s v="Standard"/>
    <s v="Rich Media In-Page Flash"/>
    <n v="8"/>
    <n v="0"/>
    <n v="0"/>
    <x v="3"/>
  </r>
  <r>
    <x v="9"/>
    <s v="FrancoisHabchi_EN_QAT_Tech_Blis_b468x60"/>
    <x v="2"/>
    <s v="Standard"/>
    <s v="Rich Media In-Page Flash"/>
    <n v="5"/>
    <n v="0"/>
    <n v="0"/>
    <x v="3"/>
  </r>
  <r>
    <x v="9"/>
    <s v="FrancoisHabchi_EN_QAT_Tech_Blis_b468x60"/>
    <x v="2"/>
    <s v="Standard"/>
    <s v="Rich Media In-Page Flash"/>
    <n v="6"/>
    <n v="0"/>
    <n v="0"/>
    <x v="3"/>
  </r>
  <r>
    <x v="9"/>
    <s v="FrancoisHabchi_EN_QAT_Tech_Blis_b468x60"/>
    <x v="2"/>
    <s v="Standard"/>
    <s v="Rich Media In-Page Flash"/>
    <n v="5"/>
    <n v="0"/>
    <n v="0"/>
    <x v="3"/>
  </r>
  <r>
    <x v="9"/>
    <s v="FrancoisHabchi_EN_QAT_Tech_Blis_b468x60"/>
    <x v="2"/>
    <s v="Standard"/>
    <s v="Rich Media In-Page Flash"/>
    <n v="5"/>
    <n v="0"/>
    <n v="0"/>
    <x v="3"/>
  </r>
  <r>
    <x v="9"/>
    <s v="FrancoisHabchi_EN_UAE_Tech_Blis_b468x60"/>
    <x v="2"/>
    <s v="Standard"/>
    <s v="Rich Media In-Page Flash"/>
    <n v="103"/>
    <n v="0"/>
    <n v="0"/>
    <x v="3"/>
  </r>
  <r>
    <x v="9"/>
    <s v="FrancoisHabchi_EN_UAE_Tech_Blis_b468x60"/>
    <x v="2"/>
    <s v="Standard"/>
    <s v="Rich Media In-Page Flash"/>
    <n v="118"/>
    <n v="0"/>
    <n v="0"/>
    <x v="3"/>
  </r>
  <r>
    <x v="9"/>
    <s v="FrancoisHabchi_EN_UAE_Tech_Blis_b468x60"/>
    <x v="2"/>
    <s v="Standard"/>
    <s v="Rich Media In-Page Flash"/>
    <n v="137"/>
    <n v="0"/>
    <n v="0"/>
    <x v="3"/>
  </r>
  <r>
    <x v="9"/>
    <s v="FrancoisHabchi_EN_UAE_Tech_Blis_b468x60"/>
    <x v="2"/>
    <s v="Standard"/>
    <s v="Rich Media In-Page Flash"/>
    <n v="166"/>
    <n v="0"/>
    <n v="0"/>
    <x v="3"/>
  </r>
  <r>
    <x v="9"/>
    <s v="FrancoisHabchi_EN_UAE_Tech_Blis_b468x60"/>
    <x v="2"/>
    <s v="Standard"/>
    <s v="Rich Media In-Page Flash"/>
    <n v="95"/>
    <n v="1"/>
    <n v="1.0526315789473684E-2"/>
    <x v="3"/>
  </r>
  <r>
    <x v="10"/>
    <s v="Tech,Family,Lifestyle_16x600_Exp_KSA_EN"/>
    <x v="3"/>
    <s v="Default"/>
    <s v="Gif"/>
    <n v="1"/>
    <n v="0"/>
    <n v="0"/>
    <x v="1"/>
  </r>
  <r>
    <x v="10"/>
    <s v="TribalFusion_728x90_BHR_AR"/>
    <x v="1"/>
    <s v="Default"/>
    <s v="Gif"/>
    <n v="1"/>
    <n v="0"/>
    <n v="0"/>
    <x v="0"/>
  </r>
  <r>
    <x v="10"/>
    <s v="TribalFusion_728x90_KSA_AR"/>
    <x v="1"/>
    <s v="Default"/>
    <s v="Gif"/>
    <n v="3"/>
    <n v="0"/>
    <n v="0"/>
    <x v="0"/>
  </r>
  <r>
    <x v="10"/>
    <s v="TribalFusion_728x90_KWT_AR"/>
    <x v="1"/>
    <s v="Default"/>
    <s v="Gif"/>
    <n v="1"/>
    <n v="0"/>
    <n v="0"/>
    <x v="0"/>
  </r>
  <r>
    <x v="10"/>
    <s v="TribalFusion_728x90_UAE_AR"/>
    <x v="1"/>
    <s v="Default"/>
    <s v="Gif"/>
    <n v="2"/>
    <n v="0"/>
    <n v="0"/>
    <x v="0"/>
  </r>
  <r>
    <x v="11"/>
    <s v="Adzouk_300x250_KSA_AR"/>
    <x v="0"/>
    <s v="Default"/>
    <s v="Gif"/>
    <n v="9"/>
    <n v="0"/>
    <n v="0"/>
    <x v="0"/>
  </r>
  <r>
    <x v="11"/>
    <s v="Adzouk_300x250_KSA_AR"/>
    <x v="0"/>
    <s v="Default"/>
    <s v="Gif"/>
    <n v="62"/>
    <n v="0"/>
    <n v="0"/>
    <x v="0"/>
  </r>
  <r>
    <x v="11"/>
    <s v="Adzouk_300x250_KSA_AR"/>
    <x v="0"/>
    <s v="Default"/>
    <s v="Gif"/>
    <n v="39"/>
    <n v="0"/>
    <n v="0"/>
    <x v="0"/>
  </r>
  <r>
    <x v="11"/>
    <s v="Adzouk_300x250_KSA_AR"/>
    <x v="0"/>
    <s v="Default"/>
    <s v="Gif"/>
    <n v="26"/>
    <n v="0"/>
    <n v="0"/>
    <x v="0"/>
  </r>
  <r>
    <x v="11"/>
    <s v="Adzouk_300x250_KSA_AR"/>
    <x v="0"/>
    <s v="Default"/>
    <s v="Gif"/>
    <n v="210"/>
    <n v="0"/>
    <n v="0"/>
    <x v="0"/>
  </r>
  <r>
    <x v="11"/>
    <s v="Adzouk_300x250_KSA_AR"/>
    <x v="0"/>
    <s v="Standard"/>
    <s v="Flash In-Page"/>
    <n v="24689"/>
    <n v="35"/>
    <n v="1.4176353841791891E-3"/>
    <x v="0"/>
  </r>
  <r>
    <x v="11"/>
    <s v="Adzouk_300x250_KSA_AR"/>
    <x v="0"/>
    <s v="Standard"/>
    <s v="Flash In-Page"/>
    <n v="59547"/>
    <n v="74"/>
    <n v="1.2427158379095505E-3"/>
    <x v="0"/>
  </r>
  <r>
    <x v="11"/>
    <s v="Adzouk_300x250_KSA_AR"/>
    <x v="0"/>
    <s v="Standard"/>
    <s v="Flash In-Page"/>
    <n v="59049"/>
    <n v="69"/>
    <n v="1.1685210587816899E-3"/>
    <x v="0"/>
  </r>
  <r>
    <x v="11"/>
    <s v="Adzouk_300x250_KSA_AR"/>
    <x v="0"/>
    <s v="Standard"/>
    <s v="Flash In-Page"/>
    <n v="58763"/>
    <n v="91"/>
    <n v="1.548593502714293E-3"/>
    <x v="0"/>
  </r>
  <r>
    <x v="11"/>
    <s v="Adzouk_300x250_KSA_AR"/>
    <x v="0"/>
    <s v="Standard"/>
    <s v="Flash In-Page"/>
    <n v="573467"/>
    <n v="599"/>
    <n v="1.044523922039106E-3"/>
    <x v="0"/>
  </r>
  <r>
    <x v="11"/>
    <s v="Adzouk_300x250_KSA_EN"/>
    <x v="0"/>
    <s v="Default"/>
    <s v="Gif"/>
    <n v="5"/>
    <n v="0"/>
    <n v="0"/>
    <x v="1"/>
  </r>
  <r>
    <x v="11"/>
    <s v="Adzouk_300x250_KSA_EN"/>
    <x v="0"/>
    <s v="Default"/>
    <s v="Gif"/>
    <n v="16"/>
    <n v="0"/>
    <n v="0"/>
    <x v="1"/>
  </r>
  <r>
    <x v="11"/>
    <s v="Adzouk_300x250_KSA_EN"/>
    <x v="0"/>
    <s v="Default"/>
    <s v="Gif"/>
    <n v="6"/>
    <n v="0"/>
    <n v="0"/>
    <x v="1"/>
  </r>
  <r>
    <x v="11"/>
    <s v="Adzouk_300x250_KSA_EN"/>
    <x v="0"/>
    <s v="Default"/>
    <s v="Gif"/>
    <n v="70"/>
    <n v="0"/>
    <n v="0"/>
    <x v="1"/>
  </r>
  <r>
    <x v="11"/>
    <s v="Adzouk_300x250_KSA_EN"/>
    <x v="0"/>
    <s v="Standard"/>
    <s v="Flash In-Page"/>
    <n v="23257"/>
    <n v="21"/>
    <n v="9.0295394934858321E-4"/>
    <x v="1"/>
  </r>
  <r>
    <x v="11"/>
    <s v="Adzouk_300x250_KSA_EN"/>
    <x v="0"/>
    <s v="Standard"/>
    <s v="Flash In-Page"/>
    <n v="35630"/>
    <n v="34"/>
    <n v="9.5425203480213302E-4"/>
    <x v="1"/>
  </r>
  <r>
    <x v="11"/>
    <s v="Adzouk_300x250_KSA_EN"/>
    <x v="0"/>
    <s v="Standard"/>
    <s v="Flash In-Page"/>
    <n v="61592"/>
    <n v="20"/>
    <n v="3.2471749577867254E-4"/>
    <x v="1"/>
  </r>
  <r>
    <x v="11"/>
    <s v="Adzouk_300x250_KSA_EN"/>
    <x v="0"/>
    <s v="Standard"/>
    <s v="Flash In-Page"/>
    <n v="62113"/>
    <n v="17"/>
    <n v="2.7369471769194857E-4"/>
    <x v="1"/>
  </r>
  <r>
    <x v="11"/>
    <s v="Adzouk_300x250_KSA_EN"/>
    <x v="0"/>
    <s v="Standard"/>
    <s v="Flash In-Page"/>
    <n v="171527"/>
    <n v="92"/>
    <n v="5.3635870737551528E-4"/>
    <x v="1"/>
  </r>
  <r>
    <x v="11"/>
    <s v="Adzouk_300x250_UAE_AR"/>
    <x v="0"/>
    <s v="Default"/>
    <s v="Gif"/>
    <n v="9"/>
    <n v="0"/>
    <n v="0"/>
    <x v="0"/>
  </r>
  <r>
    <x v="11"/>
    <s v="Adzouk_300x250_UAE_AR"/>
    <x v="0"/>
    <s v="Default"/>
    <s v="Gif"/>
    <n v="21"/>
    <n v="0"/>
    <n v="0"/>
    <x v="0"/>
  </r>
  <r>
    <x v="11"/>
    <s v="Adzouk_300x250_UAE_AR"/>
    <x v="0"/>
    <s v="Default"/>
    <s v="Gif"/>
    <n v="5"/>
    <n v="0"/>
    <n v="0"/>
    <x v="0"/>
  </r>
  <r>
    <x v="11"/>
    <s v="Adzouk_300x250_UAE_AR"/>
    <x v="0"/>
    <s v="Default"/>
    <s v="Gif"/>
    <n v="37"/>
    <n v="0"/>
    <n v="0"/>
    <x v="0"/>
  </r>
  <r>
    <x v="11"/>
    <s v="Adzouk_300x250_UAE_AR"/>
    <x v="0"/>
    <s v="Default"/>
    <s v="Gif"/>
    <n v="25"/>
    <n v="0"/>
    <n v="0"/>
    <x v="0"/>
  </r>
  <r>
    <x v="11"/>
    <s v="Adzouk_300x250_UAE_AR"/>
    <x v="0"/>
    <s v="Standard"/>
    <s v="Flash In-Page"/>
    <n v="16139"/>
    <n v="13"/>
    <n v="8.0550219964062211E-4"/>
    <x v="0"/>
  </r>
  <r>
    <x v="11"/>
    <s v="Adzouk_300x250_UAE_AR"/>
    <x v="0"/>
    <s v="Standard"/>
    <s v="Flash In-Page"/>
    <n v="23941"/>
    <n v="23"/>
    <n v="9.6069504197819643E-4"/>
    <x v="0"/>
  </r>
  <r>
    <x v="11"/>
    <s v="Adzouk_300x250_UAE_AR"/>
    <x v="0"/>
    <s v="Standard"/>
    <s v="Flash In-Page"/>
    <n v="16087"/>
    <n v="10"/>
    <n v="6.2161994156772549E-4"/>
    <x v="0"/>
  </r>
  <r>
    <x v="11"/>
    <s v="Adzouk_300x250_UAE_AR"/>
    <x v="0"/>
    <s v="Standard"/>
    <s v="Flash In-Page"/>
    <n v="29334"/>
    <n v="25"/>
    <n v="8.5225335787823006E-4"/>
    <x v="0"/>
  </r>
  <r>
    <x v="11"/>
    <s v="Adzouk_300x250_UAE_AR"/>
    <x v="0"/>
    <s v="Standard"/>
    <s v="Flash In-Page"/>
    <n v="34491"/>
    <n v="31"/>
    <n v="8.9878519033950884E-4"/>
    <x v="0"/>
  </r>
  <r>
    <x v="11"/>
    <s v="Adzouk_300x250_UAE_EN"/>
    <x v="0"/>
    <s v="Default"/>
    <s v="Gif"/>
    <n v="4"/>
    <n v="0"/>
    <n v="0"/>
    <x v="1"/>
  </r>
  <r>
    <x v="11"/>
    <s v="Adzouk_300x250_UAE_EN"/>
    <x v="0"/>
    <s v="Standard"/>
    <s v="Flash In-Page"/>
    <n v="461"/>
    <n v="0"/>
    <n v="0"/>
    <x v="1"/>
  </r>
  <r>
    <x v="11"/>
    <s v="Adzouk_300x250_UAE_EN"/>
    <x v="0"/>
    <s v="Standard"/>
    <s v="Flash In-Page"/>
    <n v="1"/>
    <n v="0"/>
    <n v="0"/>
    <x v="1"/>
  </r>
  <r>
    <x v="11"/>
    <s v="Adzouk_300x250_UAE_EN"/>
    <x v="0"/>
    <s v="Standard"/>
    <s v="Flash In-Page"/>
    <n v="1"/>
    <n v="0"/>
    <n v="0"/>
    <x v="1"/>
  </r>
  <r>
    <x v="11"/>
    <s v="Adzouk_300x250_UAE_EN"/>
    <x v="0"/>
    <s v="Standard"/>
    <s v="Flash In-Page"/>
    <n v="2451"/>
    <n v="1"/>
    <n v="4.0799673602611179E-4"/>
    <x v="1"/>
  </r>
  <r>
    <x v="11"/>
    <s v="Adzouk_300x250_UAE_EN"/>
    <x v="0"/>
    <s v="Standard"/>
    <s v="Flash In-Page"/>
    <n v="15275"/>
    <n v="8"/>
    <n v="5.2373158756137482E-4"/>
    <x v="1"/>
  </r>
  <r>
    <x v="11"/>
    <s v="Adzouk_728x90_KSA_AR"/>
    <x v="1"/>
    <s v="Default"/>
    <s v="Gif"/>
    <n v="3"/>
    <n v="0"/>
    <n v="0"/>
    <x v="0"/>
  </r>
  <r>
    <x v="11"/>
    <s v="Adzouk_728x90_KSA_AR"/>
    <x v="1"/>
    <s v="Default"/>
    <s v="Gif"/>
    <n v="18"/>
    <n v="0"/>
    <n v="0"/>
    <x v="0"/>
  </r>
  <r>
    <x v="11"/>
    <s v="Adzouk_728x90_KSA_AR"/>
    <x v="1"/>
    <s v="Default"/>
    <s v="Gif"/>
    <n v="18"/>
    <n v="0"/>
    <n v="0"/>
    <x v="0"/>
  </r>
  <r>
    <x v="11"/>
    <s v="Adzouk_728x90_KSA_AR"/>
    <x v="1"/>
    <s v="Default"/>
    <s v="Gif"/>
    <n v="10"/>
    <n v="0"/>
    <n v="0"/>
    <x v="0"/>
  </r>
  <r>
    <x v="11"/>
    <s v="Adzouk_728x90_KSA_AR"/>
    <x v="1"/>
    <s v="Default"/>
    <s v="Gif"/>
    <n v="71"/>
    <n v="0"/>
    <n v="0"/>
    <x v="0"/>
  </r>
  <r>
    <x v="11"/>
    <s v="Adzouk_728x90_KSA_AR"/>
    <x v="1"/>
    <s v="Standard"/>
    <s v="Flash In-Page"/>
    <n v="6754"/>
    <n v="3"/>
    <n v="4.4418122594018359E-4"/>
    <x v="0"/>
  </r>
  <r>
    <x v="11"/>
    <s v="Adzouk_728x90_KSA_AR"/>
    <x v="1"/>
    <s v="Standard"/>
    <s v="Flash In-Page"/>
    <n v="36275"/>
    <n v="28"/>
    <n v="7.7188146106133698E-4"/>
    <x v="0"/>
  </r>
  <r>
    <x v="11"/>
    <s v="Adzouk_728x90_KSA_AR"/>
    <x v="1"/>
    <s v="Standard"/>
    <s v="Flash In-Page"/>
    <n v="36420"/>
    <n v="24"/>
    <n v="6.5897858319604609E-4"/>
    <x v="0"/>
  </r>
  <r>
    <x v="11"/>
    <s v="Adzouk_728x90_KSA_AR"/>
    <x v="1"/>
    <s v="Standard"/>
    <s v="Flash In-Page"/>
    <n v="6733"/>
    <n v="8"/>
    <n v="1.1881776325560671E-3"/>
    <x v="0"/>
  </r>
  <r>
    <x v="11"/>
    <s v="Adzouk_728x90_KSA_AR"/>
    <x v="1"/>
    <s v="Standard"/>
    <s v="Flash In-Page"/>
    <n v="196053"/>
    <n v="141"/>
    <n v="7.1919327936833405E-4"/>
    <x v="0"/>
  </r>
  <r>
    <x v="11"/>
    <s v="Adzouk_728x90_KSA_EN"/>
    <x v="1"/>
    <s v="Default"/>
    <s v="Gif"/>
    <n v="4"/>
    <n v="0"/>
    <n v="0"/>
    <x v="1"/>
  </r>
  <r>
    <x v="11"/>
    <s v="Adzouk_728x90_KSA_EN"/>
    <x v="1"/>
    <s v="Default"/>
    <s v="Gif"/>
    <n v="8"/>
    <n v="0"/>
    <n v="0"/>
    <x v="1"/>
  </r>
  <r>
    <x v="11"/>
    <s v="Adzouk_728x90_KSA_EN"/>
    <x v="1"/>
    <s v="Default"/>
    <s v="Gif"/>
    <n v="3"/>
    <n v="0"/>
    <n v="0"/>
    <x v="1"/>
  </r>
  <r>
    <x v="11"/>
    <s v="Adzouk_728x90_KSA_EN"/>
    <x v="1"/>
    <s v="Default"/>
    <s v="Gif"/>
    <n v="18"/>
    <n v="0"/>
    <n v="0"/>
    <x v="1"/>
  </r>
  <r>
    <x v="11"/>
    <s v="Adzouk_728x90_KSA_EN"/>
    <x v="1"/>
    <s v="Standard"/>
    <s v="Flash In-Page"/>
    <n v="13714"/>
    <n v="10"/>
    <n v="7.2918185795537403E-4"/>
    <x v="1"/>
  </r>
  <r>
    <x v="11"/>
    <s v="Adzouk_728x90_KSA_EN"/>
    <x v="1"/>
    <s v="Standard"/>
    <s v="Flash In-Page"/>
    <n v="30071"/>
    <n v="10"/>
    <n v="3.3254630707325996E-4"/>
    <x v="1"/>
  </r>
  <r>
    <x v="11"/>
    <s v="Adzouk_728x90_KSA_EN"/>
    <x v="1"/>
    <s v="Standard"/>
    <s v="Flash In-Page"/>
    <n v="46548"/>
    <n v="28"/>
    <n v="6.0152960384978946E-4"/>
    <x v="1"/>
  </r>
  <r>
    <x v="11"/>
    <s v="Adzouk_728x90_KSA_EN"/>
    <x v="1"/>
    <s v="Standard"/>
    <s v="Flash In-Page"/>
    <n v="47065"/>
    <n v="26"/>
    <n v="5.5242749389142675E-4"/>
    <x v="1"/>
  </r>
  <r>
    <x v="11"/>
    <s v="Adzouk_728x90_KSA_EN"/>
    <x v="1"/>
    <s v="Standard"/>
    <s v="Flash In-Page"/>
    <n v="133641"/>
    <n v="55"/>
    <n v="4.1155034757297534E-4"/>
    <x v="1"/>
  </r>
  <r>
    <x v="11"/>
    <s v="Adzouk_728x90_UAE_AR"/>
    <x v="1"/>
    <s v="Default"/>
    <s v="Gif"/>
    <n v="3"/>
    <n v="0"/>
    <n v="0"/>
    <x v="0"/>
  </r>
  <r>
    <x v="11"/>
    <s v="Adzouk_728x90_UAE_AR"/>
    <x v="1"/>
    <s v="Default"/>
    <s v="Gif"/>
    <n v="9"/>
    <n v="0"/>
    <n v="0"/>
    <x v="0"/>
  </r>
  <r>
    <x v="11"/>
    <s v="Adzouk_728x90_UAE_AR"/>
    <x v="1"/>
    <s v="Default"/>
    <s v="Gif"/>
    <n v="15"/>
    <n v="0"/>
    <n v="0"/>
    <x v="0"/>
  </r>
  <r>
    <x v="11"/>
    <s v="Adzouk_728x90_UAE_AR"/>
    <x v="1"/>
    <s v="Default"/>
    <s v="Gif"/>
    <n v="137"/>
    <n v="0"/>
    <n v="0"/>
    <x v="0"/>
  </r>
  <r>
    <x v="11"/>
    <s v="Adzouk_728x90_UAE_AR"/>
    <x v="1"/>
    <s v="Default"/>
    <s v="Gif"/>
    <n v="23"/>
    <n v="0"/>
    <n v="0"/>
    <x v="0"/>
  </r>
  <r>
    <x v="11"/>
    <s v="Adzouk_728x90_UAE_AR"/>
    <x v="1"/>
    <s v="Standard"/>
    <s v="Flash In-Page"/>
    <n v="16624"/>
    <n v="7"/>
    <n v="4.2107795957651586E-4"/>
    <x v="0"/>
  </r>
  <r>
    <x v="11"/>
    <s v="Adzouk_728x90_UAE_AR"/>
    <x v="1"/>
    <s v="Standard"/>
    <s v="Flash In-Page"/>
    <n v="30667"/>
    <n v="20"/>
    <n v="6.5216682427364915E-4"/>
    <x v="0"/>
  </r>
  <r>
    <x v="11"/>
    <s v="Adzouk_728x90_UAE_AR"/>
    <x v="1"/>
    <s v="Standard"/>
    <s v="Flash In-Page"/>
    <n v="32752"/>
    <n v="13"/>
    <n v="3.9692232535417683E-4"/>
    <x v="0"/>
  </r>
  <r>
    <x v="11"/>
    <s v="Adzouk_728x90_UAE_AR"/>
    <x v="1"/>
    <s v="Standard"/>
    <s v="Flash In-Page"/>
    <n v="32892"/>
    <n v="15"/>
    <n v="4.5603794235680409E-4"/>
    <x v="0"/>
  </r>
  <r>
    <x v="11"/>
    <s v="Adzouk_728x90_UAE_AR"/>
    <x v="1"/>
    <s v="Standard"/>
    <s v="Flash In-Page"/>
    <n v="15567"/>
    <n v="4"/>
    <n v="2.5695381255219375E-4"/>
    <x v="0"/>
  </r>
  <r>
    <x v="11"/>
    <s v="Adzouk_728x90_UAE_EN"/>
    <x v="1"/>
    <s v="Default"/>
    <s v="Gif"/>
    <n v="29"/>
    <n v="0"/>
    <n v="0"/>
    <x v="1"/>
  </r>
  <r>
    <x v="11"/>
    <s v="Adzouk_728x90_UAE_EN"/>
    <x v="1"/>
    <s v="Default"/>
    <s v="Gif"/>
    <n v="8"/>
    <n v="0"/>
    <n v="0"/>
    <x v="1"/>
  </r>
  <r>
    <x v="11"/>
    <s v="Adzouk_728x90_UAE_EN"/>
    <x v="1"/>
    <s v="Default"/>
    <s v="Gif"/>
    <n v="6"/>
    <n v="0"/>
    <n v="0"/>
    <x v="1"/>
  </r>
  <r>
    <x v="11"/>
    <s v="Adzouk_728x90_UAE_EN"/>
    <x v="1"/>
    <s v="Default"/>
    <s v="Gif"/>
    <n v="3"/>
    <n v="0"/>
    <n v="0"/>
    <x v="1"/>
  </r>
  <r>
    <x v="11"/>
    <s v="Adzouk_728x90_UAE_EN"/>
    <x v="1"/>
    <s v="Default"/>
    <s v="Gif"/>
    <n v="12"/>
    <n v="0"/>
    <n v="0"/>
    <x v="1"/>
  </r>
  <r>
    <x v="11"/>
    <s v="Adzouk_728x90_UAE_EN"/>
    <x v="1"/>
    <s v="Standard"/>
    <s v="Flash In-Page"/>
    <n v="6228"/>
    <n v="1"/>
    <n v="1.6056518946692356E-4"/>
    <x v="1"/>
  </r>
  <r>
    <x v="11"/>
    <s v="Adzouk_728x90_UAE_EN"/>
    <x v="1"/>
    <s v="Standard"/>
    <s v="Flash In-Page"/>
    <n v="18231"/>
    <n v="8"/>
    <n v="4.3881301080577037E-4"/>
    <x v="1"/>
  </r>
  <r>
    <x v="11"/>
    <s v="Adzouk_728x90_UAE_EN"/>
    <x v="1"/>
    <s v="Standard"/>
    <s v="Flash In-Page"/>
    <n v="30829"/>
    <n v="18"/>
    <n v="5.8386584060462555E-4"/>
    <x v="1"/>
  </r>
  <r>
    <x v="11"/>
    <s v="Adzouk_728x90_UAE_EN"/>
    <x v="1"/>
    <s v="Standard"/>
    <s v="Flash In-Page"/>
    <n v="18422"/>
    <n v="13"/>
    <n v="7.0567799370318098E-4"/>
    <x v="1"/>
  </r>
  <r>
    <x v="11"/>
    <s v="Adzouk_728x90_UAE_EN"/>
    <x v="1"/>
    <s v="Standard"/>
    <s v="Flash In-Page"/>
    <n v="14559"/>
    <n v="1"/>
    <n v="6.8686036128855007E-5"/>
    <x v="1"/>
  </r>
  <r>
    <x v="11"/>
    <s v="Adzouk_Autos_300x250_BHR_EN"/>
    <x v="0"/>
    <s v="Default"/>
    <s v="Gif"/>
    <n v="10"/>
    <n v="0"/>
    <n v="0"/>
    <x v="1"/>
  </r>
  <r>
    <x v="11"/>
    <s v="Adzouk_Autos_300x250_BHR_EN"/>
    <x v="0"/>
    <s v="Standard"/>
    <s v="Flash In-Page"/>
    <n v="4692"/>
    <n v="2"/>
    <n v="4.2625745950554135E-4"/>
    <x v="1"/>
  </r>
  <r>
    <x v="11"/>
    <s v="Adzouk_Autos_300x250_BHR_EN"/>
    <x v="0"/>
    <s v="Standard"/>
    <s v="Flash In-Page"/>
    <n v="7243"/>
    <n v="2"/>
    <n v="2.7612867596299873E-4"/>
    <x v="1"/>
  </r>
  <r>
    <x v="11"/>
    <s v="Adzouk_Autos_300x250_BHR_EN"/>
    <x v="0"/>
    <s v="Standard"/>
    <s v="Flash In-Page"/>
    <n v="10514"/>
    <n v="5"/>
    <n v="4.7555640098915732E-4"/>
    <x v="1"/>
  </r>
  <r>
    <x v="11"/>
    <s v="Adzouk_Autos_300x250_BHR_EN"/>
    <x v="0"/>
    <s v="Standard"/>
    <s v="Flash In-Page"/>
    <n v="12999"/>
    <n v="5"/>
    <n v="3.8464497269020693E-4"/>
    <x v="1"/>
  </r>
  <r>
    <x v="11"/>
    <s v="Adzouk_Autos_300x250_BHR_EN"/>
    <x v="0"/>
    <s v="Standard"/>
    <s v="Flash In-Page"/>
    <n v="10920"/>
    <n v="4"/>
    <n v="3.663003663003663E-4"/>
    <x v="1"/>
  </r>
  <r>
    <x v="11"/>
    <s v="Adzouk_Autos_300x250_KSA_AR"/>
    <x v="0"/>
    <s v="Default"/>
    <s v="Gif"/>
    <n v="1"/>
    <n v="0"/>
    <n v="0"/>
    <x v="0"/>
  </r>
  <r>
    <x v="11"/>
    <s v="Adzouk_Autos_300x250_KSA_AR"/>
    <x v="0"/>
    <s v="Default"/>
    <s v="Gif"/>
    <n v="1"/>
    <n v="0"/>
    <n v="0"/>
    <x v="0"/>
  </r>
  <r>
    <x v="11"/>
    <s v="Adzouk_Autos_300x250_KSA_AR"/>
    <x v="0"/>
    <s v="Default"/>
    <s v="Gif"/>
    <n v="2"/>
    <n v="0"/>
    <n v="0"/>
    <x v="0"/>
  </r>
  <r>
    <x v="11"/>
    <s v="Adzouk_Autos_300x250_KSA_AR"/>
    <x v="0"/>
    <s v="Default"/>
    <s v="Gif"/>
    <n v="2"/>
    <n v="0"/>
    <n v="0"/>
    <x v="0"/>
  </r>
  <r>
    <x v="11"/>
    <s v="Adzouk_Autos_300x250_KSA_AR"/>
    <x v="0"/>
    <s v="Default"/>
    <s v="Gif"/>
    <n v="2"/>
    <n v="0"/>
    <n v="0"/>
    <x v="0"/>
  </r>
  <r>
    <x v="11"/>
    <s v="Adzouk_Autos_300x250_KSA_AR"/>
    <x v="0"/>
    <s v="Standard"/>
    <s v="Flash In-Page"/>
    <n v="7159"/>
    <n v="35"/>
    <n v="4.8889509708059786E-3"/>
    <x v="0"/>
  </r>
  <r>
    <x v="11"/>
    <s v="Adzouk_Autos_300x250_KSA_AR"/>
    <x v="0"/>
    <s v="Standard"/>
    <s v="Flash In-Page"/>
    <n v="13297"/>
    <n v="49"/>
    <n v="3.6850417387380612E-3"/>
    <x v="0"/>
  </r>
  <r>
    <x v="11"/>
    <s v="Adzouk_Autos_300x250_KSA_AR"/>
    <x v="0"/>
    <s v="Standard"/>
    <s v="Flash In-Page"/>
    <n v="13175"/>
    <n v="53"/>
    <n v="4.0227703984819733E-3"/>
    <x v="0"/>
  </r>
  <r>
    <x v="11"/>
    <s v="Adzouk_Autos_300x250_KSA_AR"/>
    <x v="0"/>
    <s v="Standard"/>
    <s v="Flash In-Page"/>
    <n v="9178"/>
    <n v="24"/>
    <n v="2.6149487905861844E-3"/>
    <x v="0"/>
  </r>
  <r>
    <x v="11"/>
    <s v="Adzouk_Autos_300x250_KSA_AR"/>
    <x v="0"/>
    <s v="Standard"/>
    <s v="Flash In-Page"/>
    <n v="8641"/>
    <n v="8"/>
    <n v="9.2581877097558157E-4"/>
    <x v="0"/>
  </r>
  <r>
    <x v="11"/>
    <s v="Adzouk_Autos_300x250_KSA_EN"/>
    <x v="0"/>
    <s v="Default"/>
    <s v="Gif"/>
    <n v="1"/>
    <n v="0"/>
    <n v="0"/>
    <x v="1"/>
  </r>
  <r>
    <x v="11"/>
    <s v="Adzouk_Autos_300x250_KSA_EN"/>
    <x v="0"/>
    <s v="Default"/>
    <s v="Gif"/>
    <n v="9"/>
    <n v="0"/>
    <n v="0"/>
    <x v="1"/>
  </r>
  <r>
    <x v="11"/>
    <s v="Adzouk_Autos_300x250_KSA_EN"/>
    <x v="0"/>
    <s v="Default"/>
    <s v="Gif"/>
    <n v="3"/>
    <n v="0"/>
    <n v="0"/>
    <x v="1"/>
  </r>
  <r>
    <x v="11"/>
    <s v="Adzouk_Autos_300x250_KSA_EN"/>
    <x v="0"/>
    <s v="Default"/>
    <s v="Gif"/>
    <n v="1"/>
    <n v="0"/>
    <n v="0"/>
    <x v="1"/>
  </r>
  <r>
    <x v="11"/>
    <s v="Adzouk_Autos_300x250_KSA_EN"/>
    <x v="0"/>
    <s v="Default"/>
    <s v="Gif"/>
    <n v="21"/>
    <n v="0"/>
    <n v="0"/>
    <x v="1"/>
  </r>
  <r>
    <x v="11"/>
    <s v="Adzouk_Autos_300x250_KSA_EN"/>
    <x v="0"/>
    <s v="Standard"/>
    <s v="Flash In-Page"/>
    <n v="11667"/>
    <n v="9"/>
    <n v="7.7140653124196457E-4"/>
    <x v="1"/>
  </r>
  <r>
    <x v="11"/>
    <s v="Adzouk_Autos_300x250_KSA_EN"/>
    <x v="0"/>
    <s v="Standard"/>
    <s v="Flash In-Page"/>
    <n v="24569"/>
    <n v="28"/>
    <n v="1.1396475233017218E-3"/>
    <x v="1"/>
  </r>
  <r>
    <x v="11"/>
    <s v="Adzouk_Autos_300x250_KSA_EN"/>
    <x v="0"/>
    <s v="Standard"/>
    <s v="Flash In-Page"/>
    <n v="24607"/>
    <n v="23"/>
    <n v="9.3469337993253953E-4"/>
    <x v="1"/>
  </r>
  <r>
    <x v="11"/>
    <s v="Adzouk_Autos_300x250_KSA_EN"/>
    <x v="0"/>
    <s v="Standard"/>
    <s v="Flash In-Page"/>
    <n v="28693"/>
    <n v="21"/>
    <n v="7.318858258111735E-4"/>
    <x v="1"/>
  </r>
  <r>
    <x v="11"/>
    <s v="Adzouk_Autos_300x250_KSA_EN"/>
    <x v="0"/>
    <s v="Standard"/>
    <s v="Flash In-Page"/>
    <n v="23879"/>
    <n v="25"/>
    <n v="1.0469450144478412E-3"/>
    <x v="1"/>
  </r>
  <r>
    <x v="11"/>
    <s v="Adzouk_Autos_300x250_KWT_AR"/>
    <x v="0"/>
    <s v="Standard"/>
    <s v="Flash In-Page"/>
    <n v="182"/>
    <n v="0"/>
    <n v="0"/>
    <x v="0"/>
  </r>
  <r>
    <x v="11"/>
    <s v="Adzouk_Autos_300x250_KWT_AR"/>
    <x v="0"/>
    <s v="Standard"/>
    <s v="Flash In-Page"/>
    <n v="371"/>
    <n v="0"/>
    <n v="0"/>
    <x v="0"/>
  </r>
  <r>
    <x v="11"/>
    <s v="Adzouk_Autos_300x250_KWT_AR"/>
    <x v="0"/>
    <s v="Standard"/>
    <s v="Flash In-Page"/>
    <n v="422"/>
    <n v="1"/>
    <n v="2.3696682464454978E-3"/>
    <x v="0"/>
  </r>
  <r>
    <x v="11"/>
    <s v="Adzouk_Autos_300x250_KWT_AR"/>
    <x v="0"/>
    <s v="Standard"/>
    <s v="Flash In-Page"/>
    <n v="338"/>
    <n v="1"/>
    <n v="2.9585798816568047E-3"/>
    <x v="0"/>
  </r>
  <r>
    <x v="11"/>
    <s v="Adzouk_Autos_300x250_KWT_AR"/>
    <x v="0"/>
    <s v="Standard"/>
    <s v="Flash In-Page"/>
    <n v="639"/>
    <n v="1"/>
    <n v="1.5649452269170579E-3"/>
    <x v="0"/>
  </r>
  <r>
    <x v="11"/>
    <s v="Adzouk_Autos_300x250_KWT_EN"/>
    <x v="0"/>
    <s v="Default"/>
    <s v="Gif"/>
    <n v="2"/>
    <n v="0"/>
    <n v="0"/>
    <x v="1"/>
  </r>
  <r>
    <x v="11"/>
    <s v="Adzouk_Autos_300x250_KWT_EN"/>
    <x v="0"/>
    <s v="Standard"/>
    <s v="Flash In-Page"/>
    <n v="7602"/>
    <n v="5"/>
    <n v="6.5772165219679028E-4"/>
    <x v="1"/>
  </r>
  <r>
    <x v="11"/>
    <s v="Adzouk_Autos_300x250_KWT_EN"/>
    <x v="0"/>
    <s v="Standard"/>
    <s v="Flash In-Page"/>
    <n v="11459"/>
    <n v="8"/>
    <n v="6.981411990575094E-4"/>
    <x v="1"/>
  </r>
  <r>
    <x v="11"/>
    <s v="Adzouk_Autos_300x250_KWT_EN"/>
    <x v="0"/>
    <s v="Standard"/>
    <s v="Flash In-Page"/>
    <n v="17295"/>
    <n v="6"/>
    <n v="3.4692107545533391E-4"/>
    <x v="1"/>
  </r>
  <r>
    <x v="11"/>
    <s v="Adzouk_Autos_300x250_KWT_EN"/>
    <x v="0"/>
    <s v="Standard"/>
    <s v="Flash In-Page"/>
    <n v="17534"/>
    <n v="12"/>
    <n v="6.8438462415877719E-4"/>
    <x v="1"/>
  </r>
  <r>
    <x v="11"/>
    <s v="Adzouk_Autos_300x250_KWT_EN"/>
    <x v="0"/>
    <s v="Standard"/>
    <s v="Flash In-Page"/>
    <n v="14472"/>
    <n v="8"/>
    <n v="5.5279159756771695E-4"/>
    <x v="1"/>
  </r>
  <r>
    <x v="11"/>
    <s v="Adzouk_Autos_300x250_OMN_EN"/>
    <x v="0"/>
    <s v="Default"/>
    <s v="Gif"/>
    <n v="4"/>
    <n v="0"/>
    <n v="0"/>
    <x v="1"/>
  </r>
  <r>
    <x v="11"/>
    <s v="Adzouk_Autos_300x250_OMN_EN"/>
    <x v="0"/>
    <s v="Default"/>
    <s v="Gif"/>
    <n v="8"/>
    <n v="0"/>
    <n v="0"/>
    <x v="1"/>
  </r>
  <r>
    <x v="11"/>
    <s v="Adzouk_Autos_300x250_OMN_EN"/>
    <x v="0"/>
    <s v="Default"/>
    <s v="Gif"/>
    <n v="3"/>
    <n v="0"/>
    <n v="0"/>
    <x v="1"/>
  </r>
  <r>
    <x v="11"/>
    <s v="Adzouk_Autos_300x250_OMN_EN"/>
    <x v="0"/>
    <s v="Standard"/>
    <s v="Flash In-Page"/>
    <n v="3863"/>
    <n v="2"/>
    <n v="5.1773233238415744E-4"/>
    <x v="1"/>
  </r>
  <r>
    <x v="11"/>
    <s v="Adzouk_Autos_300x250_OMN_EN"/>
    <x v="0"/>
    <s v="Standard"/>
    <s v="Flash In-Page"/>
    <n v="8510"/>
    <n v="3"/>
    <n v="3.5252643948296123E-4"/>
    <x v="1"/>
  </r>
  <r>
    <x v="11"/>
    <s v="Adzouk_Autos_300x250_OMN_EN"/>
    <x v="0"/>
    <s v="Standard"/>
    <s v="Flash In-Page"/>
    <n v="12408"/>
    <n v="4"/>
    <n v="3.2237266279819472E-4"/>
    <x v="1"/>
  </r>
  <r>
    <x v="11"/>
    <s v="Adzouk_Autos_300x250_OMN_EN"/>
    <x v="0"/>
    <s v="Standard"/>
    <s v="Flash In-Page"/>
    <n v="15910"/>
    <n v="9"/>
    <n v="5.6568196103079819E-4"/>
    <x v="1"/>
  </r>
  <r>
    <x v="11"/>
    <s v="Adzouk_Autos_300x250_OMN_EN"/>
    <x v="0"/>
    <s v="Standard"/>
    <s v="Flash In-Page"/>
    <n v="14770"/>
    <n v="8"/>
    <n v="5.4163845633039946E-4"/>
    <x v="1"/>
  </r>
  <r>
    <x v="11"/>
    <s v="Adzouk_Autos_300x250_QAT_EN"/>
    <x v="0"/>
    <s v="Default"/>
    <s v="Gif"/>
    <n v="6"/>
    <n v="0"/>
    <n v="0"/>
    <x v="1"/>
  </r>
  <r>
    <x v="11"/>
    <s v="Adzouk_Autos_300x250_QAT_EN"/>
    <x v="0"/>
    <s v="Default"/>
    <s v="Gif"/>
    <n v="23"/>
    <n v="0"/>
    <n v="0"/>
    <x v="1"/>
  </r>
  <r>
    <x v="11"/>
    <s v="Adzouk_Autos_300x250_QAT_EN"/>
    <x v="0"/>
    <s v="Default"/>
    <s v="Gif"/>
    <n v="32"/>
    <n v="0"/>
    <n v="0"/>
    <x v="1"/>
  </r>
  <r>
    <x v="11"/>
    <s v="Adzouk_Autos_300x250_QAT_EN"/>
    <x v="0"/>
    <s v="Default"/>
    <s v="Gif"/>
    <n v="22"/>
    <n v="0"/>
    <n v="0"/>
    <x v="1"/>
  </r>
  <r>
    <x v="11"/>
    <s v="Adzouk_Autos_300x250_QAT_EN"/>
    <x v="0"/>
    <s v="Standard"/>
    <s v="Flash In-Page"/>
    <n v="6220"/>
    <n v="1"/>
    <n v="1.6077170418006431E-4"/>
    <x v="1"/>
  </r>
  <r>
    <x v="11"/>
    <s v="Adzouk_Autos_300x250_QAT_EN"/>
    <x v="0"/>
    <s v="Standard"/>
    <s v="Flash In-Page"/>
    <n v="13346"/>
    <n v="5"/>
    <n v="3.7464408811628953E-4"/>
    <x v="1"/>
  </r>
  <r>
    <x v="11"/>
    <s v="Adzouk_Autos_300x250_QAT_EN"/>
    <x v="0"/>
    <s v="Standard"/>
    <s v="Flash In-Page"/>
    <n v="17707"/>
    <n v="5"/>
    <n v="2.8237420229287852E-4"/>
    <x v="1"/>
  </r>
  <r>
    <x v="11"/>
    <s v="Adzouk_Autos_300x250_QAT_EN"/>
    <x v="0"/>
    <s v="Standard"/>
    <s v="Flash In-Page"/>
    <n v="17956"/>
    <n v="8"/>
    <n v="4.4553352639786146E-4"/>
    <x v="1"/>
  </r>
  <r>
    <x v="11"/>
    <s v="Adzouk_Autos_300x250_QAT_EN"/>
    <x v="0"/>
    <s v="Standard"/>
    <s v="Flash In-Page"/>
    <n v="15430"/>
    <n v="7"/>
    <n v="4.5366169799092678E-4"/>
    <x v="1"/>
  </r>
  <r>
    <x v="11"/>
    <s v="Adzouk_Autos_300x250_UAE_AR"/>
    <x v="0"/>
    <s v="Default"/>
    <s v="Gif"/>
    <n v="1"/>
    <n v="0"/>
    <n v="0"/>
    <x v="0"/>
  </r>
  <r>
    <x v="11"/>
    <s v="Adzouk_Autos_300x250_UAE_AR"/>
    <x v="0"/>
    <s v="Default"/>
    <s v="Gif"/>
    <n v="1"/>
    <n v="0"/>
    <n v="0"/>
    <x v="0"/>
  </r>
  <r>
    <x v="11"/>
    <s v="Adzouk_Autos_300x250_UAE_AR"/>
    <x v="0"/>
    <s v="Default"/>
    <s v="Gif"/>
    <n v="2"/>
    <n v="0"/>
    <n v="0"/>
    <x v="0"/>
  </r>
  <r>
    <x v="11"/>
    <s v="Adzouk_Autos_300x250_UAE_AR"/>
    <x v="0"/>
    <s v="Standard"/>
    <s v="Flash In-Page"/>
    <n v="254"/>
    <n v="4"/>
    <n v="1.5748031496062992E-2"/>
    <x v="0"/>
  </r>
  <r>
    <x v="11"/>
    <s v="Adzouk_Autos_300x250_UAE_AR"/>
    <x v="0"/>
    <s v="Standard"/>
    <s v="Flash In-Page"/>
    <n v="447"/>
    <n v="1"/>
    <n v="2.2371364653243847E-3"/>
    <x v="0"/>
  </r>
  <r>
    <x v="11"/>
    <s v="Adzouk_Autos_300x250_UAE_AR"/>
    <x v="0"/>
    <s v="Standard"/>
    <s v="Flash In-Page"/>
    <n v="262"/>
    <n v="1"/>
    <n v="3.8167938931297708E-3"/>
    <x v="0"/>
  </r>
  <r>
    <x v="11"/>
    <s v="Adzouk_Autos_300x250_UAE_AR"/>
    <x v="0"/>
    <s v="Standard"/>
    <s v="Flash In-Page"/>
    <n v="472"/>
    <n v="1"/>
    <n v="2.1186440677966102E-3"/>
    <x v="0"/>
  </r>
  <r>
    <x v="11"/>
    <s v="Adzouk_Autos_300x250_UAE_AR"/>
    <x v="0"/>
    <s v="Standard"/>
    <s v="Flash In-Page"/>
    <n v="1331"/>
    <n v="7"/>
    <n v="5.2592036063110444E-3"/>
    <x v="0"/>
  </r>
  <r>
    <x v="11"/>
    <s v="Adzouk_Autos_300x250_UAE_EN"/>
    <x v="0"/>
    <s v="Default"/>
    <s v="Gif"/>
    <n v="4"/>
    <n v="0"/>
    <n v="0"/>
    <x v="1"/>
  </r>
  <r>
    <x v="11"/>
    <s v="Adzouk_Autos_300x250_UAE_EN"/>
    <x v="0"/>
    <s v="Default"/>
    <s v="Gif"/>
    <n v="2"/>
    <n v="0"/>
    <n v="0"/>
    <x v="1"/>
  </r>
  <r>
    <x v="11"/>
    <s v="Adzouk_Autos_300x250_UAE_EN"/>
    <x v="0"/>
    <s v="Standard"/>
    <s v="Flash In-Page"/>
    <n v="9463"/>
    <n v="8"/>
    <n v="8.4539786537038994E-4"/>
    <x v="1"/>
  </r>
  <r>
    <x v="11"/>
    <s v="Adzouk_Autos_300x250_UAE_EN"/>
    <x v="0"/>
    <s v="Standard"/>
    <s v="Flash In-Page"/>
    <n v="16804"/>
    <n v="17"/>
    <n v="1.0116638895501071E-3"/>
    <x v="1"/>
  </r>
  <r>
    <x v="11"/>
    <s v="Adzouk_Autos_300x250_UAE_EN"/>
    <x v="0"/>
    <s v="Standard"/>
    <s v="Flash In-Page"/>
    <n v="16620"/>
    <n v="10"/>
    <n v="6.0168471720818293E-4"/>
    <x v="1"/>
  </r>
  <r>
    <x v="11"/>
    <s v="Adzouk_Autos_300x250_UAE_EN"/>
    <x v="0"/>
    <s v="Standard"/>
    <s v="Flash In-Page"/>
    <n v="16488"/>
    <n v="6"/>
    <n v="3.63901018922853E-4"/>
    <x v="1"/>
  </r>
  <r>
    <x v="11"/>
    <s v="Adzouk_Autos_300x250_UAE_EN"/>
    <x v="0"/>
    <s v="Standard"/>
    <s v="Flash In-Page"/>
    <n v="14712"/>
    <n v="10"/>
    <n v="6.7971723762914632E-4"/>
    <x v="1"/>
  </r>
  <r>
    <x v="11"/>
    <s v="Adzouk_Autos_728x90_BHR_AR"/>
    <x v="1"/>
    <s v="Default"/>
    <s v="Gif"/>
    <n v="7"/>
    <n v="0"/>
    <n v="0"/>
    <x v="0"/>
  </r>
  <r>
    <x v="11"/>
    <s v="Adzouk_Autos_728x90_BHR_AR"/>
    <x v="1"/>
    <s v="Standard"/>
    <s v="Flash In-Page"/>
    <n v="71"/>
    <n v="0"/>
    <n v="0"/>
    <x v="0"/>
  </r>
  <r>
    <x v="11"/>
    <s v="Adzouk_Autos_728x90_BHR_AR"/>
    <x v="1"/>
    <s v="Standard"/>
    <s v="Flash In-Page"/>
    <n v="626"/>
    <n v="1"/>
    <n v="1.5974440894568689E-3"/>
    <x v="0"/>
  </r>
  <r>
    <x v="11"/>
    <s v="Adzouk_Autos_728x90_BHR_AR"/>
    <x v="1"/>
    <s v="Standard"/>
    <s v="Flash In-Page"/>
    <n v="345"/>
    <n v="0"/>
    <n v="0"/>
    <x v="0"/>
  </r>
  <r>
    <x v="11"/>
    <s v="Adzouk_Autos_728x90_BHR_AR"/>
    <x v="1"/>
    <s v="Standard"/>
    <s v="Flash In-Page"/>
    <n v="640"/>
    <n v="0"/>
    <n v="0"/>
    <x v="0"/>
  </r>
  <r>
    <x v="11"/>
    <s v="Adzouk_Autos_728x90_BHR_AR"/>
    <x v="1"/>
    <s v="Standard"/>
    <s v="Flash In-Page"/>
    <n v="1429"/>
    <n v="4"/>
    <n v="2.7991602519244225E-3"/>
    <x v="0"/>
  </r>
  <r>
    <x v="11"/>
    <s v="Adzouk_Autos_728x90_BHR_EN"/>
    <x v="1"/>
    <s v="Standard"/>
    <s v="Flash In-Page"/>
    <n v="14441"/>
    <n v="14"/>
    <n v="9.6946194861851677E-4"/>
    <x v="1"/>
  </r>
  <r>
    <x v="11"/>
    <s v="Adzouk_Autos_728x90_BHR_EN"/>
    <x v="1"/>
    <s v="Standard"/>
    <s v="Flash In-Page"/>
    <n v="18808"/>
    <n v="9"/>
    <n v="4.7851977881752447E-4"/>
    <x v="1"/>
  </r>
  <r>
    <x v="11"/>
    <s v="Adzouk_Autos_728x90_BHR_EN"/>
    <x v="1"/>
    <s v="Standard"/>
    <s v="Flash In-Page"/>
    <n v="15466"/>
    <n v="8"/>
    <n v="5.1726367515841204E-4"/>
    <x v="1"/>
  </r>
  <r>
    <x v="11"/>
    <s v="Adzouk_Autos_728x90_KSA_AR"/>
    <x v="1"/>
    <s v="Default"/>
    <s v="Gif"/>
    <n v="20"/>
    <n v="0"/>
    <n v="0"/>
    <x v="0"/>
  </r>
  <r>
    <x v="11"/>
    <s v="Adzouk_Autos_728x90_KSA_AR"/>
    <x v="1"/>
    <s v="Default"/>
    <s v="Gif"/>
    <n v="14"/>
    <n v="0"/>
    <n v="0"/>
    <x v="0"/>
  </r>
  <r>
    <x v="11"/>
    <s v="Adzouk_Autos_728x90_KSA_AR"/>
    <x v="1"/>
    <s v="Default"/>
    <s v="Gif"/>
    <n v="7"/>
    <n v="0"/>
    <n v="0"/>
    <x v="0"/>
  </r>
  <r>
    <x v="11"/>
    <s v="Adzouk_Autos_728x90_KSA_AR"/>
    <x v="1"/>
    <s v="Standard"/>
    <s v="Flash In-Page"/>
    <n v="13701"/>
    <n v="17"/>
    <n v="1.2407853441354646E-3"/>
    <x v="0"/>
  </r>
  <r>
    <x v="11"/>
    <s v="Adzouk_Autos_728x90_KSA_AR"/>
    <x v="1"/>
    <s v="Standard"/>
    <s v="Flash In-Page"/>
    <n v="28244"/>
    <n v="12"/>
    <n v="4.2486899872539298E-4"/>
    <x v="0"/>
  </r>
  <r>
    <x v="11"/>
    <s v="Adzouk_Autos_728x90_KSA_AR"/>
    <x v="1"/>
    <s v="Standard"/>
    <s v="Flash In-Page"/>
    <n v="31008"/>
    <n v="33"/>
    <n v="1.0642414860681114E-3"/>
    <x v="0"/>
  </r>
  <r>
    <x v="11"/>
    <s v="Adzouk_Autos_728x90_KSA_EN"/>
    <x v="1"/>
    <s v="Default"/>
    <s v="Gif"/>
    <n v="3"/>
    <n v="0"/>
    <n v="0"/>
    <x v="1"/>
  </r>
  <r>
    <x v="11"/>
    <s v="Adzouk_Autos_728x90_KSA_EN"/>
    <x v="1"/>
    <s v="Standard"/>
    <s v="Flash In-Page"/>
    <n v="9011"/>
    <n v="9"/>
    <n v="9.9877926978137821E-4"/>
    <x v="1"/>
  </r>
  <r>
    <x v="11"/>
    <s v="Adzouk_Autos_728x90_KSA_EN"/>
    <x v="1"/>
    <s v="Standard"/>
    <s v="Flash In-Page"/>
    <n v="17429"/>
    <n v="11"/>
    <n v="6.311320213437375E-4"/>
    <x v="1"/>
  </r>
  <r>
    <x v="11"/>
    <s v="Adzouk_Autos_728x90_KSA_EN"/>
    <x v="1"/>
    <s v="Standard"/>
    <s v="Flash In-Page"/>
    <n v="18944"/>
    <n v="7"/>
    <n v="3.6951013513513516E-4"/>
    <x v="1"/>
  </r>
  <r>
    <x v="11"/>
    <s v="Adzouk_Autos_728x90_KSA_EN"/>
    <x v="1"/>
    <s v="Standard"/>
    <s v="Flash In-Page"/>
    <n v="17997"/>
    <n v="15"/>
    <n v="8.33472245374229E-4"/>
    <x v="1"/>
  </r>
  <r>
    <x v="11"/>
    <s v="Adzouk_Autos_728x90_KSA_EN"/>
    <x v="1"/>
    <s v="Standard"/>
    <s v="Flash In-Page"/>
    <n v="14346"/>
    <n v="3"/>
    <n v="2.0911752404851526E-4"/>
    <x v="1"/>
  </r>
  <r>
    <x v="11"/>
    <s v="Adzouk_Autos_728x90_KWT_AR"/>
    <x v="1"/>
    <s v="Default"/>
    <s v="Gif"/>
    <n v="4"/>
    <n v="0"/>
    <n v="0"/>
    <x v="0"/>
  </r>
  <r>
    <x v="11"/>
    <s v="Adzouk_Autos_728x90_KWT_AR"/>
    <x v="1"/>
    <s v="Default"/>
    <s v="Gif"/>
    <n v="1"/>
    <n v="0"/>
    <n v="0"/>
    <x v="0"/>
  </r>
  <r>
    <x v="11"/>
    <s v="Adzouk_Autos_728x90_KWT_AR"/>
    <x v="1"/>
    <s v="Standard"/>
    <s v="Flash In-Page"/>
    <n v="133"/>
    <n v="0"/>
    <n v="0"/>
    <x v="0"/>
  </r>
  <r>
    <x v="11"/>
    <s v="Adzouk_Autos_728x90_KWT_AR"/>
    <x v="1"/>
    <s v="Standard"/>
    <s v="Flash In-Page"/>
    <n v="1849"/>
    <n v="0"/>
    <n v="0"/>
    <x v="0"/>
  </r>
  <r>
    <x v="11"/>
    <s v="Adzouk_Autos_728x90_KWT_AR"/>
    <x v="1"/>
    <s v="Standard"/>
    <s v="Flash In-Page"/>
    <n v="997"/>
    <n v="1"/>
    <n v="1.0030090270812437E-3"/>
    <x v="0"/>
  </r>
  <r>
    <x v="11"/>
    <s v="Adzouk_Autos_728x90_KWT_AR"/>
    <x v="1"/>
    <s v="Standard"/>
    <s v="Flash In-Page"/>
    <n v="2457"/>
    <n v="1"/>
    <n v="4.0700040700040698E-4"/>
    <x v="0"/>
  </r>
  <r>
    <x v="11"/>
    <s v="Adzouk_Autos_728x90_KWT_AR"/>
    <x v="1"/>
    <s v="Standard"/>
    <s v="Flash In-Page"/>
    <n v="3198"/>
    <n v="3"/>
    <n v="9.3808630393996248E-4"/>
    <x v="0"/>
  </r>
  <r>
    <x v="11"/>
    <s v="Adzouk_Autos_728x90_OMN_AR"/>
    <x v="1"/>
    <s v="Default"/>
    <s v="Gif"/>
    <n v="1"/>
    <n v="0"/>
    <n v="0"/>
    <x v="0"/>
  </r>
  <r>
    <x v="11"/>
    <s v="Adzouk_Autos_728x90_OMN_AR"/>
    <x v="1"/>
    <s v="Default"/>
    <s v="Gif"/>
    <n v="7"/>
    <n v="0"/>
    <n v="0"/>
    <x v="0"/>
  </r>
  <r>
    <x v="11"/>
    <s v="Adzouk_Autos_728x90_OMN_AR"/>
    <x v="1"/>
    <s v="Default"/>
    <s v="Gif"/>
    <n v="2"/>
    <n v="0"/>
    <n v="0"/>
    <x v="0"/>
  </r>
  <r>
    <x v="11"/>
    <s v="Adzouk_Autos_728x90_OMN_AR"/>
    <x v="1"/>
    <s v="Default"/>
    <s v="Gif"/>
    <n v="1"/>
    <n v="0"/>
    <n v="0"/>
    <x v="0"/>
  </r>
  <r>
    <x v="11"/>
    <s v="Adzouk_Autos_728x90_OMN_AR"/>
    <x v="1"/>
    <s v="Standard"/>
    <s v="Flash In-Page"/>
    <n v="178"/>
    <n v="0"/>
    <n v="0"/>
    <x v="0"/>
  </r>
  <r>
    <x v="11"/>
    <s v="Adzouk_Autos_728x90_OMN_AR"/>
    <x v="1"/>
    <s v="Standard"/>
    <s v="Flash In-Page"/>
    <n v="1112"/>
    <n v="0"/>
    <n v="0"/>
    <x v="0"/>
  </r>
  <r>
    <x v="11"/>
    <s v="Adzouk_Autos_728x90_OMN_AR"/>
    <x v="1"/>
    <s v="Standard"/>
    <s v="Flash In-Page"/>
    <n v="1157"/>
    <n v="0"/>
    <n v="0"/>
    <x v="0"/>
  </r>
  <r>
    <x v="11"/>
    <s v="Adzouk_Autos_728x90_OMN_AR"/>
    <x v="1"/>
    <s v="Standard"/>
    <s v="Flash In-Page"/>
    <n v="1603"/>
    <n v="3"/>
    <n v="1.8714909544603868E-3"/>
    <x v="0"/>
  </r>
  <r>
    <x v="11"/>
    <s v="Adzouk_Autos_728x90_OMN_AR"/>
    <x v="1"/>
    <s v="Standard"/>
    <s v="Flash In-Page"/>
    <n v="3869"/>
    <n v="1"/>
    <n v="2.5846471956577927E-4"/>
    <x v="0"/>
  </r>
  <r>
    <x v="11"/>
    <s v="Adzouk_Autos_728x90_OMN_EN"/>
    <x v="1"/>
    <s v="Default"/>
    <s v="Gif"/>
    <n v="2"/>
    <n v="0"/>
    <n v="0"/>
    <x v="1"/>
  </r>
  <r>
    <x v="11"/>
    <s v="Adzouk_Autos_728x90_OMN_EN"/>
    <x v="1"/>
    <s v="Default"/>
    <s v="Gif"/>
    <n v="2"/>
    <n v="0"/>
    <n v="0"/>
    <x v="1"/>
  </r>
  <r>
    <x v="11"/>
    <s v="Adzouk_Autos_728x90_OMN_EN"/>
    <x v="1"/>
    <s v="Default"/>
    <s v="Gif"/>
    <n v="1"/>
    <n v="0"/>
    <n v="0"/>
    <x v="1"/>
  </r>
  <r>
    <x v="11"/>
    <s v="Adzouk_Autos_728x90_OMN_EN"/>
    <x v="1"/>
    <s v="Default"/>
    <s v="Gif"/>
    <n v="3"/>
    <n v="0"/>
    <n v="0"/>
    <x v="1"/>
  </r>
  <r>
    <x v="11"/>
    <s v="Adzouk_Autos_728x90_OMN_EN"/>
    <x v="1"/>
    <s v="Standard"/>
    <s v="Flash In-Page"/>
    <n v="3391"/>
    <n v="2"/>
    <n v="5.8979652020053083E-4"/>
    <x v="1"/>
  </r>
  <r>
    <x v="11"/>
    <s v="Adzouk_Autos_728x90_OMN_EN"/>
    <x v="1"/>
    <s v="Standard"/>
    <s v="Flash In-Page"/>
    <n v="8770"/>
    <n v="9"/>
    <n v="1.0262257696693272E-3"/>
    <x v="1"/>
  </r>
  <r>
    <x v="11"/>
    <s v="Adzouk_Autos_728x90_OMN_EN"/>
    <x v="1"/>
    <s v="Standard"/>
    <s v="Flash In-Page"/>
    <n v="9366"/>
    <n v="11"/>
    <n v="1.1744608157164211E-3"/>
    <x v="1"/>
  </r>
  <r>
    <x v="11"/>
    <s v="Adzouk_Autos_728x90_OMN_EN"/>
    <x v="1"/>
    <s v="Standard"/>
    <s v="Flash In-Page"/>
    <n v="10122"/>
    <n v="5"/>
    <n v="4.9397352301916615E-4"/>
    <x v="1"/>
  </r>
  <r>
    <x v="11"/>
    <s v="Adzouk_Autos_728x90_OMN_EN"/>
    <x v="1"/>
    <s v="Standard"/>
    <s v="Flash In-Page"/>
    <n v="6095"/>
    <n v="3"/>
    <n v="4.9220672682526666E-4"/>
    <x v="1"/>
  </r>
  <r>
    <x v="11"/>
    <s v="Adzouk_Autos_728x90_QAT_AR"/>
    <x v="1"/>
    <s v="Standard"/>
    <s v="Flash In-Page"/>
    <n v="176"/>
    <n v="0"/>
    <n v="0"/>
    <x v="0"/>
  </r>
  <r>
    <x v="11"/>
    <s v="Adzouk_Autos_728x90_QAT_AR"/>
    <x v="1"/>
    <s v="Standard"/>
    <s v="Flash In-Page"/>
    <n v="2626"/>
    <n v="0"/>
    <n v="0"/>
    <x v="0"/>
  </r>
  <r>
    <x v="11"/>
    <s v="Adzouk_Autos_728x90_QAT_AR"/>
    <x v="1"/>
    <s v="Standard"/>
    <s v="Flash In-Page"/>
    <n v="1072"/>
    <n v="2"/>
    <n v="1.8656716417910447E-3"/>
    <x v="0"/>
  </r>
  <r>
    <x v="11"/>
    <s v="Adzouk_Autos_728x90_QAT_AR"/>
    <x v="1"/>
    <s v="Standard"/>
    <s v="Flash In-Page"/>
    <n v="2501"/>
    <n v="0"/>
    <n v="0"/>
    <x v="0"/>
  </r>
  <r>
    <x v="11"/>
    <s v="Adzouk_Autos_728x90_QAT_AR"/>
    <x v="1"/>
    <s v="Standard"/>
    <s v="Flash In-Page"/>
    <n v="4101"/>
    <n v="3"/>
    <n v="7.3152889539136799E-4"/>
    <x v="0"/>
  </r>
  <r>
    <x v="11"/>
    <s v="Adzouk_Autos_728x90_QAT_EN"/>
    <x v="1"/>
    <s v="Default"/>
    <s v="Gif"/>
    <n v="1"/>
    <n v="0"/>
    <n v="0"/>
    <x v="1"/>
  </r>
  <r>
    <x v="11"/>
    <s v="Adzouk_Autos_728x90_QAT_EN"/>
    <x v="1"/>
    <s v="Default"/>
    <s v="Gif"/>
    <n v="5"/>
    <n v="0"/>
    <n v="0"/>
    <x v="1"/>
  </r>
  <r>
    <x v="11"/>
    <s v="Adzouk_Autos_728x90_QAT_EN"/>
    <x v="1"/>
    <s v="Default"/>
    <s v="Gif"/>
    <n v="16"/>
    <n v="0"/>
    <n v="0"/>
    <x v="1"/>
  </r>
  <r>
    <x v="11"/>
    <s v="Adzouk_Autos_728x90_QAT_EN"/>
    <x v="1"/>
    <s v="Default"/>
    <s v="Gif"/>
    <n v="28"/>
    <n v="0"/>
    <n v="0"/>
    <x v="1"/>
  </r>
  <r>
    <x v="11"/>
    <s v="Adzouk_Autos_728x90_QAT_EN"/>
    <x v="1"/>
    <s v="Default"/>
    <s v="Gif"/>
    <n v="33"/>
    <n v="0"/>
    <n v="0"/>
    <x v="1"/>
  </r>
  <r>
    <x v="11"/>
    <s v="Adzouk_Autos_728x90_QAT_EN"/>
    <x v="1"/>
    <s v="Standard"/>
    <s v="Flash In-Page"/>
    <n v="8899"/>
    <n v="5"/>
    <n v="5.6186088324530845E-4"/>
    <x v="1"/>
  </r>
  <r>
    <x v="11"/>
    <s v="Adzouk_Autos_728x90_QAT_EN"/>
    <x v="1"/>
    <s v="Standard"/>
    <s v="Flash In-Page"/>
    <n v="16547"/>
    <n v="4"/>
    <n v="2.4173566205354445E-4"/>
    <x v="1"/>
  </r>
  <r>
    <x v="11"/>
    <s v="Adzouk_Autos_728x90_QAT_EN"/>
    <x v="1"/>
    <s v="Standard"/>
    <s v="Flash In-Page"/>
    <n v="18169"/>
    <n v="7"/>
    <n v="3.8527161648962521E-4"/>
    <x v="1"/>
  </r>
  <r>
    <x v="11"/>
    <s v="Adzouk_Autos_728x90_QAT_EN"/>
    <x v="1"/>
    <s v="Standard"/>
    <s v="Flash In-Page"/>
    <n v="17844"/>
    <n v="5"/>
    <n v="2.8020623178659493E-4"/>
    <x v="1"/>
  </r>
  <r>
    <x v="11"/>
    <s v="Adzouk_Autos_728x90_QAT_EN"/>
    <x v="1"/>
    <s v="Standard"/>
    <s v="Flash In-Page"/>
    <n v="13410"/>
    <n v="7"/>
    <n v="5.2199850857568978E-4"/>
    <x v="1"/>
  </r>
  <r>
    <x v="11"/>
    <s v="Adzouk_Autos_728x90_UAE_AR"/>
    <x v="1"/>
    <s v="Default"/>
    <s v="Gif"/>
    <n v="2"/>
    <n v="0"/>
    <n v="0"/>
    <x v="0"/>
  </r>
  <r>
    <x v="11"/>
    <s v="Adzouk_Autos_728x90_UAE_AR"/>
    <x v="1"/>
    <s v="Default"/>
    <s v="Gif"/>
    <n v="2"/>
    <n v="0"/>
    <n v="0"/>
    <x v="0"/>
  </r>
  <r>
    <x v="11"/>
    <s v="Adzouk_Autos_728x90_UAE_AR"/>
    <x v="1"/>
    <s v="Default"/>
    <s v="Gif"/>
    <n v="5"/>
    <n v="0"/>
    <n v="0"/>
    <x v="0"/>
  </r>
  <r>
    <x v="11"/>
    <s v="Adzouk_Autos_728x90_UAE_AR"/>
    <x v="1"/>
    <s v="Standard"/>
    <s v="Flash In-Page"/>
    <n v="1009"/>
    <n v="2"/>
    <n v="1.9821605550049554E-3"/>
    <x v="0"/>
  </r>
  <r>
    <x v="11"/>
    <s v="Adzouk_Autos_728x90_UAE_AR"/>
    <x v="1"/>
    <s v="Standard"/>
    <s v="Flash In-Page"/>
    <n v="11274"/>
    <n v="7"/>
    <n v="6.208976405889658E-4"/>
    <x v="0"/>
  </r>
  <r>
    <x v="11"/>
    <s v="Adzouk_Autos_728x90_UAE_AR"/>
    <x v="1"/>
    <s v="Standard"/>
    <s v="Flash In-Page"/>
    <n v="5663"/>
    <n v="9"/>
    <n v="1.5892636411795867E-3"/>
    <x v="0"/>
  </r>
  <r>
    <x v="11"/>
    <s v="Adzouk_Autos_728x90_UAE_AR"/>
    <x v="1"/>
    <s v="Standard"/>
    <s v="Flash In-Page"/>
    <n v="9831"/>
    <n v="4"/>
    <n v="4.0687620791374224E-4"/>
    <x v="0"/>
  </r>
  <r>
    <x v="11"/>
    <s v="Adzouk_Autos_728x90_UAE_AR"/>
    <x v="1"/>
    <s v="Standard"/>
    <s v="Flash In-Page"/>
    <n v="7944"/>
    <n v="11"/>
    <n v="1.3846928499496476E-3"/>
    <x v="0"/>
  </r>
  <r>
    <x v="11"/>
    <s v="Adzouk_Autos_728x90_UAE_EN"/>
    <x v="1"/>
    <s v="Default"/>
    <s v="Gif"/>
    <n v="5"/>
    <n v="0"/>
    <n v="0"/>
    <x v="1"/>
  </r>
  <r>
    <x v="11"/>
    <s v="Adzouk_Autos_728x90_UAE_EN"/>
    <x v="1"/>
    <s v="Default"/>
    <s v="Gif"/>
    <n v="5"/>
    <n v="0"/>
    <n v="0"/>
    <x v="1"/>
  </r>
  <r>
    <x v="11"/>
    <s v="Adzouk_Autos_728x90_UAE_EN"/>
    <x v="1"/>
    <s v="Default"/>
    <s v="Gif"/>
    <n v="3"/>
    <n v="0"/>
    <n v="0"/>
    <x v="1"/>
  </r>
  <r>
    <x v="11"/>
    <s v="Adzouk_Autos_728x90_UAE_EN"/>
    <x v="1"/>
    <s v="Default"/>
    <s v="Gif"/>
    <n v="2"/>
    <n v="0"/>
    <n v="0"/>
    <x v="1"/>
  </r>
  <r>
    <x v="11"/>
    <s v="Adzouk_Autos_728x90_UAE_EN"/>
    <x v="1"/>
    <s v="Default"/>
    <s v="Gif"/>
    <n v="1"/>
    <n v="0"/>
    <n v="0"/>
    <x v="1"/>
  </r>
  <r>
    <x v="11"/>
    <s v="Adzouk_Autos_728x90_UAE_EN"/>
    <x v="1"/>
    <s v="Standard"/>
    <s v="Flash In-Page"/>
    <n v="13887"/>
    <n v="4"/>
    <n v="2.8803917332757253E-4"/>
    <x v="1"/>
  </r>
  <r>
    <x v="11"/>
    <s v="Adzouk_Autos_728x90_UAE_EN"/>
    <x v="1"/>
    <s v="Standard"/>
    <s v="Flash In-Page"/>
    <n v="25788"/>
    <n v="21"/>
    <n v="8.1433224755700329E-4"/>
    <x v="1"/>
  </r>
  <r>
    <x v="11"/>
    <s v="Adzouk_Autos_728x90_UAE_EN"/>
    <x v="1"/>
    <s v="Standard"/>
    <s v="Flash In-Page"/>
    <n v="30154"/>
    <n v="14"/>
    <n v="4.6428334549313525E-4"/>
    <x v="1"/>
  </r>
  <r>
    <x v="11"/>
    <s v="Adzouk_Autos_728x90_UAE_EN"/>
    <x v="1"/>
    <s v="Standard"/>
    <s v="Flash In-Page"/>
    <n v="17281"/>
    <n v="6"/>
    <n v="3.4720212950639428E-4"/>
    <x v="1"/>
  </r>
  <r>
    <x v="11"/>
    <s v="Adzouk_Autos_728x90_UAE_EN"/>
    <x v="1"/>
    <s v="Standard"/>
    <s v="Flash In-Page"/>
    <n v="10169"/>
    <n v="4"/>
    <n v="3.9335234536335925E-4"/>
    <x v="1"/>
  </r>
  <r>
    <x v="12"/>
    <s v="Aleqtishdiah_ROS_300x250_KSA_AR"/>
    <x v="0"/>
    <s v="Default"/>
    <s v="Gif"/>
    <n v="39"/>
    <n v="0"/>
    <n v="0"/>
    <x v="0"/>
  </r>
  <r>
    <x v="12"/>
    <s v="Aleqtishdiah_ROS_300x250_KSA_AR"/>
    <x v="0"/>
    <s v="Default"/>
    <s v="Gif"/>
    <n v="83"/>
    <n v="0"/>
    <n v="0"/>
    <x v="0"/>
  </r>
  <r>
    <x v="12"/>
    <s v="Aleqtishdiah_ROS_300x250_KSA_AR"/>
    <x v="0"/>
    <s v="Default"/>
    <s v="Gif"/>
    <n v="56"/>
    <n v="0"/>
    <n v="0"/>
    <x v="0"/>
  </r>
  <r>
    <x v="12"/>
    <s v="Aleqtishdiah_ROS_300x250_KSA_AR"/>
    <x v="0"/>
    <s v="Default"/>
    <s v="Gif"/>
    <n v="49"/>
    <n v="0"/>
    <n v="0"/>
    <x v="0"/>
  </r>
  <r>
    <x v="12"/>
    <s v="Aleqtishdiah_ROS_300x250_KSA_AR"/>
    <x v="0"/>
    <s v="Default"/>
    <s v="Gif"/>
    <n v="59"/>
    <n v="0"/>
    <n v="0"/>
    <x v="0"/>
  </r>
  <r>
    <x v="12"/>
    <s v="Aleqtishdiah_ROS_300x250_KSA_AR"/>
    <x v="0"/>
    <s v="Standard"/>
    <s v="Flash In-Page"/>
    <n v="31711"/>
    <n v="57"/>
    <n v="1.7974835230677051E-3"/>
    <x v="0"/>
  </r>
  <r>
    <x v="12"/>
    <s v="Aleqtishdiah_ROS_300x250_KSA_AR"/>
    <x v="0"/>
    <s v="Standard"/>
    <s v="Flash In-Page"/>
    <n v="50437"/>
    <n v="111"/>
    <n v="2.2007653111802842E-3"/>
    <x v="0"/>
  </r>
  <r>
    <x v="12"/>
    <s v="Aleqtishdiah_ROS_300x250_KSA_AR"/>
    <x v="0"/>
    <s v="Standard"/>
    <s v="Flash In-Page"/>
    <n v="49426"/>
    <n v="98"/>
    <n v="1.9827621090114517E-3"/>
    <x v="0"/>
  </r>
  <r>
    <x v="12"/>
    <s v="Aleqtishdiah_ROS_300x250_KSA_AR"/>
    <x v="0"/>
    <s v="Standard"/>
    <s v="Flash In-Page"/>
    <n v="46135"/>
    <n v="75"/>
    <n v="1.6256638127235287E-3"/>
    <x v="0"/>
  </r>
  <r>
    <x v="12"/>
    <s v="Aleqtishdiah_ROS_300x250_KSA_AR"/>
    <x v="0"/>
    <s v="Standard"/>
    <s v="Flash In-Page"/>
    <n v="36562"/>
    <n v="77"/>
    <n v="2.1060117061429901E-3"/>
    <x v="0"/>
  </r>
  <r>
    <x v="12"/>
    <s v="Aleqtishdiah_ROS_728x270_KSA_AR"/>
    <x v="1"/>
    <s v="Default"/>
    <s v="Gif"/>
    <n v="29"/>
    <n v="0"/>
    <n v="0"/>
    <x v="0"/>
  </r>
  <r>
    <x v="12"/>
    <s v="Aleqtishdiah_ROS_728x270_KSA_AR"/>
    <x v="1"/>
    <s v="Default"/>
    <s v="Gif"/>
    <n v="57"/>
    <n v="0"/>
    <n v="0"/>
    <x v="0"/>
  </r>
  <r>
    <x v="12"/>
    <s v="Aleqtishdiah_ROS_728x270_KSA_AR"/>
    <x v="1"/>
    <s v="Default"/>
    <s v="Gif"/>
    <n v="61"/>
    <n v="0"/>
    <n v="0"/>
    <x v="0"/>
  </r>
  <r>
    <x v="12"/>
    <s v="Aleqtishdiah_ROS_728x270_KSA_AR"/>
    <x v="1"/>
    <s v="Default"/>
    <s v="Gif"/>
    <n v="53"/>
    <n v="0"/>
    <n v="0"/>
    <x v="0"/>
  </r>
  <r>
    <x v="12"/>
    <s v="Aleqtishdiah_ROS_728x270_KSA_AR"/>
    <x v="1"/>
    <s v="Default"/>
    <s v="Gif"/>
    <n v="45"/>
    <n v="0"/>
    <n v="0"/>
    <x v="0"/>
  </r>
  <r>
    <x v="12"/>
    <s v="Aleqtishdiah_ROS_728x270_KSA_AR"/>
    <x v="1"/>
    <s v="Standard"/>
    <s v="Rich Media Expandable"/>
    <n v="32861"/>
    <n v="14"/>
    <n v="4.2603694348924254E-4"/>
    <x v="0"/>
  </r>
  <r>
    <x v="12"/>
    <s v="Aleqtishdiah_ROS_728x270_KSA_AR"/>
    <x v="1"/>
    <s v="Standard"/>
    <s v="Rich Media Expandable"/>
    <n v="47757"/>
    <n v="30"/>
    <n v="6.2818016207048181E-4"/>
    <x v="0"/>
  </r>
  <r>
    <x v="12"/>
    <s v="Aleqtishdiah_ROS_728x270_KSA_AR"/>
    <x v="1"/>
    <s v="Standard"/>
    <s v="Rich Media Expandable"/>
    <n v="50438"/>
    <n v="32"/>
    <n v="6.344422855783338E-4"/>
    <x v="0"/>
  </r>
  <r>
    <x v="12"/>
    <s v="Aleqtishdiah_ROS_728x270_KSA_AR"/>
    <x v="1"/>
    <s v="Standard"/>
    <s v="Rich Media Expandable"/>
    <n v="45634"/>
    <n v="34"/>
    <n v="7.4505850900644251E-4"/>
    <x v="0"/>
  </r>
  <r>
    <x v="12"/>
    <s v="Aleqtishdiah_ROS_728x270_KSA_AR"/>
    <x v="1"/>
    <s v="Standard"/>
    <s v="Rich Media Expandable"/>
    <n v="36415"/>
    <n v="19"/>
    <n v="5.2176300974872988E-4"/>
    <x v="0"/>
  </r>
  <r>
    <x v="13"/>
    <s v="AMEinfo_HP_300x250_BHR_EN"/>
    <x v="0"/>
    <s v="Default"/>
    <s v="Gif"/>
    <n v="8"/>
    <n v="0"/>
    <n v="0"/>
    <x v="1"/>
  </r>
  <r>
    <x v="13"/>
    <s v="AMEinfo_HP_300x250_BHR_EN"/>
    <x v="0"/>
    <s v="Default"/>
    <s v="Gif"/>
    <n v="19"/>
    <n v="0"/>
    <n v="0"/>
    <x v="1"/>
  </r>
  <r>
    <x v="13"/>
    <s v="AMEinfo_HP_300x250_BHR_EN"/>
    <x v="0"/>
    <s v="Default"/>
    <s v="Gif"/>
    <n v="16"/>
    <n v="0"/>
    <n v="0"/>
    <x v="1"/>
  </r>
  <r>
    <x v="13"/>
    <s v="AMEinfo_HP_300x250_BHR_EN"/>
    <x v="0"/>
    <s v="Default"/>
    <s v="Gif"/>
    <n v="11"/>
    <n v="0"/>
    <n v="0"/>
    <x v="1"/>
  </r>
  <r>
    <x v="13"/>
    <s v="AMEinfo_HP_300x250_BHR_EN"/>
    <x v="0"/>
    <s v="Default"/>
    <s v="Gif"/>
    <n v="7"/>
    <n v="0"/>
    <n v="0"/>
    <x v="1"/>
  </r>
  <r>
    <x v="13"/>
    <s v="AMEinfo_HP_300x250_BHR_EN"/>
    <x v="0"/>
    <s v="Standard"/>
    <s v="Flash In-Page"/>
    <n v="127"/>
    <n v="1"/>
    <n v="7.874015748031496E-3"/>
    <x v="1"/>
  </r>
  <r>
    <x v="13"/>
    <s v="AMEinfo_HP_300x250_BHR_EN"/>
    <x v="0"/>
    <s v="Standard"/>
    <s v="Flash In-Page"/>
    <n v="223"/>
    <n v="0"/>
    <n v="0"/>
    <x v="1"/>
  </r>
  <r>
    <x v="13"/>
    <s v="AMEinfo_HP_300x250_BHR_EN"/>
    <x v="0"/>
    <s v="Standard"/>
    <s v="Flash In-Page"/>
    <n v="231"/>
    <n v="0"/>
    <n v="0"/>
    <x v="1"/>
  </r>
  <r>
    <x v="13"/>
    <s v="AMEinfo_HP_300x250_BHR_EN"/>
    <x v="0"/>
    <s v="Standard"/>
    <s v="Flash In-Page"/>
    <n v="217"/>
    <n v="1"/>
    <n v="4.608294930875576E-3"/>
    <x v="1"/>
  </r>
  <r>
    <x v="13"/>
    <s v="AMEinfo_HP_300x250_BHR_EN"/>
    <x v="0"/>
    <s v="Standard"/>
    <s v="Flash In-Page"/>
    <n v="194"/>
    <n v="1"/>
    <n v="5.1546391752577319E-3"/>
    <x v="1"/>
  </r>
  <r>
    <x v="13"/>
    <s v="AMEinfo_HP_300x250_KSA_AR"/>
    <x v="0"/>
    <s v="Default"/>
    <s v="Gif"/>
    <n v="152"/>
    <n v="0"/>
    <n v="0"/>
    <x v="0"/>
  </r>
  <r>
    <x v="13"/>
    <s v="AMEinfo_HP_300x250_KSA_AR"/>
    <x v="0"/>
    <s v="Default"/>
    <s v="Gif"/>
    <n v="1339"/>
    <n v="0"/>
    <n v="0"/>
    <x v="0"/>
  </r>
  <r>
    <x v="13"/>
    <s v="AMEinfo_HP_300x250_KSA_AR"/>
    <x v="0"/>
    <s v="Default"/>
    <s v="Gif"/>
    <n v="1870"/>
    <n v="0"/>
    <n v="0"/>
    <x v="0"/>
  </r>
  <r>
    <x v="13"/>
    <s v="AMEinfo_HP_300x250_KSA_AR"/>
    <x v="0"/>
    <s v="Default"/>
    <s v="Gif"/>
    <n v="1789"/>
    <n v="0"/>
    <n v="0"/>
    <x v="0"/>
  </r>
  <r>
    <x v="13"/>
    <s v="AMEinfo_HP_300x250_KSA_AR"/>
    <x v="0"/>
    <s v="Default"/>
    <s v="Gif"/>
    <n v="1551"/>
    <n v="0"/>
    <n v="0"/>
    <x v="0"/>
  </r>
  <r>
    <x v="13"/>
    <s v="AMEinfo_HP_300x250_KSA_AR"/>
    <x v="0"/>
    <s v="Standard"/>
    <s v="Flash In-Page"/>
    <n v="871"/>
    <n v="7"/>
    <n v="8.0367393800229621E-3"/>
    <x v="0"/>
  </r>
  <r>
    <x v="13"/>
    <s v="AMEinfo_HP_300x250_KSA_AR"/>
    <x v="0"/>
    <s v="Standard"/>
    <s v="Flash In-Page"/>
    <n v="7465"/>
    <n v="60"/>
    <n v="8.0375083724045539E-3"/>
    <x v="0"/>
  </r>
  <r>
    <x v="13"/>
    <s v="AMEinfo_HP_300x250_KSA_AR"/>
    <x v="0"/>
    <s v="Standard"/>
    <s v="Flash In-Page"/>
    <n v="22332"/>
    <n v="97"/>
    <n v="4.3435428980834676E-3"/>
    <x v="0"/>
  </r>
  <r>
    <x v="13"/>
    <s v="AMEinfo_HP_300x250_KSA_AR"/>
    <x v="0"/>
    <s v="Standard"/>
    <s v="Flash In-Page"/>
    <n v="16573"/>
    <n v="88"/>
    <n v="5.3098413081518131E-3"/>
    <x v="0"/>
  </r>
  <r>
    <x v="13"/>
    <s v="AMEinfo_HP_300x250_KSA_AR"/>
    <x v="0"/>
    <s v="Standard"/>
    <s v="Flash In-Page"/>
    <n v="14554"/>
    <n v="88"/>
    <n v="6.0464477119692179E-3"/>
    <x v="0"/>
  </r>
  <r>
    <x v="13"/>
    <s v="AMEinfo_HP_300x250_KSA_EN"/>
    <x v="0"/>
    <s v="Default"/>
    <s v="Gif"/>
    <n v="298"/>
    <n v="0"/>
    <n v="0"/>
    <x v="1"/>
  </r>
  <r>
    <x v="13"/>
    <s v="AMEinfo_HP_300x250_KSA_EN"/>
    <x v="0"/>
    <s v="Default"/>
    <s v="Gif"/>
    <n v="574"/>
    <n v="0"/>
    <n v="0"/>
    <x v="1"/>
  </r>
  <r>
    <x v="13"/>
    <s v="AMEinfo_HP_300x250_KSA_EN"/>
    <x v="0"/>
    <s v="Default"/>
    <s v="Gif"/>
    <n v="467"/>
    <n v="0"/>
    <n v="0"/>
    <x v="1"/>
  </r>
  <r>
    <x v="13"/>
    <s v="AMEinfo_HP_300x250_KSA_EN"/>
    <x v="0"/>
    <s v="Default"/>
    <s v="Gif"/>
    <n v="573"/>
    <n v="0"/>
    <n v="0"/>
    <x v="1"/>
  </r>
  <r>
    <x v="13"/>
    <s v="AMEinfo_HP_300x250_KSA_EN"/>
    <x v="0"/>
    <s v="Default"/>
    <s v="Gif"/>
    <n v="628"/>
    <n v="0"/>
    <n v="0"/>
    <x v="1"/>
  </r>
  <r>
    <x v="13"/>
    <s v="AMEinfo_HP_300x250_KSA_EN"/>
    <x v="0"/>
    <s v="Standard"/>
    <s v="Flash In-Page"/>
    <n v="6652"/>
    <n v="16"/>
    <n v="2.4052916416115455E-3"/>
    <x v="1"/>
  </r>
  <r>
    <x v="13"/>
    <s v="AMEinfo_HP_300x250_KSA_EN"/>
    <x v="0"/>
    <s v="Standard"/>
    <s v="Flash In-Page"/>
    <n v="11436"/>
    <n v="26"/>
    <n v="2.2735222105631338E-3"/>
    <x v="1"/>
  </r>
  <r>
    <x v="13"/>
    <s v="AMEinfo_HP_300x250_KSA_EN"/>
    <x v="0"/>
    <s v="Standard"/>
    <s v="Flash In-Page"/>
    <n v="10403"/>
    <n v="28"/>
    <n v="2.6915312890512352E-3"/>
    <x v="1"/>
  </r>
  <r>
    <x v="13"/>
    <s v="AMEinfo_HP_300x250_KSA_EN"/>
    <x v="0"/>
    <s v="Standard"/>
    <s v="Flash In-Page"/>
    <n v="8568"/>
    <n v="23"/>
    <n v="2.6844070961718021E-3"/>
    <x v="1"/>
  </r>
  <r>
    <x v="13"/>
    <s v="AMEinfo_HP_300x250_KSA_EN"/>
    <x v="0"/>
    <s v="Standard"/>
    <s v="Flash In-Page"/>
    <n v="10359"/>
    <n v="27"/>
    <n v="2.6064291920069507E-3"/>
    <x v="1"/>
  </r>
  <r>
    <x v="13"/>
    <s v="AMEinfo_HP_300x250_KWT_EN"/>
    <x v="0"/>
    <s v="Default"/>
    <s v="Gif"/>
    <n v="5"/>
    <n v="0"/>
    <n v="0"/>
    <x v="1"/>
  </r>
  <r>
    <x v="13"/>
    <s v="AMEinfo_HP_300x250_KWT_EN"/>
    <x v="0"/>
    <s v="Default"/>
    <s v="Gif"/>
    <n v="19"/>
    <n v="0"/>
    <n v="0"/>
    <x v="1"/>
  </r>
  <r>
    <x v="13"/>
    <s v="AMEinfo_HP_300x250_KWT_EN"/>
    <x v="0"/>
    <s v="Default"/>
    <s v="Gif"/>
    <n v="14"/>
    <n v="0"/>
    <n v="0"/>
    <x v="1"/>
  </r>
  <r>
    <x v="13"/>
    <s v="AMEinfo_HP_300x250_KWT_EN"/>
    <x v="0"/>
    <s v="Default"/>
    <s v="Gif"/>
    <n v="10"/>
    <n v="0"/>
    <n v="0"/>
    <x v="1"/>
  </r>
  <r>
    <x v="13"/>
    <s v="AMEinfo_HP_300x250_KWT_EN"/>
    <x v="0"/>
    <s v="Default"/>
    <s v="Gif"/>
    <n v="12"/>
    <n v="0"/>
    <n v="0"/>
    <x v="1"/>
  </r>
  <r>
    <x v="13"/>
    <s v="AMEinfo_HP_300x250_KWT_EN"/>
    <x v="0"/>
    <s v="Standard"/>
    <s v="Flash In-Page"/>
    <n v="131"/>
    <n v="0"/>
    <n v="0"/>
    <x v="1"/>
  </r>
  <r>
    <x v="13"/>
    <s v="AMEinfo_HP_300x250_KWT_EN"/>
    <x v="0"/>
    <s v="Standard"/>
    <s v="Flash In-Page"/>
    <n v="242"/>
    <n v="0"/>
    <n v="0"/>
    <x v="1"/>
  </r>
  <r>
    <x v="13"/>
    <s v="AMEinfo_HP_300x250_KWT_EN"/>
    <x v="0"/>
    <s v="Standard"/>
    <s v="Flash In-Page"/>
    <n v="195"/>
    <n v="0"/>
    <n v="0"/>
    <x v="1"/>
  </r>
  <r>
    <x v="13"/>
    <s v="AMEinfo_HP_300x250_KWT_EN"/>
    <x v="0"/>
    <s v="Standard"/>
    <s v="Flash In-Page"/>
    <n v="231"/>
    <n v="1"/>
    <n v="4.329004329004329E-3"/>
    <x v="1"/>
  </r>
  <r>
    <x v="13"/>
    <s v="AMEinfo_HP_300x250_KWT_EN"/>
    <x v="0"/>
    <s v="Standard"/>
    <s v="Flash In-Page"/>
    <n v="181"/>
    <n v="0"/>
    <n v="0"/>
    <x v="1"/>
  </r>
  <r>
    <x v="13"/>
    <s v="AMEinfo_HP_300x250_OMN_EN"/>
    <x v="0"/>
    <s v="Default"/>
    <s v="Gif"/>
    <n v="144"/>
    <n v="0"/>
    <n v="0"/>
    <x v="1"/>
  </r>
  <r>
    <x v="13"/>
    <s v="AMEinfo_HP_300x250_OMN_EN"/>
    <x v="0"/>
    <s v="Default"/>
    <s v="Gif"/>
    <n v="263"/>
    <n v="7"/>
    <n v="2.6615969581749048E-2"/>
    <x v="1"/>
  </r>
  <r>
    <x v="13"/>
    <s v="AMEinfo_HP_300x250_OMN_EN"/>
    <x v="0"/>
    <s v="Default"/>
    <s v="Gif"/>
    <n v="264"/>
    <n v="1"/>
    <n v="3.787878787878788E-3"/>
    <x v="1"/>
  </r>
  <r>
    <x v="13"/>
    <s v="AMEinfo_HP_300x250_OMN_EN"/>
    <x v="0"/>
    <s v="Default"/>
    <s v="Gif"/>
    <n v="242"/>
    <n v="0"/>
    <n v="0"/>
    <x v="1"/>
  </r>
  <r>
    <x v="13"/>
    <s v="AMEinfo_HP_300x250_OMN_EN"/>
    <x v="0"/>
    <s v="Default"/>
    <s v="Gif"/>
    <n v="189"/>
    <n v="1"/>
    <n v="5.2910052910052907E-3"/>
    <x v="1"/>
  </r>
  <r>
    <x v="13"/>
    <s v="AMEinfo_HP_300x250_QAT_EN"/>
    <x v="0"/>
    <s v="Default"/>
    <s v="Gif"/>
    <n v="12"/>
    <n v="0"/>
    <n v="0"/>
    <x v="1"/>
  </r>
  <r>
    <x v="13"/>
    <s v="AMEinfo_HP_300x250_QAT_EN"/>
    <x v="0"/>
    <s v="Default"/>
    <s v="Gif"/>
    <n v="16"/>
    <n v="0"/>
    <n v="0"/>
    <x v="1"/>
  </r>
  <r>
    <x v="13"/>
    <s v="AMEinfo_HP_300x250_QAT_EN"/>
    <x v="0"/>
    <s v="Default"/>
    <s v="Gif"/>
    <n v="17"/>
    <n v="0"/>
    <n v="0"/>
    <x v="1"/>
  </r>
  <r>
    <x v="13"/>
    <s v="AMEinfo_HP_300x250_QAT_EN"/>
    <x v="0"/>
    <s v="Default"/>
    <s v="Gif"/>
    <n v="12"/>
    <n v="0"/>
    <n v="0"/>
    <x v="1"/>
  </r>
  <r>
    <x v="13"/>
    <s v="AMEinfo_HP_300x250_QAT_EN"/>
    <x v="0"/>
    <s v="Default"/>
    <s v="Gif"/>
    <n v="17"/>
    <n v="0"/>
    <n v="0"/>
    <x v="1"/>
  </r>
  <r>
    <x v="13"/>
    <s v="AMEinfo_HP_300x250_QAT_EN"/>
    <x v="0"/>
    <s v="Standard"/>
    <s v="Flash In-Page"/>
    <n v="139"/>
    <n v="1"/>
    <n v="7.1942446043165471E-3"/>
    <x v="1"/>
  </r>
  <r>
    <x v="13"/>
    <s v="AMEinfo_HP_300x250_QAT_EN"/>
    <x v="0"/>
    <s v="Standard"/>
    <s v="Flash In-Page"/>
    <n v="206"/>
    <n v="1"/>
    <n v="4.8543689320388345E-3"/>
    <x v="1"/>
  </r>
  <r>
    <x v="13"/>
    <s v="AMEinfo_HP_300x250_QAT_EN"/>
    <x v="0"/>
    <s v="Standard"/>
    <s v="Flash In-Page"/>
    <n v="222"/>
    <n v="0"/>
    <n v="0"/>
    <x v="1"/>
  </r>
  <r>
    <x v="13"/>
    <s v="AMEinfo_HP_300x250_QAT_EN"/>
    <x v="0"/>
    <s v="Standard"/>
    <s v="Flash In-Page"/>
    <n v="205"/>
    <n v="1"/>
    <n v="4.8780487804878049E-3"/>
    <x v="1"/>
  </r>
  <r>
    <x v="13"/>
    <s v="AMEinfo_HP_300x250_QAT_EN"/>
    <x v="0"/>
    <s v="Standard"/>
    <s v="Flash In-Page"/>
    <n v="184"/>
    <n v="0"/>
    <n v="0"/>
    <x v="1"/>
  </r>
  <r>
    <x v="13"/>
    <s v="AMEinfo_HP_300x250_UAE_EN"/>
    <x v="0"/>
    <s v="Default"/>
    <s v="Gif"/>
    <n v="525"/>
    <n v="0"/>
    <n v="0"/>
    <x v="1"/>
  </r>
  <r>
    <x v="13"/>
    <s v="AMEinfo_HP_300x250_UAE_EN"/>
    <x v="0"/>
    <s v="Default"/>
    <s v="Gif"/>
    <n v="711"/>
    <n v="0"/>
    <n v="0"/>
    <x v="1"/>
  </r>
  <r>
    <x v="13"/>
    <s v="AMEinfo_HP_300x250_UAE_EN"/>
    <x v="0"/>
    <s v="Default"/>
    <s v="Gif"/>
    <n v="670"/>
    <n v="0"/>
    <n v="0"/>
    <x v="1"/>
  </r>
  <r>
    <x v="13"/>
    <s v="AMEinfo_HP_300x250_UAE_EN"/>
    <x v="0"/>
    <s v="Default"/>
    <s v="Gif"/>
    <n v="548"/>
    <n v="0"/>
    <n v="0"/>
    <x v="1"/>
  </r>
  <r>
    <x v="13"/>
    <s v="AMEinfo_HP_300x250_UAE_EN"/>
    <x v="0"/>
    <s v="Default"/>
    <s v="Gif"/>
    <n v="424"/>
    <n v="0"/>
    <n v="0"/>
    <x v="1"/>
  </r>
  <r>
    <x v="13"/>
    <s v="AMEinfo_HP_300x250_UAE_EN"/>
    <x v="0"/>
    <s v="Standard"/>
    <s v="Flash In-Page"/>
    <n v="9762"/>
    <n v="21"/>
    <n v="2.1511985248924403E-3"/>
    <x v="1"/>
  </r>
  <r>
    <x v="13"/>
    <s v="AMEinfo_HP_300x250_UAE_EN"/>
    <x v="0"/>
    <s v="Standard"/>
    <s v="Flash In-Page"/>
    <n v="16627"/>
    <n v="45"/>
    <n v="2.7064413303662716E-3"/>
    <x v="1"/>
  </r>
  <r>
    <x v="13"/>
    <s v="AMEinfo_HP_300x250_UAE_EN"/>
    <x v="0"/>
    <s v="Standard"/>
    <s v="Flash In-Page"/>
    <n v="16084"/>
    <n v="24"/>
    <n v="1.4921661278288984E-3"/>
    <x v="1"/>
  </r>
  <r>
    <x v="13"/>
    <s v="AMEinfo_HP_300x250_UAE_EN"/>
    <x v="0"/>
    <s v="Standard"/>
    <s v="Flash In-Page"/>
    <n v="14991"/>
    <n v="28"/>
    <n v="1.8677873390701087E-3"/>
    <x v="1"/>
  </r>
  <r>
    <x v="13"/>
    <s v="AMEinfo_HP_300x250_UAE_EN"/>
    <x v="0"/>
    <s v="Standard"/>
    <s v="Flash In-Page"/>
    <n v="11234"/>
    <n v="23"/>
    <n v="2.0473562399857576E-3"/>
    <x v="1"/>
  </r>
  <r>
    <x v="13"/>
    <s v="AMEinfo_HP_728x270_BHR_AR"/>
    <x v="1"/>
    <s v="Default"/>
    <s v="Gif"/>
    <n v="140"/>
    <n v="0"/>
    <n v="0"/>
    <x v="0"/>
  </r>
  <r>
    <x v="13"/>
    <s v="AMEinfo_HP_728x270_BHR_AR"/>
    <x v="1"/>
    <s v="Default"/>
    <s v="Gif"/>
    <n v="250"/>
    <n v="0"/>
    <n v="0"/>
    <x v="0"/>
  </r>
  <r>
    <x v="13"/>
    <s v="AMEinfo_HP_728x270_BHR_AR"/>
    <x v="1"/>
    <s v="Default"/>
    <s v="Gif"/>
    <n v="209"/>
    <n v="0"/>
    <n v="0"/>
    <x v="0"/>
  </r>
  <r>
    <x v="13"/>
    <s v="AMEinfo_HP_728x270_BHR_AR"/>
    <x v="1"/>
    <s v="Default"/>
    <s v="Gif"/>
    <n v="431"/>
    <n v="0"/>
    <n v="0"/>
    <x v="0"/>
  </r>
  <r>
    <x v="13"/>
    <s v="AMEinfo_HP_728x270_BHR_AR"/>
    <x v="1"/>
    <s v="Default"/>
    <s v="Gif"/>
    <n v="154"/>
    <n v="0"/>
    <n v="0"/>
    <x v="0"/>
  </r>
  <r>
    <x v="13"/>
    <s v="AMEinfo_HP_728x270_BHR_AR"/>
    <x v="1"/>
    <s v="Standard"/>
    <s v="Rich Media Expandable"/>
    <n v="733"/>
    <n v="2"/>
    <n v="2.7285129604365621E-3"/>
    <x v="0"/>
  </r>
  <r>
    <x v="13"/>
    <s v="AMEinfo_HP_728x270_BHR_AR"/>
    <x v="1"/>
    <s v="Standard"/>
    <s v="Rich Media Expandable"/>
    <n v="1665"/>
    <n v="1"/>
    <n v="6.0060060060060057E-4"/>
    <x v="0"/>
  </r>
  <r>
    <x v="13"/>
    <s v="AMEinfo_HP_728x270_BHR_AR"/>
    <x v="1"/>
    <s v="Standard"/>
    <s v="Rich Media Expandable"/>
    <n v="1446"/>
    <n v="0"/>
    <n v="0"/>
    <x v="0"/>
  </r>
  <r>
    <x v="13"/>
    <s v="AMEinfo_HP_728x270_BHR_AR"/>
    <x v="1"/>
    <s v="Standard"/>
    <s v="Rich Media Expandable"/>
    <n v="5262"/>
    <n v="1"/>
    <n v="1.9004180919802356E-4"/>
    <x v="0"/>
  </r>
  <r>
    <x v="13"/>
    <s v="AMEinfo_HP_728x270_BHR_AR"/>
    <x v="1"/>
    <s v="Standard"/>
    <s v="Rich Media Expandable"/>
    <n v="2401"/>
    <n v="2"/>
    <n v="8.3298625572678054E-4"/>
    <x v="0"/>
  </r>
  <r>
    <x v="13"/>
    <s v="AMEinfo_HP_728x270_KSA_AR"/>
    <x v="1"/>
    <s v="Default"/>
    <s v="Gif"/>
    <n v="1247"/>
    <n v="0"/>
    <n v="0"/>
    <x v="0"/>
  </r>
  <r>
    <x v="13"/>
    <s v="AMEinfo_HP_728x270_KSA_AR"/>
    <x v="1"/>
    <s v="Default"/>
    <s v="Gif"/>
    <n v="1285"/>
    <n v="0"/>
    <n v="0"/>
    <x v="0"/>
  </r>
  <r>
    <x v="13"/>
    <s v="AMEinfo_HP_728x270_KSA_AR"/>
    <x v="1"/>
    <s v="Default"/>
    <s v="Gif"/>
    <n v="1602"/>
    <n v="0"/>
    <n v="0"/>
    <x v="0"/>
  </r>
  <r>
    <x v="13"/>
    <s v="AMEinfo_HP_728x270_KSA_AR"/>
    <x v="1"/>
    <s v="Default"/>
    <s v="Gif"/>
    <n v="1932"/>
    <n v="0"/>
    <n v="0"/>
    <x v="0"/>
  </r>
  <r>
    <x v="13"/>
    <s v="AMEinfo_HP_728x270_KSA_AR"/>
    <x v="1"/>
    <s v="Default"/>
    <s v="Gif"/>
    <n v="1044"/>
    <n v="0"/>
    <n v="0"/>
    <x v="0"/>
  </r>
  <r>
    <x v="13"/>
    <s v="AMEinfo_HP_728x270_KSA_AR"/>
    <x v="1"/>
    <s v="Standard"/>
    <s v="Rich Media Expandable"/>
    <n v="7996"/>
    <n v="11"/>
    <n v="1.375687843921961E-3"/>
    <x v="0"/>
  </r>
  <r>
    <x v="13"/>
    <s v="AMEinfo_HP_728x270_KSA_AR"/>
    <x v="1"/>
    <s v="Standard"/>
    <s v="Rich Media Expandable"/>
    <n v="9271"/>
    <n v="17"/>
    <n v="1.8336749002265129E-3"/>
    <x v="0"/>
  </r>
  <r>
    <x v="13"/>
    <s v="AMEinfo_HP_728x270_KSA_AR"/>
    <x v="1"/>
    <s v="Standard"/>
    <s v="Rich Media Expandable"/>
    <n v="10288"/>
    <n v="24"/>
    <n v="2.3328149300155523E-3"/>
    <x v="0"/>
  </r>
  <r>
    <x v="13"/>
    <s v="AMEinfo_HP_728x270_KSA_AR"/>
    <x v="1"/>
    <s v="Standard"/>
    <s v="Rich Media Expandable"/>
    <n v="24345"/>
    <n v="30"/>
    <n v="1.2322858903265558E-3"/>
    <x v="0"/>
  </r>
  <r>
    <x v="13"/>
    <s v="AMEinfo_HP_728x270_KSA_AR"/>
    <x v="1"/>
    <s v="Standard"/>
    <s v="Rich Media Expandable"/>
    <n v="11460"/>
    <n v="10"/>
    <n v="8.7260034904013963E-4"/>
    <x v="0"/>
  </r>
  <r>
    <x v="13"/>
    <s v="AMEinfo_HP_728x270_KWT_AR"/>
    <x v="1"/>
    <s v="Default"/>
    <s v="Gif"/>
    <n v="131"/>
    <n v="0"/>
    <n v="0"/>
    <x v="0"/>
  </r>
  <r>
    <x v="13"/>
    <s v="AMEinfo_HP_728x270_KWT_AR"/>
    <x v="1"/>
    <s v="Default"/>
    <s v="Gif"/>
    <n v="280"/>
    <n v="0"/>
    <n v="0"/>
    <x v="0"/>
  </r>
  <r>
    <x v="13"/>
    <s v="AMEinfo_HP_728x270_KWT_AR"/>
    <x v="1"/>
    <s v="Default"/>
    <s v="Gif"/>
    <n v="215"/>
    <n v="0"/>
    <n v="0"/>
    <x v="0"/>
  </r>
  <r>
    <x v="13"/>
    <s v="AMEinfo_HP_728x270_KWT_AR"/>
    <x v="1"/>
    <s v="Default"/>
    <s v="Gif"/>
    <n v="416"/>
    <n v="0"/>
    <n v="0"/>
    <x v="0"/>
  </r>
  <r>
    <x v="13"/>
    <s v="AMEinfo_HP_728x270_KWT_AR"/>
    <x v="1"/>
    <s v="Default"/>
    <s v="Gif"/>
    <n v="171"/>
    <n v="0"/>
    <n v="0"/>
    <x v="0"/>
  </r>
  <r>
    <x v="13"/>
    <s v="AMEinfo_HP_728x270_KWT_AR"/>
    <x v="1"/>
    <s v="Standard"/>
    <s v="Rich Media Expandable"/>
    <n v="747"/>
    <n v="2"/>
    <n v="2.6773761713520749E-3"/>
    <x v="0"/>
  </r>
  <r>
    <x v="13"/>
    <s v="AMEinfo_HP_728x270_KWT_AR"/>
    <x v="1"/>
    <s v="Standard"/>
    <s v="Rich Media Expandable"/>
    <n v="1632"/>
    <n v="1"/>
    <n v="6.1274509803921568E-4"/>
    <x v="0"/>
  </r>
  <r>
    <x v="13"/>
    <s v="AMEinfo_HP_728x270_KWT_AR"/>
    <x v="1"/>
    <s v="Standard"/>
    <s v="Rich Media Expandable"/>
    <n v="1452"/>
    <n v="2"/>
    <n v="1.3774104683195593E-3"/>
    <x v="0"/>
  </r>
  <r>
    <x v="13"/>
    <s v="AMEinfo_HP_728x270_KWT_AR"/>
    <x v="1"/>
    <s v="Standard"/>
    <s v="Rich Media Expandable"/>
    <n v="5307"/>
    <n v="3"/>
    <n v="5.6529112492933857E-4"/>
    <x v="0"/>
  </r>
  <r>
    <x v="13"/>
    <s v="AMEinfo_HP_728x270_KWT_AR"/>
    <x v="1"/>
    <s v="Standard"/>
    <s v="Rich Media Expandable"/>
    <n v="2476"/>
    <n v="1"/>
    <n v="4.0387722132471731E-4"/>
    <x v="0"/>
  </r>
  <r>
    <x v="13"/>
    <s v="AMEinfo_HP_728x270_OMN_AR"/>
    <x v="1"/>
    <s v="Default"/>
    <s v="Gif"/>
    <n v="151"/>
    <n v="0"/>
    <n v="0"/>
    <x v="0"/>
  </r>
  <r>
    <x v="13"/>
    <s v="AMEinfo_HP_728x270_OMN_AR"/>
    <x v="1"/>
    <s v="Default"/>
    <s v="Gif"/>
    <n v="246"/>
    <n v="0"/>
    <n v="0"/>
    <x v="0"/>
  </r>
  <r>
    <x v="13"/>
    <s v="AMEinfo_HP_728x270_OMN_AR"/>
    <x v="1"/>
    <s v="Default"/>
    <s v="Gif"/>
    <n v="249"/>
    <n v="0"/>
    <n v="0"/>
    <x v="0"/>
  </r>
  <r>
    <x v="13"/>
    <s v="AMEinfo_HP_728x270_OMN_AR"/>
    <x v="1"/>
    <s v="Default"/>
    <s v="Gif"/>
    <n v="435"/>
    <n v="0"/>
    <n v="0"/>
    <x v="0"/>
  </r>
  <r>
    <x v="13"/>
    <s v="AMEinfo_HP_728x270_OMN_AR"/>
    <x v="1"/>
    <s v="Default"/>
    <s v="Gif"/>
    <n v="186"/>
    <n v="0"/>
    <n v="0"/>
    <x v="0"/>
  </r>
  <r>
    <x v="13"/>
    <s v="AMEinfo_HP_728x270_OMN_AR"/>
    <x v="1"/>
    <s v="Standard"/>
    <s v="Rich Media Expandable"/>
    <n v="769"/>
    <n v="1"/>
    <n v="1.3003901170351106E-3"/>
    <x v="0"/>
  </r>
  <r>
    <x v="13"/>
    <s v="AMEinfo_HP_728x270_OMN_AR"/>
    <x v="1"/>
    <s v="Standard"/>
    <s v="Rich Media Expandable"/>
    <n v="1604"/>
    <n v="4"/>
    <n v="2.4937655860349127E-3"/>
    <x v="0"/>
  </r>
  <r>
    <x v="13"/>
    <s v="AMEinfo_HP_728x270_OMN_AR"/>
    <x v="1"/>
    <s v="Standard"/>
    <s v="Rich Media Expandable"/>
    <n v="1492"/>
    <n v="2"/>
    <n v="1.3404825737265416E-3"/>
    <x v="0"/>
  </r>
  <r>
    <x v="13"/>
    <s v="AMEinfo_HP_728x270_OMN_AR"/>
    <x v="1"/>
    <s v="Standard"/>
    <s v="Rich Media Expandable"/>
    <n v="5182"/>
    <n v="2"/>
    <n v="3.8595137012736397E-4"/>
    <x v="0"/>
  </r>
  <r>
    <x v="13"/>
    <s v="AMEinfo_HP_728x270_OMN_AR"/>
    <x v="1"/>
    <s v="Standard"/>
    <s v="Rich Media Expandable"/>
    <n v="2442"/>
    <n v="2"/>
    <n v="8.1900081900081905E-4"/>
    <x v="0"/>
  </r>
  <r>
    <x v="13"/>
    <s v="AMEinfo_HP_728x270_QAT_AR"/>
    <x v="1"/>
    <s v="Default"/>
    <s v="Gif"/>
    <n v="152"/>
    <n v="0"/>
    <n v="0"/>
    <x v="0"/>
  </r>
  <r>
    <x v="13"/>
    <s v="AMEinfo_HP_728x270_QAT_AR"/>
    <x v="1"/>
    <s v="Default"/>
    <s v="Gif"/>
    <n v="272"/>
    <n v="0"/>
    <n v="0"/>
    <x v="0"/>
  </r>
  <r>
    <x v="13"/>
    <s v="AMEinfo_HP_728x270_QAT_AR"/>
    <x v="1"/>
    <s v="Default"/>
    <s v="Gif"/>
    <n v="255"/>
    <n v="0"/>
    <n v="0"/>
    <x v="0"/>
  </r>
  <r>
    <x v="13"/>
    <s v="AMEinfo_HP_728x270_QAT_AR"/>
    <x v="1"/>
    <s v="Default"/>
    <s v="Gif"/>
    <n v="402"/>
    <n v="0"/>
    <n v="0"/>
    <x v="0"/>
  </r>
  <r>
    <x v="13"/>
    <s v="AMEinfo_HP_728x270_QAT_AR"/>
    <x v="1"/>
    <s v="Default"/>
    <s v="Gif"/>
    <n v="160"/>
    <n v="0"/>
    <n v="0"/>
    <x v="0"/>
  </r>
  <r>
    <x v="13"/>
    <s v="AMEinfo_HP_728x270_QAT_AR"/>
    <x v="1"/>
    <s v="Standard"/>
    <s v="Rich Media Expandable"/>
    <n v="753"/>
    <n v="3"/>
    <n v="3.9840637450199202E-3"/>
    <x v="0"/>
  </r>
  <r>
    <x v="13"/>
    <s v="AMEinfo_HP_728x270_QAT_AR"/>
    <x v="1"/>
    <s v="Standard"/>
    <s v="Rich Media Expandable"/>
    <n v="1759"/>
    <n v="4"/>
    <n v="2.2740193291642978E-3"/>
    <x v="0"/>
  </r>
  <r>
    <x v="13"/>
    <s v="AMEinfo_HP_728x270_QAT_AR"/>
    <x v="1"/>
    <s v="Standard"/>
    <s v="Rich Media Expandable"/>
    <n v="1489"/>
    <n v="0"/>
    <n v="0"/>
    <x v="0"/>
  </r>
  <r>
    <x v="13"/>
    <s v="AMEinfo_HP_728x270_QAT_AR"/>
    <x v="1"/>
    <s v="Standard"/>
    <s v="Rich Media Expandable"/>
    <n v="5225"/>
    <n v="3"/>
    <n v="5.7416267942583734E-4"/>
    <x v="0"/>
  </r>
  <r>
    <x v="13"/>
    <s v="AMEinfo_HP_728x270_QAT_AR"/>
    <x v="1"/>
    <s v="Standard"/>
    <s v="Rich Media Expandable"/>
    <n v="2409"/>
    <n v="0"/>
    <n v="0"/>
    <x v="0"/>
  </r>
  <r>
    <x v="13"/>
    <s v="AMEinfo_HP_728x270_UAE_AR"/>
    <x v="1"/>
    <s v="Default"/>
    <s v="Gif"/>
    <n v="578"/>
    <n v="0"/>
    <n v="0"/>
    <x v="0"/>
  </r>
  <r>
    <x v="13"/>
    <s v="AMEinfo_HP_728x270_UAE_AR"/>
    <x v="1"/>
    <s v="Default"/>
    <s v="Gif"/>
    <n v="1401"/>
    <n v="0"/>
    <n v="0"/>
    <x v="0"/>
  </r>
  <r>
    <x v="13"/>
    <s v="AMEinfo_HP_728x270_UAE_AR"/>
    <x v="1"/>
    <s v="Default"/>
    <s v="Gif"/>
    <n v="1205"/>
    <n v="0"/>
    <n v="0"/>
    <x v="0"/>
  </r>
  <r>
    <x v="13"/>
    <s v="AMEinfo_HP_728x270_UAE_AR"/>
    <x v="1"/>
    <s v="Default"/>
    <s v="Gif"/>
    <n v="1161"/>
    <n v="0"/>
    <n v="0"/>
    <x v="0"/>
  </r>
  <r>
    <x v="13"/>
    <s v="AMEinfo_HP_728x270_UAE_AR"/>
    <x v="1"/>
    <s v="Default"/>
    <s v="Gif"/>
    <n v="843"/>
    <n v="0"/>
    <n v="0"/>
    <x v="0"/>
  </r>
  <r>
    <x v="13"/>
    <s v="AMEinfo_HP_728x270_UAE_AR"/>
    <x v="1"/>
    <s v="Standard"/>
    <s v="Rich Media Expandable"/>
    <n v="6705"/>
    <n v="9"/>
    <n v="1.3422818791946308E-3"/>
    <x v="0"/>
  </r>
  <r>
    <x v="13"/>
    <s v="AMEinfo_HP_728x270_UAE_AR"/>
    <x v="1"/>
    <s v="Standard"/>
    <s v="Rich Media Expandable"/>
    <n v="15706"/>
    <n v="15"/>
    <n v="9.5504902584999361E-4"/>
    <x v="0"/>
  </r>
  <r>
    <x v="13"/>
    <s v="AMEinfo_HP_728x270_UAE_AR"/>
    <x v="1"/>
    <s v="Standard"/>
    <s v="Rich Media Expandable"/>
    <n v="14640"/>
    <n v="19"/>
    <n v="1.2978142076502733E-3"/>
    <x v="0"/>
  </r>
  <r>
    <x v="13"/>
    <s v="AMEinfo_HP_728x270_UAE_AR"/>
    <x v="1"/>
    <s v="Standard"/>
    <s v="Rich Media Expandable"/>
    <n v="12348"/>
    <n v="9"/>
    <n v="7.2886297376093293E-4"/>
    <x v="0"/>
  </r>
  <r>
    <x v="13"/>
    <s v="AMEinfo_HP_728x270_UAE_AR"/>
    <x v="1"/>
    <s v="Standard"/>
    <s v="Rich Media Expandable"/>
    <n v="13901"/>
    <n v="11"/>
    <n v="7.9130997769944606E-4"/>
    <x v="0"/>
  </r>
  <r>
    <x v="14"/>
    <s v="Arabia_TECH_728x90_KSA_AR"/>
    <x v="1"/>
    <s v="Default"/>
    <s v="Gif"/>
    <n v="95"/>
    <n v="0"/>
    <n v="0"/>
    <x v="0"/>
  </r>
  <r>
    <x v="14"/>
    <s v="Arabia_TECH_728x90_KSA_AR"/>
    <x v="1"/>
    <s v="Default"/>
    <s v="Gif"/>
    <n v="221"/>
    <n v="0"/>
    <n v="0"/>
    <x v="0"/>
  </r>
  <r>
    <x v="14"/>
    <s v="Arabia_TECH_728x90_KSA_AR"/>
    <x v="1"/>
    <s v="Default"/>
    <s v="Gif"/>
    <n v="757"/>
    <n v="0"/>
    <n v="0"/>
    <x v="0"/>
  </r>
  <r>
    <x v="14"/>
    <s v="Arabia_TECH_728x90_KSA_AR"/>
    <x v="1"/>
    <s v="Default"/>
    <s v="Gif"/>
    <n v="55"/>
    <n v="0"/>
    <n v="0"/>
    <x v="0"/>
  </r>
  <r>
    <x v="14"/>
    <s v="Arabia_TECH_728x90_KSA_AR"/>
    <x v="1"/>
    <s v="Standard"/>
    <s v="Flash In-Page"/>
    <n v="1500"/>
    <n v="6"/>
    <n v="4.0000000000000001E-3"/>
    <x v="0"/>
  </r>
  <r>
    <x v="14"/>
    <s v="Arabia_TECH_728x90_KSA_AR"/>
    <x v="1"/>
    <s v="Standard"/>
    <s v="Flash In-Page"/>
    <n v="2732"/>
    <n v="6"/>
    <n v="2.1961932650073207E-3"/>
    <x v="0"/>
  </r>
  <r>
    <x v="14"/>
    <s v="Arabia_TECH_728x90_KSA_AR"/>
    <x v="1"/>
    <s v="Standard"/>
    <s v="Flash In-Page"/>
    <n v="7123"/>
    <n v="16"/>
    <n v="2.2462445598764565E-3"/>
    <x v="0"/>
  </r>
  <r>
    <x v="14"/>
    <s v="Arabia_TECH_728x90_KSA_AR"/>
    <x v="1"/>
    <s v="Standard"/>
    <s v="Flash In-Page"/>
    <n v="691"/>
    <n v="2"/>
    <n v="2.8943560057887118E-3"/>
    <x v="0"/>
  </r>
  <r>
    <x v="14"/>
    <s v="Arabia_TECH_728x90_KSA_AR"/>
    <x v="1"/>
    <s v="Standard"/>
    <s v="Flash In-Page"/>
    <n v="2"/>
    <n v="0"/>
    <n v="0"/>
    <x v="0"/>
  </r>
  <r>
    <x v="14"/>
    <s v="Arabia_TECH_Video_300x250_KSA_AR"/>
    <x v="0"/>
    <s v="Default"/>
    <s v="Gif"/>
    <n v="1"/>
    <n v="0"/>
    <n v="0"/>
    <x v="0"/>
  </r>
  <r>
    <x v="14"/>
    <s v="Arabia_TECH_Video_300x250_KSA_AR"/>
    <x v="0"/>
    <s v="Standard"/>
    <s v="Rich Media In-Page Flash"/>
    <n v="4"/>
    <n v="0"/>
    <n v="0"/>
    <x v="0"/>
  </r>
  <r>
    <x v="14"/>
    <s v="Arabia_TECH_Video_300x250_KSA_AR"/>
    <x v="0"/>
    <s v="Standard"/>
    <s v="Rich Media In-Page Flash"/>
    <n v="1"/>
    <n v="0"/>
    <n v="0"/>
    <x v="0"/>
  </r>
  <r>
    <x v="14"/>
    <s v="Arabia_TECH_Video_300x250_KSA_AR"/>
    <x v="0"/>
    <s v="Standard"/>
    <s v="Rich Media In-Page Flash"/>
    <n v="2"/>
    <n v="0"/>
    <n v="0"/>
    <x v="0"/>
  </r>
  <r>
    <x v="15"/>
    <s v="Ikoo_Borasaat_300x250_SAU_AR"/>
    <x v="0"/>
    <s v="Default"/>
    <s v="Gif"/>
    <n v="1"/>
    <n v="0"/>
    <n v="0"/>
    <x v="0"/>
  </r>
  <r>
    <x v="16"/>
    <s v="Auto_300x250_Exp_ARE_AR"/>
    <x v="0"/>
    <s v="Standard"/>
    <s v="Rich Media Expandable"/>
    <n v="8"/>
    <n v="0"/>
    <n v="0"/>
    <x v="0"/>
  </r>
  <r>
    <x v="16"/>
    <s v="Auto_300x250_Exp_ARE_AR"/>
    <x v="0"/>
    <s v="Standard"/>
    <s v="Rich Media Expandable"/>
    <n v="7"/>
    <n v="0"/>
    <n v="0"/>
    <x v="0"/>
  </r>
  <r>
    <x v="16"/>
    <s v="Auto_300x250_Exp_ARE_AR"/>
    <x v="0"/>
    <s v="Standard"/>
    <s v="Rich Media Expandable"/>
    <n v="7"/>
    <n v="0"/>
    <n v="0"/>
    <x v="0"/>
  </r>
  <r>
    <x v="16"/>
    <s v="Auto_300x250_Exp_ARE_EN"/>
    <x v="0"/>
    <s v="Standard"/>
    <s v="Rich Media Expandable"/>
    <n v="44"/>
    <n v="0"/>
    <n v="0"/>
    <x v="1"/>
  </r>
  <r>
    <x v="16"/>
    <s v="Auto_300x250_Exp_ARE_EN"/>
    <x v="0"/>
    <s v="Standard"/>
    <s v="Rich Media Expandable"/>
    <n v="57"/>
    <n v="0"/>
    <n v="0"/>
    <x v="1"/>
  </r>
  <r>
    <x v="16"/>
    <s v="Auto_300x250_Exp_ARE_EN"/>
    <x v="0"/>
    <s v="Standard"/>
    <s v="Rich Media Expandable"/>
    <n v="82"/>
    <n v="0"/>
    <n v="0"/>
    <x v="1"/>
  </r>
  <r>
    <x v="16"/>
    <s v="Auto_300x250_Exp_ARE_EN"/>
    <x v="0"/>
    <s v="Standard"/>
    <s v="Rich Media Expandable"/>
    <n v="74"/>
    <n v="0"/>
    <n v="0"/>
    <x v="1"/>
  </r>
  <r>
    <x v="16"/>
    <s v="Auto_300x250_Exp_BHR_AR"/>
    <x v="0"/>
    <s v="Default"/>
    <s v="Gif"/>
    <n v="1"/>
    <n v="0"/>
    <n v="0"/>
    <x v="0"/>
  </r>
  <r>
    <x v="16"/>
    <s v="Auto_300x250_Exp_BHR_EN"/>
    <x v="0"/>
    <s v="Standard"/>
    <s v="Rich Media Expandable"/>
    <n v="4"/>
    <n v="0"/>
    <n v="0"/>
    <x v="1"/>
  </r>
  <r>
    <x v="16"/>
    <s v="Auto_300x250_Exp_BHR_EN"/>
    <x v="0"/>
    <s v="Standard"/>
    <s v="Rich Media Expandable"/>
    <n v="3"/>
    <n v="0"/>
    <n v="0"/>
    <x v="1"/>
  </r>
  <r>
    <x v="16"/>
    <s v="Auto_300x250_Exp_BHR_EN"/>
    <x v="0"/>
    <s v="Standard"/>
    <s v="Rich Media Expandable"/>
    <n v="4"/>
    <n v="0"/>
    <n v="0"/>
    <x v="1"/>
  </r>
  <r>
    <x v="16"/>
    <s v="Auto_300x250_Exp_BHR_EN"/>
    <x v="0"/>
    <s v="Standard"/>
    <s v="Rich Media Expandable"/>
    <n v="1"/>
    <n v="0"/>
    <n v="0"/>
    <x v="1"/>
  </r>
  <r>
    <x v="16"/>
    <s v="Auto_300x250_Exp_KSA_AR"/>
    <x v="0"/>
    <s v="Standard"/>
    <s v="Rich Media Expandable"/>
    <n v="1"/>
    <n v="0"/>
    <n v="0"/>
    <x v="0"/>
  </r>
  <r>
    <x v="16"/>
    <s v="Auto_300x250_Exp_KSA_AR"/>
    <x v="0"/>
    <s v="Standard"/>
    <s v="Rich Media Expandable"/>
    <n v="1"/>
    <n v="0"/>
    <n v="0"/>
    <x v="0"/>
  </r>
  <r>
    <x v="16"/>
    <s v="Auto_300x250_Exp_KSA_AR"/>
    <x v="0"/>
    <s v="Standard"/>
    <s v="Rich Media Expandable"/>
    <n v="1"/>
    <n v="0"/>
    <n v="0"/>
    <x v="0"/>
  </r>
  <r>
    <x v="16"/>
    <s v="Auto_300x250_Exp_KSA_EN"/>
    <x v="0"/>
    <s v="Standard"/>
    <s v="Rich Media Expandable"/>
    <n v="2"/>
    <n v="0"/>
    <n v="0"/>
    <x v="1"/>
  </r>
  <r>
    <x v="16"/>
    <s v="Auto_300x250_Exp_KSA_EN"/>
    <x v="0"/>
    <s v="Standard"/>
    <s v="Rich Media Expandable"/>
    <n v="11"/>
    <n v="0"/>
    <n v="0"/>
    <x v="1"/>
  </r>
  <r>
    <x v="16"/>
    <s v="Auto_300x250_Exp_KSA_EN"/>
    <x v="0"/>
    <s v="Standard"/>
    <s v="Rich Media Expandable"/>
    <n v="5"/>
    <n v="0"/>
    <n v="0"/>
    <x v="1"/>
  </r>
  <r>
    <x v="16"/>
    <s v="Auto_300x250_Exp_KSA_EN"/>
    <x v="0"/>
    <s v="Standard"/>
    <s v="Rich Media Expandable"/>
    <n v="1"/>
    <n v="0"/>
    <n v="0"/>
    <x v="1"/>
  </r>
  <r>
    <x v="16"/>
    <s v="Auto_300x250_Exp_KWT_AR"/>
    <x v="0"/>
    <s v="Default"/>
    <s v="Gif"/>
    <n v="1"/>
    <n v="0"/>
    <n v="0"/>
    <x v="0"/>
  </r>
  <r>
    <x v="16"/>
    <s v="Auto_300x250_Exp_KWT_AR"/>
    <x v="0"/>
    <s v="Default"/>
    <s v="Gif"/>
    <n v="2"/>
    <n v="0"/>
    <n v="0"/>
    <x v="0"/>
  </r>
  <r>
    <x v="16"/>
    <s v="Auto_300x250_Exp_KWT_EN"/>
    <x v="0"/>
    <s v="Standard"/>
    <s v="Rich Media Expandable"/>
    <n v="3"/>
    <n v="0"/>
    <n v="0"/>
    <x v="1"/>
  </r>
  <r>
    <x v="16"/>
    <s v="Auto_300x250_Exp_KWT_EN"/>
    <x v="0"/>
    <s v="Standard"/>
    <s v="Rich Media Expandable"/>
    <n v="2"/>
    <n v="0"/>
    <n v="0"/>
    <x v="1"/>
  </r>
  <r>
    <x v="16"/>
    <s v="Auto_300x250_Exp_KWT_EN"/>
    <x v="0"/>
    <s v="Standard"/>
    <s v="Rich Media Expandable"/>
    <n v="4"/>
    <n v="0"/>
    <n v="0"/>
    <x v="1"/>
  </r>
  <r>
    <x v="16"/>
    <s v="Auto_300x250_Exp_OMN_AR"/>
    <x v="0"/>
    <s v="Default"/>
    <s v="Gif"/>
    <n v="2"/>
    <n v="0"/>
    <n v="0"/>
    <x v="0"/>
  </r>
  <r>
    <x v="16"/>
    <s v="Auto_300x250_Exp_OMN_AR"/>
    <x v="0"/>
    <s v="Default"/>
    <s v="Gif"/>
    <n v="1"/>
    <n v="0"/>
    <n v="0"/>
    <x v="0"/>
  </r>
  <r>
    <x v="16"/>
    <s v="Auto_300x250_Exp_OMN_EN"/>
    <x v="0"/>
    <s v="Standard"/>
    <s v="Rich Media Expandable"/>
    <n v="3"/>
    <n v="0"/>
    <n v="0"/>
    <x v="1"/>
  </r>
  <r>
    <x v="16"/>
    <s v="Auto_300x250_Exp_OMN_EN"/>
    <x v="0"/>
    <s v="Standard"/>
    <s v="Rich Media Expandable"/>
    <n v="2"/>
    <n v="0"/>
    <n v="0"/>
    <x v="1"/>
  </r>
  <r>
    <x v="16"/>
    <s v="Auto_300x250_Exp_OMN_EN"/>
    <x v="0"/>
    <s v="Standard"/>
    <s v="Rich Media Expandable"/>
    <n v="3"/>
    <n v="0"/>
    <n v="0"/>
    <x v="1"/>
  </r>
  <r>
    <x v="16"/>
    <s v="Auto_300x250_Exp_QAT_AR"/>
    <x v="0"/>
    <s v="Default"/>
    <s v="Gif"/>
    <n v="1"/>
    <n v="0"/>
    <n v="0"/>
    <x v="0"/>
  </r>
  <r>
    <x v="16"/>
    <s v="Auto_300x250_Exp_QAT_AR"/>
    <x v="0"/>
    <s v="Default"/>
    <s v="Gif"/>
    <n v="1"/>
    <n v="0"/>
    <n v="0"/>
    <x v="0"/>
  </r>
  <r>
    <x v="16"/>
    <s v="Auto_300x250_Exp_QAT_EN"/>
    <x v="0"/>
    <s v="Standard"/>
    <s v="Rich Media Expandable"/>
    <n v="1"/>
    <n v="0"/>
    <n v="0"/>
    <x v="1"/>
  </r>
  <r>
    <x v="16"/>
    <s v="Auto_300x250_Exp_QAT_EN"/>
    <x v="0"/>
    <s v="Standard"/>
    <s v="Rich Media Expandable"/>
    <n v="2"/>
    <n v="0"/>
    <n v="0"/>
    <x v="1"/>
  </r>
  <r>
    <x v="16"/>
    <s v="Auto_300x250_Exp_QAT_EN"/>
    <x v="0"/>
    <s v="Standard"/>
    <s v="Rich Media Expandable"/>
    <n v="1"/>
    <n v="0"/>
    <n v="0"/>
    <x v="1"/>
  </r>
  <r>
    <x v="17"/>
    <s v="D1G_ROS_Capability_300x250Ex_SAU_AR"/>
    <x v="0"/>
    <s v="Default"/>
    <s v="Gif"/>
    <n v="1"/>
    <n v="0"/>
    <n v="0"/>
    <x v="0"/>
  </r>
  <r>
    <x v="18"/>
    <s v="Dotmena_728x90_KSA_EN"/>
    <x v="1"/>
    <s v="Default"/>
    <s v="Gif"/>
    <n v="1"/>
    <n v="0"/>
    <n v="0"/>
    <x v="1"/>
  </r>
  <r>
    <x v="18"/>
    <s v="Dotmena_Business_300x250Vid_KSA_AR"/>
    <x v="0"/>
    <s v="Default"/>
    <s v="Gif"/>
    <n v="1"/>
    <n v="0"/>
    <n v="0"/>
    <x v="0"/>
  </r>
  <r>
    <x v="18"/>
    <s v="Dotmena_Business_300x250Vid_KSA_AR"/>
    <x v="0"/>
    <s v="Standard"/>
    <s v="Flash In-Page"/>
    <n v="21156"/>
    <n v="184"/>
    <n v="8.697296275288334E-3"/>
    <x v="0"/>
  </r>
  <r>
    <x v="18"/>
    <s v="Dotmena_Business_300x250Vid_KSA_AR"/>
    <x v="0"/>
    <s v="Standard"/>
    <s v="Flash In-Page"/>
    <n v="22170"/>
    <n v="162"/>
    <n v="7.307171853856563E-3"/>
    <x v="0"/>
  </r>
  <r>
    <x v="18"/>
    <s v="Dotmena_Business_300x250Vid_KSA_AR"/>
    <x v="0"/>
    <s v="Standard"/>
    <s v="Flash In-Page"/>
    <n v="26504"/>
    <n v="202"/>
    <n v="7.6214910956836704E-3"/>
    <x v="0"/>
  </r>
  <r>
    <x v="18"/>
    <s v="Dotmena_Business_300x250Vid_KSA_AR"/>
    <x v="0"/>
    <s v="Standard"/>
    <s v="Flash In-Page"/>
    <n v="25197"/>
    <n v="132"/>
    <n v="5.2387188951065599E-3"/>
    <x v="0"/>
  </r>
  <r>
    <x v="18"/>
    <s v="Dotmena_Business_300x250Vid_KSA_AR"/>
    <x v="0"/>
    <s v="Standard"/>
    <s v="Flash In-Page"/>
    <n v="17760"/>
    <n v="81"/>
    <n v="4.5608108108108111E-3"/>
    <x v="0"/>
  </r>
  <r>
    <x v="18"/>
    <s v="Dotmena_Business_300x250Vid_UAE_AR"/>
    <x v="0"/>
    <s v="Standard"/>
    <s v="Flash In-Page"/>
    <n v="3101"/>
    <n v="5"/>
    <n v="1.6123831022250886E-3"/>
    <x v="0"/>
  </r>
  <r>
    <x v="18"/>
    <s v="Dotmena_Business_300x250Vid_UAE_AR"/>
    <x v="0"/>
    <s v="Standard"/>
    <s v="Flash In-Page"/>
    <n v="3592"/>
    <n v="5"/>
    <n v="1.3919821826280624E-3"/>
    <x v="0"/>
  </r>
  <r>
    <x v="18"/>
    <s v="Dotmena_Business_300x250Vid_UAE_EN"/>
    <x v="0"/>
    <s v="Standard"/>
    <s v="Flash In-Page"/>
    <n v="12403"/>
    <n v="89"/>
    <n v="7.1756833024268322E-3"/>
    <x v="1"/>
  </r>
  <r>
    <x v="18"/>
    <s v="Dotmena_Business_300x250Vid_UAE_EN"/>
    <x v="0"/>
    <s v="Standard"/>
    <s v="Flash In-Page"/>
    <n v="22065"/>
    <n v="154"/>
    <n v="6.9793791071833221E-3"/>
    <x v="1"/>
  </r>
  <r>
    <x v="18"/>
    <s v="Dotmena_Business_300x250Vid_UAE_EN"/>
    <x v="0"/>
    <s v="Standard"/>
    <s v="Flash In-Page"/>
    <n v="27662"/>
    <n v="94"/>
    <n v="3.3981635456583037E-3"/>
    <x v="1"/>
  </r>
  <r>
    <x v="18"/>
    <s v="Dotmena_Business_300x250Vid_UAE_EN"/>
    <x v="0"/>
    <s v="Standard"/>
    <s v="Flash In-Page"/>
    <n v="21797"/>
    <n v="75"/>
    <n v="3.4408404826352249E-3"/>
    <x v="1"/>
  </r>
  <r>
    <x v="18"/>
    <s v="Dotmena_Business_300x250Vid_UAE_EN"/>
    <x v="0"/>
    <s v="Standard"/>
    <s v="Flash In-Page"/>
    <n v="16937"/>
    <n v="75"/>
    <n v="4.4281750014760583E-3"/>
    <x v="1"/>
  </r>
  <r>
    <x v="18"/>
    <s v="Dotmena_Business_728x270_KSA_AR"/>
    <x v="1"/>
    <s v="Standard"/>
    <s v="Rich Media Expandable"/>
    <n v="36960"/>
    <n v="76"/>
    <n v="2.0562770562770564E-3"/>
    <x v="0"/>
  </r>
  <r>
    <x v="18"/>
    <s v="Dotmena_Business_728x270_KSA_AR"/>
    <x v="1"/>
    <s v="Standard"/>
    <s v="Rich Media Expandable"/>
    <n v="27183"/>
    <n v="50"/>
    <n v="1.8393849096862008E-3"/>
    <x v="0"/>
  </r>
  <r>
    <x v="18"/>
    <s v="Dotmena_Business_728x270_KSA_AR"/>
    <x v="1"/>
    <s v="Standard"/>
    <s v="Rich Media Expandable"/>
    <n v="21039"/>
    <n v="34"/>
    <n v="1.6160463900375492E-3"/>
    <x v="0"/>
  </r>
  <r>
    <x v="18"/>
    <s v="Dotmena_Business_728x270_KSA_AR"/>
    <x v="1"/>
    <s v="Standard"/>
    <s v="Rich Media Expandable"/>
    <n v="29091"/>
    <n v="46"/>
    <n v="1.5812450586091919E-3"/>
    <x v="0"/>
  </r>
  <r>
    <x v="18"/>
    <s v="Dotmena_Business_728x270_KSA_AR"/>
    <x v="1"/>
    <s v="Standard"/>
    <s v="Rich Media Expandable"/>
    <n v="21848"/>
    <n v="33"/>
    <n v="1.5104357378249726E-3"/>
    <x v="0"/>
  </r>
  <r>
    <x v="18"/>
    <s v="Dotmena_Business_728x270_UAE_AR"/>
    <x v="1"/>
    <s v="Standard"/>
    <s v="Rich Media Expandable"/>
    <n v="11918"/>
    <n v="2"/>
    <n v="1.678133915086424E-4"/>
    <x v="0"/>
  </r>
  <r>
    <x v="18"/>
    <s v="Dotmena_Business_728x270_UAE_AR"/>
    <x v="1"/>
    <s v="Standard"/>
    <s v="Rich Media Expandable"/>
    <n v="13543"/>
    <n v="3"/>
    <n v="2.2151665066824189E-4"/>
    <x v="0"/>
  </r>
  <r>
    <x v="18"/>
    <s v="Dotmena_Business_728x270_UAE_AR"/>
    <x v="1"/>
    <s v="Standard"/>
    <s v="Rich Media Expandable"/>
    <n v="1"/>
    <n v="0"/>
    <n v="0"/>
    <x v="0"/>
  </r>
  <r>
    <x v="18"/>
    <s v="Dotmena_Business_728x270_UAE_EN"/>
    <x v="1"/>
    <s v="Standard"/>
    <s v="Rich Media Expandable"/>
    <n v="11647"/>
    <n v="21"/>
    <n v="1.8030394092899459E-3"/>
    <x v="1"/>
  </r>
  <r>
    <x v="18"/>
    <s v="Dotmena_Business_728x270_UAE_EN"/>
    <x v="1"/>
    <s v="Standard"/>
    <s v="Rich Media Expandable"/>
    <n v="22080"/>
    <n v="40"/>
    <n v="1.8115942028985507E-3"/>
    <x v="1"/>
  </r>
  <r>
    <x v="18"/>
    <s v="Dotmena_Business_728x270_UAE_EN"/>
    <x v="1"/>
    <s v="Standard"/>
    <s v="Rich Media Expandable"/>
    <n v="30763"/>
    <n v="30"/>
    <n v="9.7519747748919154E-4"/>
    <x v="1"/>
  </r>
  <r>
    <x v="18"/>
    <s v="Dotmena_Business_728x270_UAE_EN"/>
    <x v="1"/>
    <s v="Standard"/>
    <s v="Rich Media Expandable"/>
    <n v="35957"/>
    <n v="27"/>
    <n v="7.5089690463609306E-4"/>
    <x v="1"/>
  </r>
  <r>
    <x v="18"/>
    <s v="Dotmena_Business_728x270_UAE_EN"/>
    <x v="1"/>
    <s v="Standard"/>
    <s v="Rich Media Expandable"/>
    <n v="23682"/>
    <n v="35"/>
    <n v="1.4779157165779918E-3"/>
    <x v="1"/>
  </r>
  <r>
    <x v="18"/>
    <s v="Tech_Ent_728x270_Vid_ARE_AR"/>
    <x v="1"/>
    <s v="Standard"/>
    <s v="Rich Media Expandable"/>
    <n v="1"/>
    <n v="0"/>
    <n v="0"/>
    <x v="0"/>
  </r>
  <r>
    <x v="18"/>
    <s v="Tech_Ent_728x270_Vid_KSA_AR"/>
    <x v="1"/>
    <s v="Standard"/>
    <s v="Rich Media Expandable"/>
    <n v="1"/>
    <n v="0"/>
    <n v="0"/>
    <x v="0"/>
  </r>
  <r>
    <x v="19"/>
    <s v="Ikoo_Hawamer_300x250_SAU_AR"/>
    <x v="0"/>
    <s v="Default"/>
    <s v="Gif"/>
    <n v="1"/>
    <n v="0"/>
    <n v="0"/>
    <x v="0"/>
  </r>
  <r>
    <x v="19"/>
    <s v="Ikoo_Hawamer_728x90_SAU_AR"/>
    <x v="1"/>
    <s v="Default"/>
    <s v="Gif"/>
    <n v="1"/>
    <n v="0"/>
    <n v="0"/>
    <x v="0"/>
  </r>
  <r>
    <x v="20"/>
    <s v="iFurat-300x250-AR"/>
    <x v="0"/>
    <s v="Default"/>
    <s v="Gif"/>
    <n v="1"/>
    <n v="0"/>
    <n v="0"/>
    <x v="0"/>
  </r>
  <r>
    <x v="21"/>
    <s v="Maktoob_Business_300x250_SAU_EN"/>
    <x v="0"/>
    <s v="Default"/>
    <s v="Gif"/>
    <n v="2"/>
    <n v="0"/>
    <n v="0"/>
    <x v="1"/>
  </r>
  <r>
    <x v="21"/>
    <s v="Yahoo_BT_Auto_KSA_300x250_AR"/>
    <x v="0"/>
    <s v="Default"/>
    <s v="Gif"/>
    <n v="8"/>
    <n v="0"/>
    <n v="0"/>
    <x v="0"/>
  </r>
  <r>
    <x v="21"/>
    <s v="Yahoo_BT_Auto_KSA_300x250_AR"/>
    <x v="0"/>
    <s v="Default"/>
    <s v="Gif"/>
    <n v="1"/>
    <n v="0"/>
    <n v="0"/>
    <x v="0"/>
  </r>
  <r>
    <x v="21"/>
    <s v="Yahoo_BT_Auto_KSA_300x250_EN"/>
    <x v="0"/>
    <s v="Standard"/>
    <s v="Flash In-Page"/>
    <n v="1"/>
    <n v="0"/>
    <n v="0"/>
    <x v="1"/>
  </r>
  <r>
    <x v="21"/>
    <s v="Yahoo_BT_Auto_KWT_300x600_AR"/>
    <x v="4"/>
    <s v="Standard"/>
    <s v="Flash In-Page"/>
    <n v="3"/>
    <n v="0"/>
    <n v="0"/>
    <x v="0"/>
  </r>
  <r>
    <x v="21"/>
    <s v="Yahoo_BT_Auto_KWT_300x600_AR"/>
    <x v="4"/>
    <s v="Standard"/>
    <s v="Flash In-Page"/>
    <n v="1"/>
    <n v="0"/>
    <n v="0"/>
    <x v="0"/>
  </r>
  <r>
    <x v="21"/>
    <s v="Yahoo_BT_Auto_KWT_300x600_AR"/>
    <x v="4"/>
    <s v="Standard"/>
    <s v="Flash In-Page"/>
    <n v="1"/>
    <n v="0"/>
    <n v="0"/>
    <x v="0"/>
  </r>
  <r>
    <x v="21"/>
    <s v="Yahoo_BT_Auto_OMN_728x90_AR"/>
    <x v="1"/>
    <s v="Default"/>
    <s v="Gif"/>
    <n v="2"/>
    <n v="0"/>
    <n v="0"/>
    <x v="0"/>
  </r>
  <r>
    <x v="21"/>
    <s v="Yahoo_BT_Auto_OMN_728x90_AR"/>
    <x v="1"/>
    <s v="Default"/>
    <s v="Gif"/>
    <n v="1"/>
    <n v="0"/>
    <n v="0"/>
    <x v="0"/>
  </r>
  <r>
    <x v="21"/>
    <s v="Yahoo_BT_Auto_OMN_728x90_AR"/>
    <x v="1"/>
    <s v="Default"/>
    <s v="Gif"/>
    <n v="1"/>
    <n v="0"/>
    <n v="0"/>
    <x v="0"/>
  </r>
  <r>
    <x v="21"/>
    <s v="Yahoo_BT_Auto_OMN_728x90_AR"/>
    <x v="1"/>
    <s v="Standard"/>
    <s v="Flash In-Page"/>
    <n v="2"/>
    <n v="0"/>
    <n v="0"/>
    <x v="0"/>
  </r>
  <r>
    <x v="21"/>
    <s v="Yahoo_BT_Auto_OMN_728x90_AR"/>
    <x v="1"/>
    <s v="Standard"/>
    <s v="Flash In-Page"/>
    <n v="2"/>
    <n v="0"/>
    <n v="0"/>
    <x v="0"/>
  </r>
  <r>
    <x v="21"/>
    <s v="Yahoo_BT_Auto_QAT_300x250_AR"/>
    <x v="0"/>
    <s v="Standard"/>
    <s v="Flash In-Page"/>
    <n v="1"/>
    <n v="0"/>
    <n v="0"/>
    <x v="0"/>
  </r>
  <r>
    <x v="21"/>
    <s v="Yahoo_BT_Auto_UAE_300x250_AR"/>
    <x v="0"/>
    <s v="Default"/>
    <s v="Gif"/>
    <n v="2"/>
    <n v="0"/>
    <n v="0"/>
    <x v="0"/>
  </r>
  <r>
    <x v="21"/>
    <s v="Yahoo_BT_Auto_UAE_300x250_AR"/>
    <x v="0"/>
    <s v="Default"/>
    <s v="Gif"/>
    <n v="3"/>
    <n v="0"/>
    <n v="0"/>
    <x v="0"/>
  </r>
  <r>
    <x v="21"/>
    <s v="Yahoo_BT_Auto_UAE_300x250_AR"/>
    <x v="0"/>
    <s v="Default"/>
    <s v="Gif"/>
    <n v="1"/>
    <n v="0"/>
    <n v="0"/>
    <x v="0"/>
  </r>
  <r>
    <x v="21"/>
    <s v="Yahoo_BT_Auto_UAE_300x600_EN"/>
    <x v="4"/>
    <s v="Standard"/>
    <s v="Flash In-Page"/>
    <n v="1"/>
    <n v="0"/>
    <n v="0"/>
    <x v="1"/>
  </r>
  <r>
    <x v="21"/>
    <s v="Yahoo_BT_Auto_UAE_300x600_EN"/>
    <x v="4"/>
    <s v="Standard"/>
    <s v="Flash In-Page"/>
    <n v="1"/>
    <n v="0"/>
    <n v="0"/>
    <x v="1"/>
  </r>
  <r>
    <x v="21"/>
    <s v="Yahoo_BT_Auto_UAE_728x90_AR"/>
    <x v="1"/>
    <s v="Default"/>
    <s v="Gif"/>
    <n v="1"/>
    <n v="0"/>
    <n v="0"/>
    <x v="0"/>
  </r>
  <r>
    <x v="21"/>
    <s v="Yahoo_BT_Auto_UAE_728x90_AR"/>
    <x v="1"/>
    <s v="Standard"/>
    <s v="Flash In-Page"/>
    <n v="1"/>
    <n v="0"/>
    <n v="0"/>
    <x v="0"/>
  </r>
  <r>
    <x v="21"/>
    <s v="Yahoo_BT_FocusST_300x250_KWT_AR"/>
    <x v="0"/>
    <s v="Standard"/>
    <s v="Rich Media In-Page Flash"/>
    <n v="1"/>
    <n v="0"/>
    <n v="0"/>
    <x v="0"/>
  </r>
  <r>
    <x v="21"/>
    <s v="Yahoo_BT_FocusST_300x250_OMN_AR"/>
    <x v="0"/>
    <s v="Standard"/>
    <s v="Rich Media In-Page Flash"/>
    <n v="1"/>
    <n v="0"/>
    <n v="0"/>
    <x v="0"/>
  </r>
  <r>
    <x v="21"/>
    <s v="Yahoo_BT_FocusST_300x250_OMN_AR"/>
    <x v="0"/>
    <s v="Standard"/>
    <s v="Rich Media In-Page Flash"/>
    <n v="2"/>
    <n v="0"/>
    <n v="0"/>
    <x v="0"/>
  </r>
  <r>
    <x v="21"/>
    <s v="Yahoo_BT_FocusST_300x250_OMN_AR"/>
    <x v="0"/>
    <s v="Standard"/>
    <s v="Rich Media In-Page Flash"/>
    <n v="1"/>
    <n v="0"/>
    <n v="0"/>
    <x v="0"/>
  </r>
  <r>
    <x v="21"/>
    <s v="Yahoo_BT_FocusST_728x270_KSA_EN"/>
    <x v="1"/>
    <s v="Default"/>
    <s v="Gif"/>
    <n v="2"/>
    <n v="0"/>
    <n v="0"/>
    <x v="1"/>
  </r>
  <r>
    <x v="21"/>
    <s v="Yahoo_BT_FocusST_728x270_OMN_AR"/>
    <x v="1"/>
    <s v="Standard"/>
    <s v="Rich Media Expandable"/>
    <n v="1"/>
    <n v="0"/>
    <n v="0"/>
    <x v="0"/>
  </r>
  <r>
    <x v="21"/>
    <s v="Yahoo_BT_FocusST_728x270_UAE_AR"/>
    <x v="1"/>
    <s v="Standard"/>
    <s v="Rich Media Expandable"/>
    <n v="1"/>
    <n v="0"/>
    <n v="0"/>
    <x v="0"/>
  </r>
  <r>
    <x v="21"/>
    <s v="Yahoo_BT_Focus_300x250DualZoneAC_QAT_EN"/>
    <x v="0"/>
    <s v="Standard"/>
    <s v="Rich Media In-Page Flash"/>
    <n v="1"/>
    <n v="0"/>
    <n v="0"/>
    <x v="1"/>
  </r>
  <r>
    <x v="21"/>
    <s v="Yahoo_BT_Focus_728x270Exp_APA_UAE_AR"/>
    <x v="1"/>
    <s v="Standard"/>
    <s v="Rich Media Expandable"/>
    <n v="1"/>
    <n v="0"/>
    <n v="0"/>
    <x v="0"/>
  </r>
  <r>
    <x v="21"/>
    <s v="Yahoo_BT_Focus_728x270Exp_APA_UAE_AR"/>
    <x v="1"/>
    <s v="Standard"/>
    <s v="Rich Media Expandable"/>
    <n v="1"/>
    <n v="0"/>
    <n v="0"/>
    <x v="0"/>
  </r>
  <r>
    <x v="21"/>
    <s v="Yahoo_BT_TECH_Exp_728x270_BHR_AR"/>
    <x v="1"/>
    <s v="Standard"/>
    <s v="Rich Media Expandable"/>
    <n v="1"/>
    <n v="1"/>
    <n v="1"/>
    <x v="0"/>
  </r>
  <r>
    <x v="21"/>
    <s v="Yahoo_BT_TECH_Exp_728x270_BHR_EN"/>
    <x v="1"/>
    <s v="Standard"/>
    <s v="Rich Media Expandable"/>
    <n v="1"/>
    <n v="1"/>
    <n v="1"/>
    <x v="1"/>
  </r>
  <r>
    <x v="21"/>
    <s v="Yahoo_BT_TECH_Exp_728x270_KSA_AR"/>
    <x v="1"/>
    <s v="Default"/>
    <s v="Gif"/>
    <n v="1"/>
    <n v="0"/>
    <n v="0"/>
    <x v="0"/>
  </r>
  <r>
    <x v="21"/>
    <s v="Yahoo_BT_TECH_Exp_728x270_KSA_AR"/>
    <x v="1"/>
    <s v="Standard"/>
    <s v="Rich Media Expandable"/>
    <n v="5"/>
    <n v="1"/>
    <n v="0.2"/>
    <x v="0"/>
  </r>
  <r>
    <x v="21"/>
    <s v="Yahoo_BT_TECH_Exp_728x270_KSA_AR"/>
    <x v="1"/>
    <s v="Standard"/>
    <s v="Rich Media Expandable"/>
    <n v="3"/>
    <n v="0"/>
    <n v="0"/>
    <x v="0"/>
  </r>
  <r>
    <x v="21"/>
    <s v="Yahoo_BT_TECH_Exp_728x270_KSA_AR"/>
    <x v="1"/>
    <s v="Standard"/>
    <s v="Rich Media Expandable"/>
    <n v="1"/>
    <n v="0"/>
    <n v="0"/>
    <x v="0"/>
  </r>
  <r>
    <x v="21"/>
    <s v="Yahoo_BT_TECH_Exp_728x270_KSA_AR"/>
    <x v="1"/>
    <s v="Standard"/>
    <s v="Rich Media Expandable"/>
    <n v="2"/>
    <n v="0"/>
    <n v="0"/>
    <x v="0"/>
  </r>
  <r>
    <x v="21"/>
    <s v="Yahoo_BT_TECH_Exp_728x270_KSA_EN"/>
    <x v="1"/>
    <s v="Default"/>
    <s v="Gif"/>
    <n v="7"/>
    <n v="0"/>
    <n v="0"/>
    <x v="1"/>
  </r>
  <r>
    <x v="21"/>
    <s v="Yahoo_BT_TECH_Exp_728x270_KSA_EN"/>
    <x v="1"/>
    <s v="Standard"/>
    <s v="Rich Media Expandable"/>
    <n v="2"/>
    <n v="0"/>
    <n v="0"/>
    <x v="1"/>
  </r>
  <r>
    <x v="21"/>
    <s v="Yahoo_BT_TECH_Exp_728x270_KSA_EN"/>
    <x v="1"/>
    <s v="Standard"/>
    <s v="Rich Media Expandable"/>
    <n v="1"/>
    <n v="0"/>
    <n v="0"/>
    <x v="1"/>
  </r>
  <r>
    <x v="21"/>
    <s v="Yahoo_BT_TECH_Exp_728x270_KSA_EN"/>
    <x v="1"/>
    <s v="Standard"/>
    <s v="Rich Media Expandable"/>
    <n v="1"/>
    <n v="0"/>
    <n v="0"/>
    <x v="1"/>
  </r>
  <r>
    <x v="21"/>
    <s v="Yahoo_BT_TECH_Exp_728x270_KWT_AR"/>
    <x v="1"/>
    <s v="Standard"/>
    <s v="Rich Media Expandable"/>
    <n v="1"/>
    <n v="1"/>
    <n v="1"/>
    <x v="0"/>
  </r>
  <r>
    <x v="21"/>
    <s v="Yahoo_BT_TECH_Exp_728x270_KWT_AR"/>
    <x v="1"/>
    <s v="Standard"/>
    <s v="Rich Media Expandable"/>
    <n v="1"/>
    <n v="0"/>
    <n v="0"/>
    <x v="0"/>
  </r>
  <r>
    <x v="21"/>
    <s v="Yahoo_BT_TECH_Exp_728x270_KWT_AR"/>
    <x v="1"/>
    <s v="Standard"/>
    <s v="Rich Media Expandable"/>
    <n v="1"/>
    <n v="0"/>
    <n v="0"/>
    <x v="0"/>
  </r>
  <r>
    <x v="21"/>
    <s v="Yahoo_BT_TECH_Exp_728x270_KWT_AR"/>
    <x v="1"/>
    <s v="Standard"/>
    <s v="Rich Media Expandable"/>
    <n v="1"/>
    <n v="0"/>
    <n v="0"/>
    <x v="0"/>
  </r>
  <r>
    <x v="21"/>
    <s v="Yahoo_BT_TECH_Exp_728x270_KWT_AR"/>
    <x v="1"/>
    <s v="Standard"/>
    <s v="Rich Media Expandable"/>
    <n v="2"/>
    <n v="0"/>
    <n v="0"/>
    <x v="0"/>
  </r>
  <r>
    <x v="21"/>
    <s v="Yahoo_BT_TECH_Exp_728x270_KWT_EN"/>
    <x v="1"/>
    <s v="Standard"/>
    <s v="Rich Media Expandable"/>
    <n v="1"/>
    <n v="0"/>
    <n v="0"/>
    <x v="1"/>
  </r>
  <r>
    <x v="21"/>
    <s v="Yahoo_BT_TECH_Exp_728x270_KWT_EN"/>
    <x v="1"/>
    <s v="Standard"/>
    <s v="Rich Media Expandable"/>
    <n v="3"/>
    <n v="0"/>
    <n v="0"/>
    <x v="1"/>
  </r>
  <r>
    <x v="21"/>
    <s v="Yahoo_BT_TECH_Exp_728x270_OMN_AR"/>
    <x v="1"/>
    <s v="Standard"/>
    <s v="Rich Media Expandable"/>
    <n v="1"/>
    <n v="0"/>
    <n v="0"/>
    <x v="0"/>
  </r>
  <r>
    <x v="21"/>
    <s v="Yahoo_BT_TECH_Exp_728x270_OMN_EN"/>
    <x v="1"/>
    <s v="Standard"/>
    <s v="Rich Media Expandable"/>
    <n v="1"/>
    <n v="1"/>
    <n v="1"/>
    <x v="1"/>
  </r>
  <r>
    <x v="21"/>
    <s v="Yahoo_BT_TECH_Exp_728x270_QAT_AR"/>
    <x v="1"/>
    <s v="Standard"/>
    <s v="Rich Media Expandable"/>
    <n v="1"/>
    <n v="0"/>
    <n v="0"/>
    <x v="0"/>
  </r>
  <r>
    <x v="21"/>
    <s v="Yahoo_BT_TECH_Exp_728x270_QAT_EN"/>
    <x v="1"/>
    <s v="Standard"/>
    <s v="Rich Media Expandable"/>
    <n v="1"/>
    <n v="1"/>
    <n v="1"/>
    <x v="1"/>
  </r>
  <r>
    <x v="21"/>
    <s v="Yahoo_BT_TECH_Exp_728x270_UAE_EN"/>
    <x v="1"/>
    <s v="Default"/>
    <s v="Gif"/>
    <n v="2"/>
    <n v="0"/>
    <n v="0"/>
    <x v="1"/>
  </r>
  <r>
    <x v="21"/>
    <s v="Yahoo_BT_TECH_Exp_728x270_UAE_EN"/>
    <x v="1"/>
    <s v="Standard"/>
    <s v="Rich Media Expandable"/>
    <n v="1"/>
    <n v="1"/>
    <n v="1"/>
    <x v="1"/>
  </r>
  <r>
    <x v="21"/>
    <s v="Yahoo_BT_TECH_Exp_728x270_UAE_EN"/>
    <x v="1"/>
    <s v="Standard"/>
    <s v="Rich Media Expandable"/>
    <n v="1"/>
    <n v="0"/>
    <n v="0"/>
    <x v="1"/>
  </r>
  <r>
    <x v="21"/>
    <s v="Yahoo_BT_TECH_Exp_728x270_UAE_EN"/>
    <x v="1"/>
    <s v="Standard"/>
    <s v="Rich Media Expandable"/>
    <n v="1"/>
    <n v="0"/>
    <n v="0"/>
    <x v="1"/>
  </r>
  <r>
    <x v="21"/>
    <s v="Yahoo_BT_TECH_Exp_728x270_UAE_EN"/>
    <x v="1"/>
    <s v="Standard"/>
    <s v="Rich Media Expandable"/>
    <n v="1"/>
    <n v="0"/>
    <n v="0"/>
    <x v="1"/>
  </r>
  <r>
    <x v="21"/>
    <s v="Yahoo_BT_TECH_Video_300x250_BHR_AR"/>
    <x v="0"/>
    <s v="Standard"/>
    <s v="Rich Media In-Page Flash"/>
    <n v="3"/>
    <n v="0"/>
    <n v="0"/>
    <x v="0"/>
  </r>
  <r>
    <x v="21"/>
    <s v="Yahoo_BT_TECH_Video_300x250_BHR_AR"/>
    <x v="0"/>
    <s v="Standard"/>
    <s v="Rich Media In-Page Flash"/>
    <n v="3"/>
    <n v="0"/>
    <n v="0"/>
    <x v="0"/>
  </r>
  <r>
    <x v="21"/>
    <s v="Yahoo_BT_TECH_Video_300x250_BHR_AR"/>
    <x v="0"/>
    <s v="Standard"/>
    <s v="Rich Media In-Page Flash"/>
    <n v="2"/>
    <n v="0"/>
    <n v="0"/>
    <x v="0"/>
  </r>
  <r>
    <x v="21"/>
    <s v="Yahoo_BT_TECH_Video_300x250_BHR_AR"/>
    <x v="0"/>
    <s v="Standard"/>
    <s v="Rich Media In-Page Flash"/>
    <n v="1"/>
    <n v="0"/>
    <n v="0"/>
    <x v="0"/>
  </r>
  <r>
    <x v="21"/>
    <s v="Yahoo_BT_TECH_Video_300x250_BHR_EN"/>
    <x v="0"/>
    <s v="Standard"/>
    <s v="Rich Media In-Page Flash"/>
    <n v="1"/>
    <n v="0"/>
    <n v="0"/>
    <x v="1"/>
  </r>
  <r>
    <x v="21"/>
    <s v="Yahoo_BT_TECH_Video_300x250_KSA_AR"/>
    <x v="0"/>
    <s v="Default"/>
    <s v="Gif"/>
    <n v="3"/>
    <n v="0"/>
    <n v="0"/>
    <x v="0"/>
  </r>
  <r>
    <x v="21"/>
    <s v="Yahoo_BT_TECH_Video_300x250_KSA_AR"/>
    <x v="0"/>
    <s v="Standard"/>
    <s v="Rich Media In-Page Flash"/>
    <n v="5"/>
    <n v="0"/>
    <n v="0"/>
    <x v="0"/>
  </r>
  <r>
    <x v="21"/>
    <s v="Yahoo_BT_TECH_Video_300x250_KSA_AR"/>
    <x v="0"/>
    <s v="Standard"/>
    <s v="Rich Media In-Page Flash"/>
    <n v="1"/>
    <n v="0"/>
    <n v="0"/>
    <x v="0"/>
  </r>
  <r>
    <x v="21"/>
    <s v="Yahoo_BT_TECH_Video_300x250_KSA_AR"/>
    <x v="0"/>
    <s v="Standard"/>
    <s v="Rich Media In-Page Flash"/>
    <n v="4"/>
    <n v="0"/>
    <n v="0"/>
    <x v="0"/>
  </r>
  <r>
    <x v="21"/>
    <s v="Yahoo_BT_TECH_Video_300x250_KSA_AR"/>
    <x v="0"/>
    <s v="Standard"/>
    <s v="Rich Media In-Page Flash"/>
    <n v="2"/>
    <n v="0"/>
    <n v="0"/>
    <x v="0"/>
  </r>
  <r>
    <x v="21"/>
    <s v="Yahoo_BT_TECH_Video_300x250_KSA_AR"/>
    <x v="0"/>
    <s v="Standard"/>
    <s v="Rich Media In-Page Flash"/>
    <n v="2"/>
    <n v="0"/>
    <n v="0"/>
    <x v="0"/>
  </r>
  <r>
    <x v="21"/>
    <s v="Yahoo_BT_TECH_Video_300x250_KSA_EN"/>
    <x v="0"/>
    <s v="Standard"/>
    <s v="Rich Media In-Page Flash"/>
    <n v="2"/>
    <n v="0"/>
    <n v="0"/>
    <x v="1"/>
  </r>
  <r>
    <x v="21"/>
    <s v="Yahoo_BT_TECH_Video_300x250_KSA_EN"/>
    <x v="0"/>
    <s v="Standard"/>
    <s v="Rich Media In-Page Flash"/>
    <n v="2"/>
    <n v="0"/>
    <n v="0"/>
    <x v="1"/>
  </r>
  <r>
    <x v="21"/>
    <s v="Yahoo_BT_TECH_Video_300x250_KWT_AR"/>
    <x v="0"/>
    <s v="Standard"/>
    <s v="Rich Media In-Page Flash"/>
    <n v="4"/>
    <n v="0"/>
    <n v="0"/>
    <x v="0"/>
  </r>
  <r>
    <x v="21"/>
    <s v="Yahoo_BT_TECH_Video_300x250_KWT_AR"/>
    <x v="0"/>
    <s v="Standard"/>
    <s v="Rich Media In-Page Flash"/>
    <n v="1"/>
    <n v="0"/>
    <n v="0"/>
    <x v="0"/>
  </r>
  <r>
    <x v="21"/>
    <s v="Yahoo_BT_TECH_Video_300x250_KWT_AR"/>
    <x v="0"/>
    <s v="Standard"/>
    <s v="Rich Media In-Page Flash"/>
    <n v="1"/>
    <n v="0"/>
    <n v="0"/>
    <x v="0"/>
  </r>
  <r>
    <x v="21"/>
    <s v="Yahoo_BT_TECH_Video_300x250_KWT_EN"/>
    <x v="0"/>
    <s v="Standard"/>
    <s v="Rich Media In-Page Flash"/>
    <n v="1"/>
    <n v="0"/>
    <n v="0"/>
    <x v="1"/>
  </r>
  <r>
    <x v="21"/>
    <s v="Yahoo_BT_TECH_Video_300x250_OMN_AR"/>
    <x v="0"/>
    <s v="Standard"/>
    <s v="Rich Media In-Page Flash"/>
    <n v="2"/>
    <n v="0"/>
    <n v="0"/>
    <x v="0"/>
  </r>
  <r>
    <x v="21"/>
    <s v="Yahoo_BT_TECH_Video_300x250_OMN_AR"/>
    <x v="0"/>
    <s v="Standard"/>
    <s v="Rich Media In-Page Flash"/>
    <n v="1"/>
    <n v="0"/>
    <n v="0"/>
    <x v="0"/>
  </r>
  <r>
    <x v="21"/>
    <s v="Yahoo_BT_TECH_Video_300x250_OMN_EN"/>
    <x v="0"/>
    <s v="Default"/>
    <s v="Gif"/>
    <n v="1"/>
    <n v="0"/>
    <n v="0"/>
    <x v="1"/>
  </r>
  <r>
    <x v="21"/>
    <s v="Yahoo_BT_TECH_Video_300x250_OMN_EN"/>
    <x v="0"/>
    <s v="Standard"/>
    <s v="Rich Media In-Page Flash"/>
    <n v="2"/>
    <n v="1"/>
    <n v="0.5"/>
    <x v="1"/>
  </r>
  <r>
    <x v="21"/>
    <s v="Yahoo_BT_TECH_Video_300x250_QAT_AR"/>
    <x v="0"/>
    <s v="Default"/>
    <s v="Gif"/>
    <n v="1"/>
    <n v="0"/>
    <n v="0"/>
    <x v="0"/>
  </r>
  <r>
    <x v="21"/>
    <s v="Yahoo_BT_TECH_Video_300x250_QAT_AR"/>
    <x v="0"/>
    <s v="Default"/>
    <s v="Gif"/>
    <n v="1"/>
    <n v="0"/>
    <n v="0"/>
    <x v="0"/>
  </r>
  <r>
    <x v="21"/>
    <s v="Yahoo_BT_TECH_Video_300x250_QAT_AR"/>
    <x v="0"/>
    <s v="Standard"/>
    <s v="Rich Media In-Page Flash"/>
    <n v="1"/>
    <n v="1"/>
    <n v="1"/>
    <x v="0"/>
  </r>
  <r>
    <x v="21"/>
    <s v="Yahoo_BT_TECH_Video_300x250_QAT_EN"/>
    <x v="0"/>
    <s v="Standard"/>
    <s v="Rich Media In-Page Flash"/>
    <n v="1"/>
    <n v="1"/>
    <n v="1"/>
    <x v="1"/>
  </r>
  <r>
    <x v="21"/>
    <s v="Yahoo_BT_TECH_Video_300x250_QAT_EN"/>
    <x v="0"/>
    <s v="Standard"/>
    <s v="Rich Media In-Page Flash"/>
    <n v="1"/>
    <n v="0"/>
    <n v="0"/>
    <x v="1"/>
  </r>
  <r>
    <x v="21"/>
    <s v="Yahoo_BT_TECH_Video_300x250_QAT_EN"/>
    <x v="0"/>
    <s v="Standard"/>
    <s v="Rich Media In-Page Flash"/>
    <n v="1"/>
    <n v="0"/>
    <n v="0"/>
    <x v="1"/>
  </r>
  <r>
    <x v="21"/>
    <s v="Yahoo_BT_TECH_Video_300x250_UAE_AR"/>
    <x v="0"/>
    <s v="Standard"/>
    <s v="Rich Media In-Page Flash"/>
    <n v="15"/>
    <n v="0"/>
    <n v="0"/>
    <x v="0"/>
  </r>
  <r>
    <x v="21"/>
    <s v="Yahoo_BT_TECH_Video_300x250_UAE_AR"/>
    <x v="0"/>
    <s v="Standard"/>
    <s v="Rich Media In-Page Flash"/>
    <n v="2"/>
    <n v="0"/>
    <n v="0"/>
    <x v="0"/>
  </r>
  <r>
    <x v="21"/>
    <s v="Yahoo_BT_TECH_Video_300x250_UAE_AR"/>
    <x v="0"/>
    <s v="Standard"/>
    <s v="Rich Media In-Page Flash"/>
    <n v="4"/>
    <n v="0"/>
    <n v="0"/>
    <x v="0"/>
  </r>
  <r>
    <x v="21"/>
    <s v="Yahoo_BT_TECH_Video_300x250_UAE_AR"/>
    <x v="0"/>
    <s v="Standard"/>
    <s v="Rich Media In-Page Flash"/>
    <n v="12"/>
    <n v="0"/>
    <n v="0"/>
    <x v="0"/>
  </r>
  <r>
    <x v="21"/>
    <s v="Yahoo_BT_TECH_Video_300x250_UAE_AR"/>
    <x v="0"/>
    <s v="Standard"/>
    <s v="Rich Media In-Page Flash"/>
    <n v="4"/>
    <n v="0"/>
    <n v="0"/>
    <x v="0"/>
  </r>
  <r>
    <x v="21"/>
    <s v="Yahoo_BT_TECH_Video_300x250_UAE_EN"/>
    <x v="0"/>
    <s v="Standard"/>
    <s v="Rich Media In-Page Flash"/>
    <n v="1"/>
    <n v="1"/>
    <n v="1"/>
    <x v="1"/>
  </r>
  <r>
    <x v="21"/>
    <s v="Yahoo_BT_TECH_Video_300x250_UAE_EN"/>
    <x v="0"/>
    <s v="Standard"/>
    <s v="Rich Media In-Page Flash"/>
    <n v="1"/>
    <n v="0"/>
    <n v="0"/>
    <x v="1"/>
  </r>
  <r>
    <x v="21"/>
    <s v="Yahoo_Business_300x250_BHR_AR"/>
    <x v="0"/>
    <s v="Standard"/>
    <s v="Flash In-Page"/>
    <n v="735"/>
    <n v="5"/>
    <n v="6.8027210884353739E-3"/>
    <x v="0"/>
  </r>
  <r>
    <x v="21"/>
    <s v="Yahoo_Business_300x250_BHR_AR"/>
    <x v="0"/>
    <s v="Standard"/>
    <s v="Flash In-Page"/>
    <n v="2521"/>
    <n v="6"/>
    <n v="2.3800079333597779E-3"/>
    <x v="0"/>
  </r>
  <r>
    <x v="21"/>
    <s v="Yahoo_Business_300x250_BHR_AR"/>
    <x v="0"/>
    <s v="Standard"/>
    <s v="Flash In-Page"/>
    <n v="5203"/>
    <n v="9"/>
    <n v="1.7297712857966558E-3"/>
    <x v="0"/>
  </r>
  <r>
    <x v="21"/>
    <s v="Yahoo_Business_300x250_BHR_AR"/>
    <x v="0"/>
    <s v="Standard"/>
    <s v="Flash In-Page"/>
    <n v="7685"/>
    <n v="11"/>
    <n v="1.431359791802212E-3"/>
    <x v="0"/>
  </r>
  <r>
    <x v="21"/>
    <s v="Yahoo_Business_300x250_BHR_AR"/>
    <x v="0"/>
    <s v="Standard"/>
    <s v="Flash In-Page"/>
    <n v="4545"/>
    <n v="2"/>
    <n v="4.4004400440044003E-4"/>
    <x v="0"/>
  </r>
  <r>
    <x v="21"/>
    <s v="Yahoo_Business_300x250_BHR_EN"/>
    <x v="0"/>
    <s v="Standard"/>
    <s v="Flash In-Page"/>
    <n v="1161"/>
    <n v="8"/>
    <n v="6.8906115417743325E-3"/>
    <x v="1"/>
  </r>
  <r>
    <x v="21"/>
    <s v="Yahoo_Business_300x250_BHR_EN"/>
    <x v="0"/>
    <s v="Standard"/>
    <s v="Flash In-Page"/>
    <n v="4568"/>
    <n v="8"/>
    <n v="1.7513134851138354E-3"/>
    <x v="1"/>
  </r>
  <r>
    <x v="21"/>
    <s v="Yahoo_Business_300x250_BHR_EN"/>
    <x v="0"/>
    <s v="Standard"/>
    <s v="Flash In-Page"/>
    <n v="1889"/>
    <n v="4"/>
    <n v="2.1175224986765486E-3"/>
    <x v="1"/>
  </r>
  <r>
    <x v="21"/>
    <s v="Yahoo_Business_300x250_BHR_EN"/>
    <x v="0"/>
    <s v="Standard"/>
    <s v="Flash In-Page"/>
    <n v="5"/>
    <n v="3"/>
    <n v="0.6"/>
    <x v="1"/>
  </r>
  <r>
    <x v="21"/>
    <s v="Yahoo_Business_300x250_BHR_EN"/>
    <x v="0"/>
    <s v="Standard"/>
    <s v="Flash In-Page"/>
    <n v="3605"/>
    <n v="1"/>
    <n v="2.7739251040221914E-4"/>
    <x v="1"/>
  </r>
  <r>
    <x v="21"/>
    <s v="Yahoo_Business_300x250_KSA_AR"/>
    <x v="0"/>
    <s v="Default"/>
    <s v="Gif"/>
    <n v="13"/>
    <n v="0"/>
    <n v="0"/>
    <x v="0"/>
  </r>
  <r>
    <x v="21"/>
    <s v="Yahoo_Business_300x250_KSA_AR"/>
    <x v="0"/>
    <s v="Default"/>
    <s v="Gif"/>
    <n v="47"/>
    <n v="0"/>
    <n v="0"/>
    <x v="0"/>
  </r>
  <r>
    <x v="21"/>
    <s v="Yahoo_Business_300x250_KSA_AR"/>
    <x v="0"/>
    <s v="Default"/>
    <s v="Gif"/>
    <n v="39"/>
    <n v="0"/>
    <n v="0"/>
    <x v="0"/>
  </r>
  <r>
    <x v="21"/>
    <s v="Yahoo_Business_300x250_KSA_AR"/>
    <x v="0"/>
    <s v="Default"/>
    <s v="Gif"/>
    <n v="31"/>
    <n v="0"/>
    <n v="0"/>
    <x v="0"/>
  </r>
  <r>
    <x v="21"/>
    <s v="Yahoo_Business_300x250_KSA_AR"/>
    <x v="0"/>
    <s v="Default"/>
    <s v="Gif"/>
    <n v="38"/>
    <n v="0"/>
    <n v="0"/>
    <x v="0"/>
  </r>
  <r>
    <x v="21"/>
    <s v="Yahoo_Business_300x250_KSA_AR"/>
    <x v="0"/>
    <s v="Standard"/>
    <s v="Flash In-Page"/>
    <n v="11457"/>
    <n v="15"/>
    <n v="1.3092432573972245E-3"/>
    <x v="0"/>
  </r>
  <r>
    <x v="21"/>
    <s v="Yahoo_Business_300x250_KSA_AR"/>
    <x v="0"/>
    <s v="Standard"/>
    <s v="Flash In-Page"/>
    <n v="20057"/>
    <n v="30"/>
    <n v="1.4957371491249938E-3"/>
    <x v="0"/>
  </r>
  <r>
    <x v="21"/>
    <s v="Yahoo_Business_300x250_KSA_AR"/>
    <x v="0"/>
    <s v="Standard"/>
    <s v="Flash In-Page"/>
    <n v="17860"/>
    <n v="24"/>
    <n v="1.3437849944008958E-3"/>
    <x v="0"/>
  </r>
  <r>
    <x v="21"/>
    <s v="Yahoo_Business_300x250_KSA_AR"/>
    <x v="0"/>
    <s v="Standard"/>
    <s v="Flash In-Page"/>
    <n v="17533"/>
    <n v="23"/>
    <n v="1.3118120116352022E-3"/>
    <x v="0"/>
  </r>
  <r>
    <x v="21"/>
    <s v="Yahoo_Business_300x250_KSA_AR"/>
    <x v="0"/>
    <s v="Standard"/>
    <s v="Flash In-Page"/>
    <n v="18633"/>
    <n v="26"/>
    <n v="1.3953737991735094E-3"/>
    <x v="0"/>
  </r>
  <r>
    <x v="21"/>
    <s v="Yahoo_Business_300x250_KSA_EN"/>
    <x v="0"/>
    <s v="Default"/>
    <s v="Gif"/>
    <n v="23"/>
    <n v="0"/>
    <n v="0"/>
    <x v="1"/>
  </r>
  <r>
    <x v="21"/>
    <s v="Yahoo_Business_300x250_KSA_EN"/>
    <x v="0"/>
    <s v="Default"/>
    <s v="Gif"/>
    <n v="36"/>
    <n v="0"/>
    <n v="0"/>
    <x v="1"/>
  </r>
  <r>
    <x v="21"/>
    <s v="Yahoo_Business_300x250_KSA_EN"/>
    <x v="0"/>
    <s v="Default"/>
    <s v="Gif"/>
    <n v="19"/>
    <n v="0"/>
    <n v="0"/>
    <x v="1"/>
  </r>
  <r>
    <x v="21"/>
    <s v="Yahoo_Business_300x250_KSA_EN"/>
    <x v="0"/>
    <s v="Default"/>
    <s v="Gif"/>
    <n v="19"/>
    <n v="0"/>
    <n v="0"/>
    <x v="1"/>
  </r>
  <r>
    <x v="21"/>
    <s v="Yahoo_Business_300x250_KSA_EN"/>
    <x v="0"/>
    <s v="Default"/>
    <s v="Gif"/>
    <n v="29"/>
    <n v="0"/>
    <n v="0"/>
    <x v="1"/>
  </r>
  <r>
    <x v="21"/>
    <s v="Yahoo_Business_300x250_KSA_EN"/>
    <x v="0"/>
    <s v="Standard"/>
    <s v="Flash In-Page"/>
    <n v="5825"/>
    <n v="62"/>
    <n v="1.0643776824034334E-2"/>
    <x v="1"/>
  </r>
  <r>
    <x v="21"/>
    <s v="Yahoo_Business_300x250_KSA_EN"/>
    <x v="0"/>
    <s v="Standard"/>
    <s v="Flash In-Page"/>
    <n v="10533"/>
    <n v="106"/>
    <n v="1.0063609607898984E-2"/>
    <x v="1"/>
  </r>
  <r>
    <x v="21"/>
    <s v="Yahoo_Business_300x250_KSA_EN"/>
    <x v="0"/>
    <s v="Standard"/>
    <s v="Flash In-Page"/>
    <n v="8749"/>
    <n v="89"/>
    <n v="1.017259115327466E-2"/>
    <x v="1"/>
  </r>
  <r>
    <x v="21"/>
    <s v="Yahoo_Business_300x250_KSA_EN"/>
    <x v="0"/>
    <s v="Standard"/>
    <s v="Flash In-Page"/>
    <n v="6305"/>
    <n v="41"/>
    <n v="6.5027755749405237E-3"/>
    <x v="1"/>
  </r>
  <r>
    <x v="21"/>
    <s v="Yahoo_Business_300x250_KSA_EN"/>
    <x v="0"/>
    <s v="Standard"/>
    <s v="Flash In-Page"/>
    <n v="8670"/>
    <n v="56"/>
    <n v="6.4590542099192622E-3"/>
    <x v="1"/>
  </r>
  <r>
    <x v="21"/>
    <s v="Yahoo_Business_300x250_KWT_AR"/>
    <x v="0"/>
    <s v="Default"/>
    <s v="Gif"/>
    <n v="7"/>
    <n v="0"/>
    <n v="0"/>
    <x v="0"/>
  </r>
  <r>
    <x v="21"/>
    <s v="Yahoo_Business_300x250_KWT_AR"/>
    <x v="0"/>
    <s v="Default"/>
    <s v="Gif"/>
    <n v="4"/>
    <n v="0"/>
    <n v="0"/>
    <x v="0"/>
  </r>
  <r>
    <x v="21"/>
    <s v="Yahoo_Business_300x250_KWT_AR"/>
    <x v="0"/>
    <s v="Default"/>
    <s v="Gif"/>
    <n v="2"/>
    <n v="0"/>
    <n v="0"/>
    <x v="0"/>
  </r>
  <r>
    <x v="21"/>
    <s v="Yahoo_Business_300x250_KWT_AR"/>
    <x v="0"/>
    <s v="Standard"/>
    <s v="Flash In-Page"/>
    <n v="1095"/>
    <n v="4"/>
    <n v="3.6529680365296802E-3"/>
    <x v="0"/>
  </r>
  <r>
    <x v="21"/>
    <s v="Yahoo_Business_300x250_KWT_AR"/>
    <x v="0"/>
    <s v="Standard"/>
    <s v="Flash In-Page"/>
    <n v="1037"/>
    <n v="6"/>
    <n v="5.7859209257473485E-3"/>
    <x v="0"/>
  </r>
  <r>
    <x v="21"/>
    <s v="Yahoo_Business_300x250_KWT_AR"/>
    <x v="0"/>
    <s v="Standard"/>
    <s v="Flash In-Page"/>
    <n v="3207"/>
    <n v="7"/>
    <n v="2.1827252884315559E-3"/>
    <x v="0"/>
  </r>
  <r>
    <x v="21"/>
    <s v="Yahoo_Business_300x250_KWT_AR"/>
    <x v="0"/>
    <s v="Standard"/>
    <s v="Flash In-Page"/>
    <n v="3870"/>
    <n v="4"/>
    <n v="1.0335917312661498E-3"/>
    <x v="0"/>
  </r>
  <r>
    <x v="21"/>
    <s v="Yahoo_Business_300x250_KWT_AR"/>
    <x v="0"/>
    <s v="Standard"/>
    <s v="Flash In-Page"/>
    <n v="3052"/>
    <n v="3"/>
    <n v="9.8296199213630396E-4"/>
    <x v="0"/>
  </r>
  <r>
    <x v="21"/>
    <s v="Yahoo_Business_300x250_KWT_EN"/>
    <x v="0"/>
    <s v="Default"/>
    <s v="Gif"/>
    <n v="4"/>
    <n v="0"/>
    <n v="0"/>
    <x v="1"/>
  </r>
  <r>
    <x v="21"/>
    <s v="Yahoo_Business_300x250_KWT_EN"/>
    <x v="0"/>
    <s v="Default"/>
    <s v="Gif"/>
    <n v="5"/>
    <n v="0"/>
    <n v="0"/>
    <x v="1"/>
  </r>
  <r>
    <x v="21"/>
    <s v="Yahoo_Business_300x250_KWT_EN"/>
    <x v="0"/>
    <s v="Default"/>
    <s v="Gif"/>
    <n v="7"/>
    <n v="0"/>
    <n v="0"/>
    <x v="1"/>
  </r>
  <r>
    <x v="21"/>
    <s v="Yahoo_Business_300x250_KWT_EN"/>
    <x v="0"/>
    <s v="Default"/>
    <s v="Gif"/>
    <n v="11"/>
    <n v="0"/>
    <n v="0"/>
    <x v="1"/>
  </r>
  <r>
    <x v="21"/>
    <s v="Yahoo_Business_300x250_KWT_EN"/>
    <x v="0"/>
    <s v="Default"/>
    <s v="Gif"/>
    <n v="2"/>
    <n v="0"/>
    <n v="0"/>
    <x v="1"/>
  </r>
  <r>
    <x v="21"/>
    <s v="Yahoo_Business_300x250_KWT_EN"/>
    <x v="0"/>
    <s v="Standard"/>
    <s v="Flash In-Page"/>
    <n v="1553"/>
    <n v="9"/>
    <n v="5.7952350289761749E-3"/>
    <x v="1"/>
  </r>
  <r>
    <x v="21"/>
    <s v="Yahoo_Business_300x250_KWT_EN"/>
    <x v="0"/>
    <s v="Standard"/>
    <s v="Flash In-Page"/>
    <n v="2634"/>
    <n v="15"/>
    <n v="5.6947608200455585E-3"/>
    <x v="1"/>
  </r>
  <r>
    <x v="21"/>
    <s v="Yahoo_Business_300x250_KWT_EN"/>
    <x v="0"/>
    <s v="Standard"/>
    <s v="Flash In-Page"/>
    <n v="3107"/>
    <n v="23"/>
    <n v="7.402639201802382E-3"/>
    <x v="1"/>
  </r>
  <r>
    <x v="21"/>
    <s v="Yahoo_Business_300x250_KWT_EN"/>
    <x v="0"/>
    <s v="Standard"/>
    <s v="Flash In-Page"/>
    <n v="3106"/>
    <n v="20"/>
    <n v="6.4391500321957498E-3"/>
    <x v="1"/>
  </r>
  <r>
    <x v="21"/>
    <s v="Yahoo_Business_300x250_KWT_EN"/>
    <x v="0"/>
    <s v="Standard"/>
    <s v="Flash In-Page"/>
    <n v="1631"/>
    <n v="12"/>
    <n v="7.357449417535254E-3"/>
    <x v="1"/>
  </r>
  <r>
    <x v="21"/>
    <s v="Yahoo_Business_300x250_OMN_AR"/>
    <x v="0"/>
    <s v="Default"/>
    <s v="Gif"/>
    <n v="3"/>
    <n v="0"/>
    <n v="0"/>
    <x v="0"/>
  </r>
  <r>
    <x v="21"/>
    <s v="Yahoo_Business_300x250_OMN_AR"/>
    <x v="0"/>
    <s v="Default"/>
    <s v="Gif"/>
    <n v="2"/>
    <n v="0"/>
    <n v="0"/>
    <x v="0"/>
  </r>
  <r>
    <x v="21"/>
    <s v="Yahoo_Business_300x250_OMN_AR"/>
    <x v="0"/>
    <s v="Standard"/>
    <s v="Flash In-Page"/>
    <n v="753"/>
    <n v="6"/>
    <n v="7.9681274900398405E-3"/>
    <x v="0"/>
  </r>
  <r>
    <x v="21"/>
    <s v="Yahoo_Business_300x250_OMN_AR"/>
    <x v="0"/>
    <s v="Standard"/>
    <s v="Flash In-Page"/>
    <n v="4193"/>
    <n v="8"/>
    <n v="1.9079418077748629E-3"/>
    <x v="0"/>
  </r>
  <r>
    <x v="21"/>
    <s v="Yahoo_Business_300x250_OMN_AR"/>
    <x v="0"/>
    <s v="Standard"/>
    <s v="Flash In-Page"/>
    <n v="3607"/>
    <n v="3"/>
    <n v="8.3171610756861659E-4"/>
    <x v="0"/>
  </r>
  <r>
    <x v="21"/>
    <s v="Yahoo_Business_300x250_OMN_AR"/>
    <x v="0"/>
    <s v="Standard"/>
    <s v="Flash In-Page"/>
    <n v="3000"/>
    <n v="4"/>
    <n v="1.3333333333333333E-3"/>
    <x v="0"/>
  </r>
  <r>
    <x v="21"/>
    <s v="Yahoo_Business_300x250_OMN_AR"/>
    <x v="0"/>
    <s v="Standard"/>
    <s v="Flash In-Page"/>
    <n v="1139"/>
    <n v="0"/>
    <n v="0"/>
    <x v="0"/>
  </r>
  <r>
    <x v="21"/>
    <s v="Yahoo_Business_300x250_OMN_EN"/>
    <x v="0"/>
    <s v="Default"/>
    <s v="Gif"/>
    <n v="1"/>
    <n v="0"/>
    <n v="0"/>
    <x v="1"/>
  </r>
  <r>
    <x v="21"/>
    <s v="Yahoo_Business_300x250_OMN_EN"/>
    <x v="0"/>
    <s v="Default"/>
    <s v="Gif"/>
    <n v="1"/>
    <n v="0"/>
    <n v="0"/>
    <x v="1"/>
  </r>
  <r>
    <x v="21"/>
    <s v="Yahoo_Business_300x250_OMN_EN"/>
    <x v="0"/>
    <s v="Default"/>
    <s v="Gif"/>
    <n v="2"/>
    <n v="0"/>
    <n v="0"/>
    <x v="1"/>
  </r>
  <r>
    <x v="21"/>
    <s v="Yahoo_Business_300x250_OMN_EN"/>
    <x v="0"/>
    <s v="Standard"/>
    <s v="Flash In-Page"/>
    <n v="706"/>
    <n v="5"/>
    <n v="7.0821529745042494E-3"/>
    <x v="1"/>
  </r>
  <r>
    <x v="21"/>
    <s v="Yahoo_Business_300x250_OMN_EN"/>
    <x v="0"/>
    <s v="Standard"/>
    <s v="Flash In-Page"/>
    <n v="1719"/>
    <n v="13"/>
    <n v="7.5625363583478765E-3"/>
    <x v="1"/>
  </r>
  <r>
    <x v="21"/>
    <s v="Yahoo_Business_300x250_OMN_EN"/>
    <x v="0"/>
    <s v="Standard"/>
    <s v="Flash In-Page"/>
    <n v="1611"/>
    <n v="3"/>
    <n v="1.8621973929236499E-3"/>
    <x v="1"/>
  </r>
  <r>
    <x v="21"/>
    <s v="Yahoo_Business_300x250_OMN_EN"/>
    <x v="0"/>
    <s v="Standard"/>
    <s v="Flash In-Page"/>
    <n v="1550"/>
    <n v="18"/>
    <n v="1.1612903225806452E-2"/>
    <x v="1"/>
  </r>
  <r>
    <x v="21"/>
    <s v="Yahoo_Business_300x250_OMN_EN"/>
    <x v="0"/>
    <s v="Standard"/>
    <s v="Flash In-Page"/>
    <n v="1679"/>
    <n v="11"/>
    <n v="6.5515187611673619E-3"/>
    <x v="1"/>
  </r>
  <r>
    <x v="21"/>
    <s v="Yahoo_Business_300x250_OMN_EN"/>
    <x v="0"/>
    <s v="Standard"/>
    <s v="Flash In-Page"/>
    <n v="671"/>
    <n v="3"/>
    <n v="4.4709388971684054E-3"/>
    <x v="1"/>
  </r>
  <r>
    <x v="21"/>
    <s v="Yahoo_Business_300x250_OMN_EN"/>
    <x v="0"/>
    <s v="Standard"/>
    <s v="Flash In-Page"/>
    <n v="1708"/>
    <n v="7"/>
    <n v="4.0983606557377051E-3"/>
    <x v="1"/>
  </r>
  <r>
    <x v="21"/>
    <s v="Yahoo_Business_300x250_OMN_EN"/>
    <x v="0"/>
    <s v="Standard"/>
    <s v="Flash In-Page"/>
    <n v="1591"/>
    <n v="16"/>
    <n v="1.005656819610308E-2"/>
    <x v="1"/>
  </r>
  <r>
    <x v="21"/>
    <s v="Yahoo_Business_300x250_OMN_EN"/>
    <x v="0"/>
    <s v="Standard"/>
    <s v="Flash In-Page"/>
    <n v="1559"/>
    <n v="14"/>
    <n v="8.9801154586273257E-3"/>
    <x v="1"/>
  </r>
  <r>
    <x v="21"/>
    <s v="Yahoo_Business_300x250_OMN_EN"/>
    <x v="0"/>
    <s v="Standard"/>
    <s v="Flash In-Page"/>
    <n v="1673"/>
    <n v="8"/>
    <n v="4.781829049611476E-3"/>
    <x v="1"/>
  </r>
  <r>
    <x v="21"/>
    <s v="Yahoo_Business_300x250_QAT_AR"/>
    <x v="0"/>
    <s v="Default"/>
    <s v="Gif"/>
    <n v="2"/>
    <n v="0"/>
    <n v="0"/>
    <x v="0"/>
  </r>
  <r>
    <x v="21"/>
    <s v="Yahoo_Business_300x250_QAT_AR"/>
    <x v="0"/>
    <s v="Default"/>
    <s v="Gif"/>
    <n v="3"/>
    <n v="0"/>
    <n v="0"/>
    <x v="0"/>
  </r>
  <r>
    <x v="21"/>
    <s v="Yahoo_Business_300x250_QAT_AR"/>
    <x v="0"/>
    <s v="Default"/>
    <s v="Gif"/>
    <n v="1"/>
    <n v="0"/>
    <n v="0"/>
    <x v="0"/>
  </r>
  <r>
    <x v="21"/>
    <s v="Yahoo_Business_300x250_QAT_AR"/>
    <x v="0"/>
    <s v="Standard"/>
    <s v="Flash In-Page"/>
    <n v="1258"/>
    <n v="6"/>
    <n v="4.7694753577106515E-3"/>
    <x v="0"/>
  </r>
  <r>
    <x v="21"/>
    <s v="Yahoo_Business_300x250_QAT_AR"/>
    <x v="0"/>
    <s v="Standard"/>
    <s v="Flash In-Page"/>
    <n v="2521"/>
    <n v="9"/>
    <n v="3.5700119000396666E-3"/>
    <x v="0"/>
  </r>
  <r>
    <x v="21"/>
    <s v="Yahoo_Business_300x250_QAT_AR"/>
    <x v="0"/>
    <s v="Standard"/>
    <s v="Flash In-Page"/>
    <n v="2959"/>
    <n v="6"/>
    <n v="2.0277120648867861E-3"/>
    <x v="0"/>
  </r>
  <r>
    <x v="21"/>
    <s v="Yahoo_Business_300x250_QAT_AR"/>
    <x v="0"/>
    <s v="Standard"/>
    <s v="Flash In-Page"/>
    <n v="1794"/>
    <n v="6"/>
    <n v="3.3444816053511705E-3"/>
    <x v="0"/>
  </r>
  <r>
    <x v="21"/>
    <s v="Yahoo_Business_300x250_QAT_AR"/>
    <x v="0"/>
    <s v="Standard"/>
    <s v="Flash In-Page"/>
    <n v="1093"/>
    <n v="0"/>
    <n v="0"/>
    <x v="0"/>
  </r>
  <r>
    <x v="21"/>
    <s v="Yahoo_Business_300x250_QAT_EN"/>
    <x v="0"/>
    <s v="Default"/>
    <s v="Gif"/>
    <n v="1"/>
    <n v="0"/>
    <n v="0"/>
    <x v="1"/>
  </r>
  <r>
    <x v="21"/>
    <s v="Yahoo_Business_300x250_QAT_EN"/>
    <x v="0"/>
    <s v="Default"/>
    <s v="Gif"/>
    <n v="2"/>
    <n v="0"/>
    <n v="0"/>
    <x v="1"/>
  </r>
  <r>
    <x v="21"/>
    <s v="Yahoo_Business_300x250_QAT_EN"/>
    <x v="0"/>
    <s v="Default"/>
    <s v="Gif"/>
    <n v="2"/>
    <n v="0"/>
    <n v="0"/>
    <x v="1"/>
  </r>
  <r>
    <x v="21"/>
    <s v="Yahoo_Business_300x250_QAT_EN"/>
    <x v="0"/>
    <s v="Standard"/>
    <s v="Flash In-Page"/>
    <n v="1673"/>
    <n v="12"/>
    <n v="7.1727435744172148E-3"/>
    <x v="1"/>
  </r>
  <r>
    <x v="21"/>
    <s v="Yahoo_Business_300x250_QAT_EN"/>
    <x v="0"/>
    <s v="Standard"/>
    <s v="Flash In-Page"/>
    <n v="2555"/>
    <n v="13"/>
    <n v="5.0880626223091981E-3"/>
    <x v="1"/>
  </r>
  <r>
    <x v="21"/>
    <s v="Yahoo_Business_300x250_QAT_EN"/>
    <x v="0"/>
    <s v="Standard"/>
    <s v="Flash In-Page"/>
    <n v="2488"/>
    <n v="22"/>
    <n v="8.8424437299035371E-3"/>
    <x v="1"/>
  </r>
  <r>
    <x v="21"/>
    <s v="Yahoo_Business_300x250_QAT_EN"/>
    <x v="0"/>
    <s v="Standard"/>
    <s v="Flash In-Page"/>
    <n v="3039"/>
    <n v="9"/>
    <n v="2.9615004935834156E-3"/>
    <x v="1"/>
  </r>
  <r>
    <x v="21"/>
    <s v="Yahoo_Business_300x250_QAT_EN"/>
    <x v="0"/>
    <s v="Standard"/>
    <s v="Flash In-Page"/>
    <n v="1589"/>
    <n v="6"/>
    <n v="3.775959723096287E-3"/>
    <x v="1"/>
  </r>
  <r>
    <x v="21"/>
    <s v="Yahoo_Business_300x250_UAE_AR"/>
    <x v="0"/>
    <s v="Default"/>
    <s v="Gif"/>
    <n v="1"/>
    <n v="0"/>
    <n v="0"/>
    <x v="0"/>
  </r>
  <r>
    <x v="21"/>
    <s v="Yahoo_Business_300x250_UAE_AR"/>
    <x v="0"/>
    <s v="Standard"/>
    <s v="Flash In-Page"/>
    <n v="2994"/>
    <n v="6"/>
    <n v="2.004008016032064E-3"/>
    <x v="0"/>
  </r>
  <r>
    <x v="21"/>
    <s v="Yahoo_Business_300x250_UAE_AR"/>
    <x v="0"/>
    <s v="Standard"/>
    <s v="Flash In-Page"/>
    <n v="4698"/>
    <n v="12"/>
    <n v="2.554278416347382E-3"/>
    <x v="0"/>
  </r>
  <r>
    <x v="21"/>
    <s v="Yahoo_Business_300x250_UAE_AR"/>
    <x v="0"/>
    <s v="Standard"/>
    <s v="Flash In-Page"/>
    <n v="3815"/>
    <n v="8"/>
    <n v="2.0969855832241153E-3"/>
    <x v="0"/>
  </r>
  <r>
    <x v="21"/>
    <s v="Yahoo_Business_300x250_UAE_AR"/>
    <x v="0"/>
    <s v="Standard"/>
    <s v="Flash In-Page"/>
    <n v="2573"/>
    <n v="5"/>
    <n v="1.94325689856199E-3"/>
    <x v="0"/>
  </r>
  <r>
    <x v="21"/>
    <s v="Yahoo_Business_300x250_UAE_AR"/>
    <x v="0"/>
    <s v="Standard"/>
    <s v="Flash In-Page"/>
    <n v="3369"/>
    <n v="3"/>
    <n v="8.9047195013357077E-4"/>
    <x v="0"/>
  </r>
  <r>
    <x v="21"/>
    <s v="Yahoo_Business_300x250_UAE_EN"/>
    <x v="0"/>
    <s v="Default"/>
    <s v="Gif"/>
    <n v="9"/>
    <n v="0"/>
    <n v="0"/>
    <x v="1"/>
  </r>
  <r>
    <x v="21"/>
    <s v="Yahoo_Business_300x250_UAE_EN"/>
    <x v="0"/>
    <s v="Default"/>
    <s v="Gif"/>
    <n v="15"/>
    <n v="0"/>
    <n v="0"/>
    <x v="1"/>
  </r>
  <r>
    <x v="21"/>
    <s v="Yahoo_Business_300x250_UAE_EN"/>
    <x v="0"/>
    <s v="Default"/>
    <s v="Gif"/>
    <n v="11"/>
    <n v="0"/>
    <n v="0"/>
    <x v="1"/>
  </r>
  <r>
    <x v="21"/>
    <s v="Yahoo_Business_300x250_UAE_EN"/>
    <x v="0"/>
    <s v="Default"/>
    <s v="Gif"/>
    <n v="14"/>
    <n v="0"/>
    <n v="0"/>
    <x v="1"/>
  </r>
  <r>
    <x v="21"/>
    <s v="Yahoo_Business_300x250_UAE_EN"/>
    <x v="0"/>
    <s v="Default"/>
    <s v="Gif"/>
    <n v="4"/>
    <n v="0"/>
    <n v="0"/>
    <x v="1"/>
  </r>
  <r>
    <x v="21"/>
    <s v="Yahoo_Business_300x250_UAE_EN"/>
    <x v="0"/>
    <s v="Standard"/>
    <s v="Flash In-Page"/>
    <n v="10693"/>
    <n v="26"/>
    <n v="2.4314972411858225E-3"/>
    <x v="1"/>
  </r>
  <r>
    <x v="21"/>
    <s v="Yahoo_Business_300x250_UAE_EN"/>
    <x v="0"/>
    <s v="Standard"/>
    <s v="Flash In-Page"/>
    <n v="21766"/>
    <n v="74"/>
    <n v="3.3997978498575762E-3"/>
    <x v="1"/>
  </r>
  <r>
    <x v="21"/>
    <s v="Yahoo_Business_300x250_UAE_EN"/>
    <x v="0"/>
    <s v="Standard"/>
    <s v="Flash In-Page"/>
    <n v="14709"/>
    <n v="55"/>
    <n v="3.7392072880549324E-3"/>
    <x v="1"/>
  </r>
  <r>
    <x v="21"/>
    <s v="Yahoo_Business_300x250_UAE_EN"/>
    <x v="0"/>
    <s v="Standard"/>
    <s v="Flash In-Page"/>
    <n v="9865"/>
    <n v="42"/>
    <n v="4.2574759249873291E-3"/>
    <x v="1"/>
  </r>
  <r>
    <x v="21"/>
    <s v="Yahoo_Business_300x250_UAE_EN"/>
    <x v="0"/>
    <s v="Standard"/>
    <s v="Flash In-Page"/>
    <n v="4415"/>
    <n v="19"/>
    <n v="4.3035107587768972E-3"/>
    <x v="1"/>
  </r>
  <r>
    <x v="21"/>
    <s v="Yahoo_Business_728x270_BHR_AR"/>
    <x v="1"/>
    <s v="Default"/>
    <s v="Gif"/>
    <n v="3"/>
    <n v="0"/>
    <n v="0"/>
    <x v="0"/>
  </r>
  <r>
    <x v="21"/>
    <s v="Yahoo_Business_728x270_BHR_AR"/>
    <x v="1"/>
    <s v="Default"/>
    <s v="Gif"/>
    <n v="1"/>
    <n v="0"/>
    <n v="0"/>
    <x v="0"/>
  </r>
  <r>
    <x v="21"/>
    <s v="Yahoo_Business_728x270_BHR_AR"/>
    <x v="1"/>
    <s v="Default"/>
    <s v="Gif"/>
    <n v="6"/>
    <n v="0"/>
    <n v="0"/>
    <x v="0"/>
  </r>
  <r>
    <x v="21"/>
    <s v="Yahoo_Business_728x270_BHR_AR"/>
    <x v="1"/>
    <s v="Default"/>
    <s v="Gif"/>
    <n v="8"/>
    <n v="0"/>
    <n v="0"/>
    <x v="0"/>
  </r>
  <r>
    <x v="21"/>
    <s v="Yahoo_Business_728x270_BHR_AR"/>
    <x v="1"/>
    <s v="Default"/>
    <s v="Gif"/>
    <n v="8"/>
    <n v="0"/>
    <n v="0"/>
    <x v="0"/>
  </r>
  <r>
    <x v="21"/>
    <s v="Yahoo_Business_728x270_BHR_AR"/>
    <x v="1"/>
    <s v="Standard"/>
    <s v="Rich Media Expandable"/>
    <n v="1665"/>
    <n v="1"/>
    <n v="6.0060060060060057E-4"/>
    <x v="0"/>
  </r>
  <r>
    <x v="21"/>
    <s v="Yahoo_Business_728x270_BHR_AR"/>
    <x v="1"/>
    <s v="Standard"/>
    <s v="Rich Media Expandable"/>
    <n v="2949"/>
    <n v="0"/>
    <n v="0"/>
    <x v="0"/>
  </r>
  <r>
    <x v="21"/>
    <s v="Yahoo_Business_728x270_BHR_AR"/>
    <x v="1"/>
    <s v="Standard"/>
    <s v="Rich Media Expandable"/>
    <n v="3808"/>
    <n v="4"/>
    <n v="1.0504201680672268E-3"/>
    <x v="0"/>
  </r>
  <r>
    <x v="21"/>
    <s v="Yahoo_Business_728x270_BHR_AR"/>
    <x v="1"/>
    <s v="Standard"/>
    <s v="Rich Media Expandable"/>
    <n v="6129"/>
    <n v="1"/>
    <n v="1.6315875346712352E-4"/>
    <x v="0"/>
  </r>
  <r>
    <x v="21"/>
    <s v="Yahoo_Business_728x270_BHR_AR"/>
    <x v="1"/>
    <s v="Standard"/>
    <s v="Rich Media Expandable"/>
    <n v="2552"/>
    <n v="0"/>
    <n v="0"/>
    <x v="0"/>
  </r>
  <r>
    <x v="21"/>
    <s v="Yahoo_Business_728x270_BHR_EN"/>
    <x v="1"/>
    <s v="Default"/>
    <s v="Gif"/>
    <n v="1"/>
    <n v="0"/>
    <n v="0"/>
    <x v="1"/>
  </r>
  <r>
    <x v="21"/>
    <s v="Yahoo_Business_728x270_BHR_EN"/>
    <x v="1"/>
    <s v="Default"/>
    <s v="Gif"/>
    <n v="1"/>
    <n v="0"/>
    <n v="0"/>
    <x v="1"/>
  </r>
  <r>
    <x v="21"/>
    <s v="Yahoo_Business_728x270_BHR_EN"/>
    <x v="1"/>
    <s v="Default"/>
    <s v="Gif"/>
    <n v="3"/>
    <n v="0"/>
    <n v="0"/>
    <x v="1"/>
  </r>
  <r>
    <x v="21"/>
    <s v="Yahoo_Business_728x270_BHR_EN"/>
    <x v="1"/>
    <s v="Default"/>
    <s v="Gif"/>
    <n v="8"/>
    <n v="0"/>
    <n v="0"/>
    <x v="1"/>
  </r>
  <r>
    <x v="21"/>
    <s v="Yahoo_Business_728x270_BHR_EN"/>
    <x v="1"/>
    <s v="Default"/>
    <s v="Gif"/>
    <n v="18"/>
    <n v="0"/>
    <n v="0"/>
    <x v="1"/>
  </r>
  <r>
    <x v="21"/>
    <s v="Yahoo_Business_728x270_BHR_EN"/>
    <x v="1"/>
    <s v="Standard"/>
    <s v="Rich Media Expandable"/>
    <n v="1362"/>
    <n v="0"/>
    <n v="0"/>
    <x v="1"/>
  </r>
  <r>
    <x v="21"/>
    <s v="Yahoo_Business_728x270_BHR_EN"/>
    <x v="1"/>
    <s v="Standard"/>
    <s v="Rich Media Expandable"/>
    <n v="4192"/>
    <n v="1"/>
    <n v="2.3854961832061068E-4"/>
    <x v="1"/>
  </r>
  <r>
    <x v="21"/>
    <s v="Yahoo_Business_728x270_BHR_EN"/>
    <x v="1"/>
    <s v="Standard"/>
    <s v="Rich Media Expandable"/>
    <n v="3956"/>
    <n v="0"/>
    <n v="0"/>
    <x v="1"/>
  </r>
  <r>
    <x v="21"/>
    <s v="Yahoo_Business_728x270_BHR_EN"/>
    <x v="1"/>
    <s v="Standard"/>
    <s v="Rich Media Expandable"/>
    <n v="2835"/>
    <n v="0"/>
    <n v="0"/>
    <x v="1"/>
  </r>
  <r>
    <x v="21"/>
    <s v="Yahoo_Business_728x270_BHR_EN"/>
    <x v="1"/>
    <s v="Standard"/>
    <s v="Rich Media Expandable"/>
    <n v="3224"/>
    <n v="0"/>
    <n v="0"/>
    <x v="1"/>
  </r>
  <r>
    <x v="21"/>
    <s v="Yahoo_Business_728x270_KSA_AR"/>
    <x v="1"/>
    <s v="Default"/>
    <s v="Gif"/>
    <n v="113"/>
    <n v="0"/>
    <n v="0"/>
    <x v="0"/>
  </r>
  <r>
    <x v="21"/>
    <s v="Yahoo_Business_728x270_KSA_AR"/>
    <x v="1"/>
    <s v="Default"/>
    <s v="Gif"/>
    <n v="205"/>
    <n v="0"/>
    <n v="0"/>
    <x v="0"/>
  </r>
  <r>
    <x v="21"/>
    <s v="Yahoo_Business_728x270_KSA_AR"/>
    <x v="1"/>
    <s v="Default"/>
    <s v="Gif"/>
    <n v="249"/>
    <n v="0"/>
    <n v="0"/>
    <x v="0"/>
  </r>
  <r>
    <x v="21"/>
    <s v="Yahoo_Business_728x270_KSA_AR"/>
    <x v="1"/>
    <s v="Default"/>
    <s v="Gif"/>
    <n v="211"/>
    <n v="0"/>
    <n v="0"/>
    <x v="0"/>
  </r>
  <r>
    <x v="21"/>
    <s v="Yahoo_Business_728x270_KSA_AR"/>
    <x v="1"/>
    <s v="Default"/>
    <s v="Gif"/>
    <n v="229"/>
    <n v="0"/>
    <n v="0"/>
    <x v="0"/>
  </r>
  <r>
    <x v="21"/>
    <s v="Yahoo_Business_728x270_KSA_AR"/>
    <x v="1"/>
    <s v="Standard"/>
    <s v="Rich Media Expandable"/>
    <n v="9259"/>
    <n v="0"/>
    <n v="0"/>
    <x v="0"/>
  </r>
  <r>
    <x v="21"/>
    <s v="Yahoo_Business_728x270_KSA_AR"/>
    <x v="1"/>
    <s v="Standard"/>
    <s v="Rich Media Expandable"/>
    <n v="18398"/>
    <n v="9"/>
    <n v="4.8918360691379496E-4"/>
    <x v="0"/>
  </r>
  <r>
    <x v="21"/>
    <s v="Yahoo_Business_728x270_KSA_AR"/>
    <x v="1"/>
    <s v="Standard"/>
    <s v="Rich Media Expandable"/>
    <n v="22859"/>
    <n v="4"/>
    <n v="1.7498578240517958E-4"/>
    <x v="0"/>
  </r>
  <r>
    <x v="21"/>
    <s v="Yahoo_Business_728x270_KSA_AR"/>
    <x v="1"/>
    <s v="Standard"/>
    <s v="Rich Media Expandable"/>
    <n v="18690"/>
    <n v="3"/>
    <n v="1.6051364365971107E-4"/>
    <x v="0"/>
  </r>
  <r>
    <x v="21"/>
    <s v="Yahoo_Business_728x270_KSA_AR"/>
    <x v="1"/>
    <s v="Standard"/>
    <s v="Rich Media Expandable"/>
    <n v="19388"/>
    <n v="3"/>
    <n v="1.5473488755931504E-4"/>
    <x v="0"/>
  </r>
  <r>
    <x v="21"/>
    <s v="Yahoo_Business_728x270_KSA_EN"/>
    <x v="1"/>
    <s v="Default"/>
    <s v="Gif"/>
    <n v="39"/>
    <n v="0"/>
    <n v="0"/>
    <x v="1"/>
  </r>
  <r>
    <x v="21"/>
    <s v="Yahoo_Business_728x270_KSA_EN"/>
    <x v="1"/>
    <s v="Default"/>
    <s v="Gif"/>
    <n v="49"/>
    <n v="0"/>
    <n v="0"/>
    <x v="1"/>
  </r>
  <r>
    <x v="21"/>
    <s v="Yahoo_Business_728x270_KSA_EN"/>
    <x v="1"/>
    <s v="Default"/>
    <s v="Gif"/>
    <n v="64"/>
    <n v="0"/>
    <n v="0"/>
    <x v="1"/>
  </r>
  <r>
    <x v="21"/>
    <s v="Yahoo_Business_728x270_KSA_EN"/>
    <x v="1"/>
    <s v="Default"/>
    <s v="Gif"/>
    <n v="151"/>
    <n v="0"/>
    <n v="0"/>
    <x v="1"/>
  </r>
  <r>
    <x v="21"/>
    <s v="Yahoo_Business_728x270_KSA_EN"/>
    <x v="1"/>
    <s v="Default"/>
    <s v="Gif"/>
    <n v="105"/>
    <n v="0"/>
    <n v="0"/>
    <x v="1"/>
  </r>
  <r>
    <x v="21"/>
    <s v="Yahoo_Business_728x270_KSA_EN"/>
    <x v="1"/>
    <s v="Standard"/>
    <s v="Rich Media Expandable"/>
    <n v="4561"/>
    <n v="0"/>
    <n v="0"/>
    <x v="1"/>
  </r>
  <r>
    <x v="21"/>
    <s v="Yahoo_Business_728x270_KSA_EN"/>
    <x v="1"/>
    <s v="Standard"/>
    <s v="Rich Media Expandable"/>
    <n v="6552"/>
    <n v="2"/>
    <n v="3.0525030525030525E-4"/>
    <x v="1"/>
  </r>
  <r>
    <x v="21"/>
    <s v="Yahoo_Business_728x270_KSA_EN"/>
    <x v="1"/>
    <s v="Standard"/>
    <s v="Rich Media Expandable"/>
    <n v="7222"/>
    <n v="0"/>
    <n v="0"/>
    <x v="1"/>
  </r>
  <r>
    <x v="21"/>
    <s v="Yahoo_Business_728x270_KSA_EN"/>
    <x v="1"/>
    <s v="Standard"/>
    <s v="Rich Media Expandable"/>
    <n v="9622"/>
    <n v="2"/>
    <n v="2.0785699438786114E-4"/>
    <x v="1"/>
  </r>
  <r>
    <x v="21"/>
    <s v="Yahoo_Business_728x270_KSA_EN"/>
    <x v="1"/>
    <s v="Standard"/>
    <s v="Rich Media Expandable"/>
    <n v="9260"/>
    <n v="4"/>
    <n v="4.3196544276457883E-4"/>
    <x v="1"/>
  </r>
  <r>
    <x v="21"/>
    <s v="Yahoo_Business_728x270_KWT_AR"/>
    <x v="1"/>
    <s v="Default"/>
    <s v="Gif"/>
    <n v="18"/>
    <n v="0"/>
    <n v="0"/>
    <x v="0"/>
  </r>
  <r>
    <x v="21"/>
    <s v="Yahoo_Business_728x270_KWT_AR"/>
    <x v="1"/>
    <s v="Default"/>
    <s v="Gif"/>
    <n v="9"/>
    <n v="0"/>
    <n v="0"/>
    <x v="0"/>
  </r>
  <r>
    <x v="21"/>
    <s v="Yahoo_Business_728x270_KWT_AR"/>
    <x v="1"/>
    <s v="Default"/>
    <s v="Gif"/>
    <n v="23"/>
    <n v="0"/>
    <n v="0"/>
    <x v="0"/>
  </r>
  <r>
    <x v="21"/>
    <s v="Yahoo_Business_728x270_KWT_AR"/>
    <x v="1"/>
    <s v="Default"/>
    <s v="Gif"/>
    <n v="30"/>
    <n v="0"/>
    <n v="0"/>
    <x v="0"/>
  </r>
  <r>
    <x v="21"/>
    <s v="Yahoo_Business_728x270_KWT_AR"/>
    <x v="1"/>
    <s v="Default"/>
    <s v="Gif"/>
    <n v="18"/>
    <n v="0"/>
    <n v="0"/>
    <x v="0"/>
  </r>
  <r>
    <x v="21"/>
    <s v="Yahoo_Business_728x270_KWT_AR"/>
    <x v="1"/>
    <s v="Standard"/>
    <s v="Rich Media Expandable"/>
    <n v="1397"/>
    <n v="0"/>
    <n v="0"/>
    <x v="0"/>
  </r>
  <r>
    <x v="21"/>
    <s v="Yahoo_Business_728x270_KWT_AR"/>
    <x v="1"/>
    <s v="Standard"/>
    <s v="Rich Media Expandable"/>
    <n v="2052"/>
    <n v="0"/>
    <n v="0"/>
    <x v="0"/>
  </r>
  <r>
    <x v="21"/>
    <s v="Yahoo_Business_728x270_KWT_AR"/>
    <x v="1"/>
    <s v="Standard"/>
    <s v="Rich Media Expandable"/>
    <n v="3532"/>
    <n v="0"/>
    <n v="0"/>
    <x v="0"/>
  </r>
  <r>
    <x v="21"/>
    <s v="Yahoo_Business_728x270_KWT_AR"/>
    <x v="1"/>
    <s v="Standard"/>
    <s v="Rich Media Expandable"/>
    <n v="4114"/>
    <n v="1"/>
    <n v="2.4307243558580456E-4"/>
    <x v="0"/>
  </r>
  <r>
    <x v="21"/>
    <s v="Yahoo_Business_728x270_KWT_AR"/>
    <x v="1"/>
    <s v="Standard"/>
    <s v="Rich Media Expandable"/>
    <n v="3918"/>
    <n v="0"/>
    <n v="0"/>
    <x v="0"/>
  </r>
  <r>
    <x v="21"/>
    <s v="Yahoo_Business_728x270_KWT_EN"/>
    <x v="1"/>
    <s v="Default"/>
    <s v="Gif"/>
    <n v="8"/>
    <n v="0"/>
    <n v="0"/>
    <x v="1"/>
  </r>
  <r>
    <x v="21"/>
    <s v="Yahoo_Business_728x270_KWT_EN"/>
    <x v="1"/>
    <s v="Default"/>
    <s v="Gif"/>
    <n v="9"/>
    <n v="0"/>
    <n v="0"/>
    <x v="1"/>
  </r>
  <r>
    <x v="21"/>
    <s v="Yahoo_Business_728x270_KWT_EN"/>
    <x v="1"/>
    <s v="Default"/>
    <s v="Gif"/>
    <n v="2"/>
    <n v="0"/>
    <n v="0"/>
    <x v="1"/>
  </r>
  <r>
    <x v="21"/>
    <s v="Yahoo_Business_728x270_KWT_EN"/>
    <x v="1"/>
    <s v="Default"/>
    <s v="Gif"/>
    <n v="28"/>
    <n v="0"/>
    <n v="0"/>
    <x v="1"/>
  </r>
  <r>
    <x v="21"/>
    <s v="Yahoo_Business_728x270_KWT_EN"/>
    <x v="1"/>
    <s v="Default"/>
    <s v="Gif"/>
    <n v="20"/>
    <n v="0"/>
    <n v="0"/>
    <x v="1"/>
  </r>
  <r>
    <x v="21"/>
    <s v="Yahoo_Business_728x270_KWT_EN"/>
    <x v="1"/>
    <s v="Standard"/>
    <s v="Rich Media Expandable"/>
    <n v="969"/>
    <n v="0"/>
    <n v="0"/>
    <x v="1"/>
  </r>
  <r>
    <x v="21"/>
    <s v="Yahoo_Business_728x270_KWT_EN"/>
    <x v="1"/>
    <s v="Standard"/>
    <s v="Rich Media Expandable"/>
    <n v="1224"/>
    <n v="0"/>
    <n v="0"/>
    <x v="1"/>
  </r>
  <r>
    <x v="21"/>
    <s v="Yahoo_Business_728x270_KWT_EN"/>
    <x v="1"/>
    <s v="Standard"/>
    <s v="Rich Media Expandable"/>
    <n v="1815"/>
    <n v="0"/>
    <n v="0"/>
    <x v="1"/>
  </r>
  <r>
    <x v="21"/>
    <s v="Yahoo_Business_728x270_KWT_EN"/>
    <x v="1"/>
    <s v="Standard"/>
    <s v="Rich Media Expandable"/>
    <n v="4556"/>
    <n v="0"/>
    <n v="0"/>
    <x v="1"/>
  </r>
  <r>
    <x v="21"/>
    <s v="Yahoo_Business_728x270_KWT_EN"/>
    <x v="1"/>
    <s v="Standard"/>
    <s v="Rich Media Expandable"/>
    <n v="2491"/>
    <n v="0"/>
    <n v="0"/>
    <x v="1"/>
  </r>
  <r>
    <x v="21"/>
    <s v="Yahoo_Business_728x270_OMN_AR"/>
    <x v="1"/>
    <s v="Default"/>
    <s v="Gif"/>
    <n v="12"/>
    <n v="0"/>
    <n v="0"/>
    <x v="0"/>
  </r>
  <r>
    <x v="21"/>
    <s v="Yahoo_Business_728x270_OMN_AR"/>
    <x v="1"/>
    <s v="Default"/>
    <s v="Gif"/>
    <n v="14"/>
    <n v="0"/>
    <n v="0"/>
    <x v="0"/>
  </r>
  <r>
    <x v="21"/>
    <s v="Yahoo_Business_728x270_OMN_AR"/>
    <x v="1"/>
    <s v="Default"/>
    <s v="Gif"/>
    <n v="5"/>
    <n v="0"/>
    <n v="0"/>
    <x v="0"/>
  </r>
  <r>
    <x v="21"/>
    <s v="Yahoo_Business_728x270_OMN_AR"/>
    <x v="1"/>
    <s v="Default"/>
    <s v="Gif"/>
    <n v="5"/>
    <n v="0"/>
    <n v="0"/>
    <x v="0"/>
  </r>
  <r>
    <x v="21"/>
    <s v="Yahoo_Business_728x270_OMN_AR"/>
    <x v="1"/>
    <s v="Standard"/>
    <s v="Rich Media Expandable"/>
    <n v="1152"/>
    <n v="0"/>
    <n v="0"/>
    <x v="0"/>
  </r>
  <r>
    <x v="21"/>
    <s v="Yahoo_Business_728x270_OMN_AR"/>
    <x v="1"/>
    <s v="Standard"/>
    <s v="Rich Media Expandable"/>
    <n v="6002"/>
    <n v="1"/>
    <n v="1.6661112962345885E-4"/>
    <x v="0"/>
  </r>
  <r>
    <x v="21"/>
    <s v="Yahoo_Business_728x270_OMN_AR"/>
    <x v="1"/>
    <s v="Standard"/>
    <s v="Rich Media Expandable"/>
    <n v="2836"/>
    <n v="2"/>
    <n v="7.0521861777150916E-4"/>
    <x v="0"/>
  </r>
  <r>
    <x v="21"/>
    <s v="Yahoo_Business_728x270_OMN_AR"/>
    <x v="1"/>
    <s v="Standard"/>
    <s v="Rich Media Expandable"/>
    <n v="2801"/>
    <n v="0"/>
    <n v="0"/>
    <x v="0"/>
  </r>
  <r>
    <x v="21"/>
    <s v="Yahoo_Business_728x270_OMN_AR"/>
    <x v="1"/>
    <s v="Standard"/>
    <s v="Rich Media Expandable"/>
    <n v="4230"/>
    <n v="1"/>
    <n v="2.3640661938534278E-4"/>
    <x v="0"/>
  </r>
  <r>
    <x v="21"/>
    <s v="Yahoo_Business_728x270_OMN_EN"/>
    <x v="1"/>
    <s v="Default"/>
    <s v="Gif"/>
    <n v="1"/>
    <n v="0"/>
    <n v="0"/>
    <x v="1"/>
  </r>
  <r>
    <x v="21"/>
    <s v="Yahoo_Business_728x270_OMN_EN"/>
    <x v="1"/>
    <s v="Default"/>
    <s v="Gif"/>
    <n v="8"/>
    <n v="0"/>
    <n v="0"/>
    <x v="1"/>
  </r>
  <r>
    <x v="21"/>
    <s v="Yahoo_Business_728x270_OMN_EN"/>
    <x v="1"/>
    <s v="Standard"/>
    <s v="Rich Media Expandable"/>
    <n v="501"/>
    <n v="0"/>
    <n v="0"/>
    <x v="1"/>
  </r>
  <r>
    <x v="21"/>
    <s v="Yahoo_Business_728x270_OMN_EN"/>
    <x v="1"/>
    <s v="Standard"/>
    <s v="Rich Media Expandable"/>
    <n v="3266"/>
    <n v="1"/>
    <n v="3.061849357011635E-4"/>
    <x v="1"/>
  </r>
  <r>
    <x v="21"/>
    <s v="Yahoo_Business_728x270_OMN_EN"/>
    <x v="1"/>
    <s v="Standard"/>
    <s v="Rich Media Expandable"/>
    <n v="3081"/>
    <n v="0"/>
    <n v="0"/>
    <x v="1"/>
  </r>
  <r>
    <x v="21"/>
    <s v="Yahoo_Business_728x270_OMN_EN"/>
    <x v="1"/>
    <s v="Standard"/>
    <s v="Rich Media Expandable"/>
    <n v="2919"/>
    <n v="0"/>
    <n v="0"/>
    <x v="1"/>
  </r>
  <r>
    <x v="21"/>
    <s v="Yahoo_Business_728x270_OMN_EN"/>
    <x v="1"/>
    <s v="Standard"/>
    <s v="Rich Media Expandable"/>
    <n v="4139"/>
    <n v="0"/>
    <n v="0"/>
    <x v="1"/>
  </r>
  <r>
    <x v="21"/>
    <s v="Yahoo_Business_728x270_QAT_AR"/>
    <x v="1"/>
    <s v="Default"/>
    <s v="Gif"/>
    <n v="3"/>
    <n v="0"/>
    <n v="0"/>
    <x v="0"/>
  </r>
  <r>
    <x v="21"/>
    <s v="Yahoo_Business_728x270_QAT_AR"/>
    <x v="1"/>
    <s v="Default"/>
    <s v="Gif"/>
    <n v="6"/>
    <n v="0"/>
    <n v="0"/>
    <x v="0"/>
  </r>
  <r>
    <x v="21"/>
    <s v="Yahoo_Business_728x270_QAT_AR"/>
    <x v="1"/>
    <s v="Default"/>
    <s v="Gif"/>
    <n v="9"/>
    <n v="0"/>
    <n v="0"/>
    <x v="0"/>
  </r>
  <r>
    <x v="21"/>
    <s v="Yahoo_Business_728x270_QAT_AR"/>
    <x v="1"/>
    <s v="Default"/>
    <s v="Gif"/>
    <n v="10"/>
    <n v="0"/>
    <n v="0"/>
    <x v="0"/>
  </r>
  <r>
    <x v="21"/>
    <s v="Yahoo_Business_728x270_QAT_AR"/>
    <x v="1"/>
    <s v="Default"/>
    <s v="Gif"/>
    <n v="13"/>
    <n v="0"/>
    <n v="0"/>
    <x v="0"/>
  </r>
  <r>
    <x v="21"/>
    <s v="Yahoo_Business_728x270_QAT_AR"/>
    <x v="1"/>
    <s v="Standard"/>
    <s v="Rich Media Expandable"/>
    <n v="1180"/>
    <n v="0"/>
    <n v="0"/>
    <x v="0"/>
  </r>
  <r>
    <x v="21"/>
    <s v="Yahoo_Business_728x270_QAT_AR"/>
    <x v="1"/>
    <s v="Standard"/>
    <s v="Rich Media Expandable"/>
    <n v="2431"/>
    <n v="0"/>
    <n v="0"/>
    <x v="0"/>
  </r>
  <r>
    <x v="21"/>
    <s v="Yahoo_Business_728x270_QAT_AR"/>
    <x v="1"/>
    <s v="Standard"/>
    <s v="Rich Media Expandable"/>
    <n v="3421"/>
    <n v="0"/>
    <n v="0"/>
    <x v="0"/>
  </r>
  <r>
    <x v="21"/>
    <s v="Yahoo_Business_728x270_QAT_AR"/>
    <x v="1"/>
    <s v="Standard"/>
    <s v="Rich Media Expandable"/>
    <n v="2480"/>
    <n v="0"/>
    <n v="0"/>
    <x v="0"/>
  </r>
  <r>
    <x v="21"/>
    <s v="Yahoo_Business_728x270_QAT_AR"/>
    <x v="1"/>
    <s v="Standard"/>
    <s v="Rich Media Expandable"/>
    <n v="2976"/>
    <n v="0"/>
    <n v="0"/>
    <x v="0"/>
  </r>
  <r>
    <x v="21"/>
    <s v="Yahoo_Business_728x270_QAT_EN"/>
    <x v="1"/>
    <s v="Default"/>
    <s v="Gif"/>
    <n v="2"/>
    <n v="0"/>
    <n v="0"/>
    <x v="1"/>
  </r>
  <r>
    <x v="21"/>
    <s v="Yahoo_Business_728x270_QAT_EN"/>
    <x v="1"/>
    <s v="Default"/>
    <s v="Gif"/>
    <n v="6"/>
    <n v="0"/>
    <n v="0"/>
    <x v="1"/>
  </r>
  <r>
    <x v="21"/>
    <s v="Yahoo_Business_728x270_QAT_EN"/>
    <x v="1"/>
    <s v="Default"/>
    <s v="Gif"/>
    <n v="7"/>
    <n v="0"/>
    <n v="0"/>
    <x v="1"/>
  </r>
  <r>
    <x v="21"/>
    <s v="Yahoo_Business_728x270_QAT_EN"/>
    <x v="1"/>
    <s v="Default"/>
    <s v="Gif"/>
    <n v="4"/>
    <n v="0"/>
    <n v="0"/>
    <x v="1"/>
  </r>
  <r>
    <x v="21"/>
    <s v="Yahoo_Business_728x270_QAT_EN"/>
    <x v="1"/>
    <s v="Default"/>
    <s v="Gif"/>
    <n v="28"/>
    <n v="0"/>
    <n v="0"/>
    <x v="1"/>
  </r>
  <r>
    <x v="21"/>
    <s v="Yahoo_Business_728x270_QAT_EN"/>
    <x v="1"/>
    <s v="Standard"/>
    <s v="Rich Media Expandable"/>
    <n v="1533"/>
    <n v="0"/>
    <n v="0"/>
    <x v="1"/>
  </r>
  <r>
    <x v="21"/>
    <s v="Yahoo_Business_728x270_QAT_EN"/>
    <x v="1"/>
    <s v="Standard"/>
    <s v="Rich Media Expandable"/>
    <n v="2395"/>
    <n v="0"/>
    <n v="0"/>
    <x v="1"/>
  </r>
  <r>
    <x v="21"/>
    <s v="Yahoo_Business_728x270_QAT_EN"/>
    <x v="1"/>
    <s v="Standard"/>
    <s v="Rich Media Expandable"/>
    <n v="2768"/>
    <n v="0"/>
    <n v="0"/>
    <x v="1"/>
  </r>
  <r>
    <x v="21"/>
    <s v="Yahoo_Business_728x270_QAT_EN"/>
    <x v="1"/>
    <s v="Standard"/>
    <s v="Rich Media Expandable"/>
    <n v="2365"/>
    <n v="0"/>
    <n v="0"/>
    <x v="1"/>
  </r>
  <r>
    <x v="21"/>
    <s v="Yahoo_Business_728x270_QAT_EN"/>
    <x v="1"/>
    <s v="Standard"/>
    <s v="Rich Media Expandable"/>
    <n v="4059"/>
    <n v="2"/>
    <n v="4.9273220004927322E-4"/>
    <x v="1"/>
  </r>
  <r>
    <x v="21"/>
    <s v="Yahoo_Business_728x270_UAE_AR"/>
    <x v="1"/>
    <s v="Default"/>
    <s v="Gif"/>
    <n v="41"/>
    <n v="0"/>
    <n v="0"/>
    <x v="0"/>
  </r>
  <r>
    <x v="21"/>
    <s v="Yahoo_Business_728x270_UAE_AR"/>
    <x v="1"/>
    <s v="Default"/>
    <s v="Gif"/>
    <n v="67"/>
    <n v="0"/>
    <n v="0"/>
    <x v="0"/>
  </r>
  <r>
    <x v="21"/>
    <s v="Yahoo_Business_728x270_UAE_AR"/>
    <x v="1"/>
    <s v="Default"/>
    <s v="Gif"/>
    <n v="76"/>
    <n v="0"/>
    <n v="0"/>
    <x v="0"/>
  </r>
  <r>
    <x v="21"/>
    <s v="Yahoo_Business_728x270_UAE_AR"/>
    <x v="1"/>
    <s v="Default"/>
    <s v="Gif"/>
    <n v="190"/>
    <n v="0"/>
    <n v="0"/>
    <x v="0"/>
  </r>
  <r>
    <x v="21"/>
    <s v="Yahoo_Business_728x270_UAE_AR"/>
    <x v="1"/>
    <s v="Default"/>
    <s v="Gif"/>
    <n v="195"/>
    <n v="0"/>
    <n v="0"/>
    <x v="0"/>
  </r>
  <r>
    <x v="21"/>
    <s v="Yahoo_Business_728x270_UAE_AR"/>
    <x v="1"/>
    <s v="Standard"/>
    <s v="Rich Media Expandable"/>
    <n v="7597"/>
    <n v="0"/>
    <n v="0"/>
    <x v="0"/>
  </r>
  <r>
    <x v="21"/>
    <s v="Yahoo_Business_728x270_UAE_AR"/>
    <x v="1"/>
    <s v="Standard"/>
    <s v="Rich Media Expandable"/>
    <n v="11037"/>
    <n v="2"/>
    <n v="1.8120866177403279E-4"/>
    <x v="0"/>
  </r>
  <r>
    <x v="21"/>
    <s v="Yahoo_Business_728x270_UAE_AR"/>
    <x v="1"/>
    <s v="Standard"/>
    <s v="Rich Media Expandable"/>
    <n v="11906"/>
    <n v="4"/>
    <n v="3.3596505963379809E-4"/>
    <x v="0"/>
  </r>
  <r>
    <x v="21"/>
    <s v="Yahoo_Business_728x270_UAE_AR"/>
    <x v="1"/>
    <s v="Standard"/>
    <s v="Rich Media Expandable"/>
    <n v="23914"/>
    <n v="3"/>
    <n v="1.2544952747344651E-4"/>
    <x v="0"/>
  </r>
  <r>
    <x v="21"/>
    <s v="Yahoo_Business_728x270_UAE_AR"/>
    <x v="1"/>
    <s v="Standard"/>
    <s v="Rich Media Expandable"/>
    <n v="19661"/>
    <n v="6"/>
    <n v="3.0517267687299731E-4"/>
    <x v="0"/>
  </r>
  <r>
    <x v="21"/>
    <s v="Yahoo_Business_728x270_UAE_EN"/>
    <x v="1"/>
    <s v="Default"/>
    <s v="Gif"/>
    <n v="34"/>
    <n v="0"/>
    <n v="0"/>
    <x v="1"/>
  </r>
  <r>
    <x v="21"/>
    <s v="Yahoo_Business_728x270_UAE_EN"/>
    <x v="1"/>
    <s v="Default"/>
    <s v="Gif"/>
    <n v="61"/>
    <n v="0"/>
    <n v="0"/>
    <x v="1"/>
  </r>
  <r>
    <x v="21"/>
    <s v="Yahoo_Business_728x270_UAE_EN"/>
    <x v="1"/>
    <s v="Default"/>
    <s v="Gif"/>
    <n v="49"/>
    <n v="0"/>
    <n v="0"/>
    <x v="1"/>
  </r>
  <r>
    <x v="21"/>
    <s v="Yahoo_Business_728x270_UAE_EN"/>
    <x v="1"/>
    <s v="Default"/>
    <s v="Gif"/>
    <n v="12"/>
    <n v="0"/>
    <n v="0"/>
    <x v="1"/>
  </r>
  <r>
    <x v="21"/>
    <s v="Yahoo_Business_728x270_UAE_EN"/>
    <x v="1"/>
    <s v="Default"/>
    <s v="Gif"/>
    <n v="37"/>
    <n v="0"/>
    <n v="0"/>
    <x v="1"/>
  </r>
  <r>
    <x v="21"/>
    <s v="Yahoo_Business_728x270_UAE_EN"/>
    <x v="1"/>
    <s v="Standard"/>
    <s v="Rich Media Expandable"/>
    <n v="12178"/>
    <n v="1"/>
    <n v="8.2115289866973234E-5"/>
    <x v="1"/>
  </r>
  <r>
    <x v="21"/>
    <s v="Yahoo_Business_728x270_UAE_EN"/>
    <x v="1"/>
    <s v="Standard"/>
    <s v="Rich Media Expandable"/>
    <n v="20527"/>
    <n v="3"/>
    <n v="1.461489745213621E-4"/>
    <x v="1"/>
  </r>
  <r>
    <x v="21"/>
    <s v="Yahoo_Business_728x270_UAE_EN"/>
    <x v="1"/>
    <s v="Standard"/>
    <s v="Rich Media Expandable"/>
    <n v="13336"/>
    <n v="1"/>
    <n v="7.4985002999400114E-5"/>
    <x v="1"/>
  </r>
  <r>
    <x v="21"/>
    <s v="Yahoo_Business_728x270_UAE_EN"/>
    <x v="1"/>
    <s v="Standard"/>
    <s v="Rich Media Expandable"/>
    <n v="10167"/>
    <n v="1"/>
    <n v="9.8357430903904796E-5"/>
    <x v="1"/>
  </r>
  <r>
    <x v="21"/>
    <s v="Yahoo_Business_728x270_UAE_EN"/>
    <x v="1"/>
    <s v="Standard"/>
    <s v="Rich Media Expandable"/>
    <n v="14557"/>
    <n v="0"/>
    <n v="0"/>
    <x v="1"/>
  </r>
  <r>
    <x v="22"/>
    <s v="YahooMaktoob_BT_MaleLifestyle_300x250Video_KSA_AR"/>
    <x v="0"/>
    <s v="Standard"/>
    <s v="Rich Media In-Page Flash"/>
    <n v="2"/>
    <n v="0"/>
    <n v="0"/>
    <x v="0"/>
  </r>
  <r>
    <x v="22"/>
    <s v="YahooMaktoob_BT_MaleLifestyle_300x250Video_KSA_AR"/>
    <x v="0"/>
    <s v="Standard"/>
    <s v="Rich Media In-Page Flash"/>
    <n v="4"/>
    <n v="0"/>
    <n v="0"/>
    <x v="0"/>
  </r>
  <r>
    <x v="22"/>
    <s v="YahooMaktoob_BT_MaleLifestyle_300x250Video_UAE_EN"/>
    <x v="0"/>
    <s v="Standard"/>
    <s v="Rich Media In-Page Flash"/>
    <n v="1"/>
    <n v="0"/>
    <n v="0"/>
    <x v="1"/>
  </r>
  <r>
    <x v="23"/>
    <s v="Ra2ed_300x250_KSA_AR"/>
    <x v="0"/>
    <s v="Default"/>
    <s v="Gif"/>
    <n v="21"/>
    <n v="0"/>
    <n v="0"/>
    <x v="0"/>
  </r>
  <r>
    <x v="23"/>
    <s v="Ra2ed_300x250_KSA_AR"/>
    <x v="0"/>
    <s v="Default"/>
    <s v="Gif"/>
    <n v="16"/>
    <n v="0"/>
    <n v="0"/>
    <x v="0"/>
  </r>
  <r>
    <x v="23"/>
    <s v="Ra2ed_300x250_KSA_AR"/>
    <x v="0"/>
    <s v="Default"/>
    <s v="Gif"/>
    <n v="19"/>
    <n v="0"/>
    <n v="0"/>
    <x v="0"/>
  </r>
  <r>
    <x v="23"/>
    <s v="Ra2ed_300x250_KSA_AR"/>
    <x v="0"/>
    <s v="Default"/>
    <s v="Gif"/>
    <n v="12"/>
    <n v="0"/>
    <n v="0"/>
    <x v="0"/>
  </r>
  <r>
    <x v="23"/>
    <s v="Ra2ed_300x250_KSA_AR"/>
    <x v="0"/>
    <s v="Default"/>
    <s v="Gif"/>
    <n v="10"/>
    <n v="0"/>
    <n v="0"/>
    <x v="0"/>
  </r>
  <r>
    <x v="23"/>
    <s v="Ra2ed_300x250_KSA_AR"/>
    <x v="0"/>
    <s v="Standard"/>
    <s v="Flash In-Page"/>
    <n v="23816"/>
    <n v="65"/>
    <n v="2.7292576419213972E-3"/>
    <x v="0"/>
  </r>
  <r>
    <x v="23"/>
    <s v="Ra2ed_300x250_KSA_AR"/>
    <x v="0"/>
    <s v="Standard"/>
    <s v="Flash In-Page"/>
    <n v="26881"/>
    <n v="138"/>
    <n v="5.1337375841672556E-3"/>
    <x v="0"/>
  </r>
  <r>
    <x v="23"/>
    <s v="Ra2ed_300x250_KSA_AR"/>
    <x v="0"/>
    <s v="Standard"/>
    <s v="Flash In-Page"/>
    <n v="35646"/>
    <n v="225"/>
    <n v="6.3120686753071874E-3"/>
    <x v="0"/>
  </r>
  <r>
    <x v="23"/>
    <s v="Ra2ed_300x250_KSA_AR"/>
    <x v="0"/>
    <s v="Standard"/>
    <s v="Flash In-Page"/>
    <n v="31497"/>
    <n v="103"/>
    <n v="3.2701527129567897E-3"/>
    <x v="0"/>
  </r>
  <r>
    <x v="23"/>
    <s v="Ra2ed_300x250_KSA_AR"/>
    <x v="0"/>
    <s v="Standard"/>
    <s v="Flash In-Page"/>
    <n v="26717"/>
    <n v="76"/>
    <n v="2.8446307594415542E-3"/>
    <x v="0"/>
  </r>
  <r>
    <x v="23"/>
    <s v="Ra2ed_300x250_UAE_AR"/>
    <x v="0"/>
    <s v="Default"/>
    <s v="Gif"/>
    <n v="7"/>
    <n v="0"/>
    <n v="0"/>
    <x v="0"/>
  </r>
  <r>
    <x v="23"/>
    <s v="Ra2ed_300x250_UAE_AR"/>
    <x v="0"/>
    <s v="Default"/>
    <s v="Gif"/>
    <n v="5"/>
    <n v="0"/>
    <n v="0"/>
    <x v="0"/>
  </r>
  <r>
    <x v="23"/>
    <s v="Ra2ed_300x250_UAE_AR"/>
    <x v="0"/>
    <s v="Default"/>
    <s v="Gif"/>
    <n v="19"/>
    <n v="0"/>
    <n v="0"/>
    <x v="0"/>
  </r>
  <r>
    <x v="23"/>
    <s v="Ra2ed_300x250_UAE_AR"/>
    <x v="0"/>
    <s v="Standard"/>
    <s v="Flash In-Page"/>
    <n v="4"/>
    <n v="4"/>
    <n v="1"/>
    <x v="0"/>
  </r>
  <r>
    <x v="23"/>
    <s v="Ra2ed_300x250_UAE_AR"/>
    <x v="0"/>
    <s v="Standard"/>
    <s v="Flash In-Page"/>
    <n v="6444"/>
    <n v="20"/>
    <n v="3.1036623215394167E-3"/>
    <x v="0"/>
  </r>
  <r>
    <x v="23"/>
    <s v="Ra2ed_300x250_UAE_AR"/>
    <x v="0"/>
    <s v="Standard"/>
    <s v="Flash In-Page"/>
    <n v="19904"/>
    <n v="55"/>
    <n v="2.7632636655948555E-3"/>
    <x v="0"/>
  </r>
  <r>
    <x v="23"/>
    <s v="Ra2ed_300x250_UAE_AR"/>
    <x v="0"/>
    <s v="Standard"/>
    <s v="Flash In-Page"/>
    <n v="22328"/>
    <n v="58"/>
    <n v="2.5976352561805803E-3"/>
    <x v="0"/>
  </r>
  <r>
    <x v="23"/>
    <s v="Ra2ed_300x250_UAE_AR"/>
    <x v="0"/>
    <s v="Standard"/>
    <s v="Flash In-Page"/>
    <n v="85998"/>
    <n v="162"/>
    <n v="1.8837647387148538E-3"/>
    <x v="0"/>
  </r>
  <r>
    <x v="23"/>
    <s v="Ra2ed_300x250_UAE_AR"/>
    <x v="0"/>
    <s v="Standard"/>
    <s v="Flash In-Page"/>
    <n v="5375"/>
    <n v="3"/>
    <n v="5.581395348837209E-4"/>
    <x v="0"/>
  </r>
  <r>
    <x v="23"/>
    <s v="Ra2ed_728x90_KSA_AR"/>
    <x v="1"/>
    <s v="Default"/>
    <s v="Gif"/>
    <n v="10"/>
    <n v="0"/>
    <n v="0"/>
    <x v="0"/>
  </r>
  <r>
    <x v="23"/>
    <s v="Ra2ed_728x90_KSA_AR"/>
    <x v="1"/>
    <s v="Default"/>
    <s v="Gif"/>
    <n v="22"/>
    <n v="0"/>
    <n v="0"/>
    <x v="0"/>
  </r>
  <r>
    <x v="23"/>
    <s v="Ra2ed_728x90_KSA_AR"/>
    <x v="1"/>
    <s v="Default"/>
    <s v="Gif"/>
    <n v="16"/>
    <n v="0"/>
    <n v="0"/>
    <x v="0"/>
  </r>
  <r>
    <x v="23"/>
    <s v="Ra2ed_728x90_KSA_AR"/>
    <x v="1"/>
    <s v="Default"/>
    <s v="Gif"/>
    <n v="22"/>
    <n v="0"/>
    <n v="0"/>
    <x v="0"/>
  </r>
  <r>
    <x v="23"/>
    <s v="Ra2ed_728x90_KSA_AR"/>
    <x v="1"/>
    <s v="Default"/>
    <s v="Gif"/>
    <n v="22"/>
    <n v="0"/>
    <n v="0"/>
    <x v="0"/>
  </r>
  <r>
    <x v="23"/>
    <s v="Ra2ed_728x90_KSA_AR"/>
    <x v="1"/>
    <s v="Standard"/>
    <s v="Flash In-Page"/>
    <n v="17570"/>
    <n v="52"/>
    <n v="2.9595902105862266E-3"/>
    <x v="0"/>
  </r>
  <r>
    <x v="23"/>
    <s v="Ra2ed_728x90_KSA_AR"/>
    <x v="1"/>
    <s v="Standard"/>
    <s v="Flash In-Page"/>
    <n v="32517"/>
    <n v="119"/>
    <n v="3.6596241965740997E-3"/>
    <x v="0"/>
  </r>
  <r>
    <x v="23"/>
    <s v="Ra2ed_728x90_KSA_AR"/>
    <x v="1"/>
    <s v="Standard"/>
    <s v="Flash In-Page"/>
    <n v="36284"/>
    <n v="142"/>
    <n v="3.9135707198765298E-3"/>
    <x v="0"/>
  </r>
  <r>
    <x v="23"/>
    <s v="Ra2ed_728x90_KSA_AR"/>
    <x v="1"/>
    <s v="Standard"/>
    <s v="Flash In-Page"/>
    <n v="26640"/>
    <n v="59"/>
    <n v="2.2147147147147145E-3"/>
    <x v="0"/>
  </r>
  <r>
    <x v="23"/>
    <s v="Ra2ed_728x90_KSA_AR"/>
    <x v="1"/>
    <s v="Standard"/>
    <s v="Flash In-Page"/>
    <n v="33203"/>
    <n v="101"/>
    <n v="3.0418938047766767E-3"/>
    <x v="0"/>
  </r>
  <r>
    <x v="23"/>
    <s v="Ra2ed_728x90_UAE_AR"/>
    <x v="1"/>
    <s v="Default"/>
    <s v="Gif"/>
    <n v="10"/>
    <n v="0"/>
    <n v="0"/>
    <x v="0"/>
  </r>
  <r>
    <x v="23"/>
    <s v="Ra2ed_728x90_UAE_AR"/>
    <x v="1"/>
    <s v="Default"/>
    <s v="Gif"/>
    <n v="20"/>
    <n v="0"/>
    <n v="0"/>
    <x v="0"/>
  </r>
  <r>
    <x v="23"/>
    <s v="Ra2ed_728x90_UAE_AR"/>
    <x v="1"/>
    <s v="Default"/>
    <s v="Gif"/>
    <n v="5"/>
    <n v="0"/>
    <n v="0"/>
    <x v="0"/>
  </r>
  <r>
    <x v="23"/>
    <s v="Ra2ed_728x90_UAE_AR"/>
    <x v="1"/>
    <s v="Default"/>
    <s v="Gif"/>
    <n v="5"/>
    <n v="0"/>
    <n v="0"/>
    <x v="0"/>
  </r>
  <r>
    <x v="23"/>
    <s v="Ra2ed_728x90_UAE_AR"/>
    <x v="1"/>
    <s v="Default"/>
    <s v="Gif"/>
    <n v="9"/>
    <n v="0"/>
    <n v="0"/>
    <x v="0"/>
  </r>
  <r>
    <x v="23"/>
    <s v="Ra2ed_728x90_UAE_AR"/>
    <x v="1"/>
    <s v="Standard"/>
    <s v="Flash In-Page"/>
    <n v="9535"/>
    <n v="47"/>
    <n v="4.9292081803880439E-3"/>
    <x v="0"/>
  </r>
  <r>
    <x v="23"/>
    <s v="Ra2ed_728x90_UAE_AR"/>
    <x v="1"/>
    <s v="Standard"/>
    <s v="Flash In-Page"/>
    <n v="28873"/>
    <n v="66"/>
    <n v="2.2858726145533891E-3"/>
    <x v="0"/>
  </r>
  <r>
    <x v="23"/>
    <s v="Ra2ed_728x90_UAE_AR"/>
    <x v="1"/>
    <s v="Standard"/>
    <s v="Flash In-Page"/>
    <n v="29658"/>
    <n v="70"/>
    <n v="2.3602400701328479E-3"/>
    <x v="0"/>
  </r>
  <r>
    <x v="23"/>
    <s v="Ra2ed_728x90_UAE_AR"/>
    <x v="1"/>
    <s v="Standard"/>
    <s v="Flash In-Page"/>
    <n v="54702"/>
    <n v="69"/>
    <n v="1.2613798398596028E-3"/>
    <x v="0"/>
  </r>
  <r>
    <x v="23"/>
    <s v="Ra2ed_728x90_UAE_AR"/>
    <x v="1"/>
    <s v="Standard"/>
    <s v="Flash In-Page"/>
    <n v="20946"/>
    <n v="16"/>
    <n v="7.6386899646710589E-4"/>
    <x v="0"/>
  </r>
  <r>
    <x v="23"/>
    <s v="Ra2ed_Video_300x250_OMN_AR"/>
    <x v="0"/>
    <s v="Standard"/>
    <s v="Rich Media In-Page Flash"/>
    <n v="2"/>
    <n v="0"/>
    <n v="0"/>
    <x v="0"/>
  </r>
  <r>
    <x v="24"/>
    <s v="Sabq_HP_300x250_KSA_AR"/>
    <x v="0"/>
    <s v="Default"/>
    <s v="Gif"/>
    <n v="4"/>
    <n v="0"/>
    <n v="0"/>
    <x v="0"/>
  </r>
  <r>
    <x v="24"/>
    <s v="Sabq_HP_300x250_KSA_AR"/>
    <x v="0"/>
    <s v="Default"/>
    <s v="Gif"/>
    <n v="4"/>
    <n v="0"/>
    <n v="0"/>
    <x v="0"/>
  </r>
  <r>
    <x v="24"/>
    <s v="Sabq_HP_300x250_KSA_AR"/>
    <x v="0"/>
    <s v="Default"/>
    <s v="Gif"/>
    <n v="5"/>
    <n v="0"/>
    <n v="0"/>
    <x v="0"/>
  </r>
  <r>
    <x v="24"/>
    <s v="Sabq_HP_300x250_KSA_AR"/>
    <x v="0"/>
    <s v="Default"/>
    <s v="Gif"/>
    <n v="12"/>
    <n v="0"/>
    <n v="0"/>
    <x v="0"/>
  </r>
  <r>
    <x v="24"/>
    <s v="Sabq_HP_300x250_KSA_AR"/>
    <x v="0"/>
    <s v="Default"/>
    <s v="Gif"/>
    <n v="6"/>
    <n v="0"/>
    <n v="0"/>
    <x v="0"/>
  </r>
  <r>
    <x v="24"/>
    <s v="Sabq_HP_300x250_KSA_AR"/>
    <x v="0"/>
    <s v="Standard"/>
    <s v="Flash In-Page"/>
    <n v="72026"/>
    <n v="162"/>
    <n v="2.249187793296865E-3"/>
    <x v="0"/>
  </r>
  <r>
    <x v="24"/>
    <s v="Sabq_HP_300x250_KSA_AR"/>
    <x v="0"/>
    <s v="Standard"/>
    <s v="Flash In-Page"/>
    <n v="113887"/>
    <n v="267"/>
    <n v="2.3444291271172302E-3"/>
    <x v="0"/>
  </r>
  <r>
    <x v="24"/>
    <s v="Sabq_HP_300x250_KSA_AR"/>
    <x v="0"/>
    <s v="Standard"/>
    <s v="Flash In-Page"/>
    <n v="102425"/>
    <n v="212"/>
    <n v="2.069807175982426E-3"/>
    <x v="0"/>
  </r>
  <r>
    <x v="24"/>
    <s v="Sabq_HP_300x250_KSA_AR"/>
    <x v="0"/>
    <s v="Standard"/>
    <s v="Flash In-Page"/>
    <n v="72624"/>
    <n v="169"/>
    <n v="2.3270544172725271E-3"/>
    <x v="0"/>
  </r>
  <r>
    <x v="24"/>
    <s v="Sabq_HP_300x250_KSA_AR"/>
    <x v="0"/>
    <s v="Standard"/>
    <s v="Flash In-Page"/>
    <n v="39908"/>
    <n v="85"/>
    <n v="2.1298987671644785E-3"/>
    <x v="0"/>
  </r>
  <r>
    <x v="24"/>
    <s v="Sabq_HP_728x270_KSA_AR"/>
    <x v="1"/>
    <s v="Default"/>
    <s v="Gif"/>
    <n v="4"/>
    <n v="0"/>
    <n v="0"/>
    <x v="0"/>
  </r>
  <r>
    <x v="24"/>
    <s v="Sabq_HP_728x270_KSA_AR"/>
    <x v="1"/>
    <s v="Default"/>
    <s v="Gif"/>
    <n v="2"/>
    <n v="0"/>
    <n v="0"/>
    <x v="0"/>
  </r>
  <r>
    <x v="24"/>
    <s v="Sabq_HP_728x270_KSA_AR"/>
    <x v="1"/>
    <s v="Default"/>
    <s v="Gif"/>
    <n v="7"/>
    <n v="0"/>
    <n v="0"/>
    <x v="0"/>
  </r>
  <r>
    <x v="24"/>
    <s v="Sabq_HP_728x270_KSA_AR"/>
    <x v="1"/>
    <s v="Default"/>
    <s v="Gif"/>
    <n v="3"/>
    <n v="0"/>
    <n v="0"/>
    <x v="0"/>
  </r>
  <r>
    <x v="24"/>
    <s v="Sabq_HP_728x270_KSA_AR"/>
    <x v="1"/>
    <s v="Standard"/>
    <s v="Rich Media Expandable"/>
    <n v="76574"/>
    <n v="98"/>
    <n v="1.2798077676495938E-3"/>
    <x v="0"/>
  </r>
  <r>
    <x v="24"/>
    <s v="Sabq_HP_728x270_KSA_AR"/>
    <x v="1"/>
    <s v="Standard"/>
    <s v="Rich Media Expandable"/>
    <n v="127244"/>
    <n v="141"/>
    <n v="1.108107258495489E-3"/>
    <x v="0"/>
  </r>
  <r>
    <x v="24"/>
    <s v="Sabq_HP_728x270_KSA_AR"/>
    <x v="1"/>
    <s v="Standard"/>
    <s v="Rich Media Expandable"/>
    <n v="110523"/>
    <n v="135"/>
    <n v="1.2214652153850331E-3"/>
    <x v="0"/>
  </r>
  <r>
    <x v="24"/>
    <s v="Sabq_HP_728x270_KSA_AR"/>
    <x v="1"/>
    <s v="Standard"/>
    <s v="Rich Media Expandable"/>
    <n v="83154"/>
    <n v="92"/>
    <n v="1.1063809317651586E-3"/>
    <x v="0"/>
  </r>
  <r>
    <x v="24"/>
    <s v="Sabq_HP_728x270_KSA_AR"/>
    <x v="1"/>
    <s v="Standard"/>
    <s v="Rich Media Expandable"/>
    <n v="27847"/>
    <n v="43"/>
    <n v="1.5441519732825799E-3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0">
  <r>
    <s v="Ford"/>
    <x v="0"/>
    <x v="0"/>
    <n v="140471"/>
    <n v="862"/>
    <n v="801012"/>
    <n v="1220"/>
    <n v="1745781.414994719"/>
    <n v="100000"/>
  </r>
  <r>
    <s v="Ford"/>
    <x v="0"/>
    <x v="1"/>
    <n v="432914"/>
    <n v="1814"/>
    <n v="2281933"/>
    <n v="2146"/>
    <n v="1000000"/>
    <n v="100000"/>
  </r>
  <r>
    <s v="Ford"/>
    <x v="0"/>
    <x v="2"/>
    <n v="174130"/>
    <n v="260"/>
    <n v="586795"/>
    <n v="297"/>
    <n v="2350000"/>
    <n v="100000"/>
  </r>
  <r>
    <s v="Ford"/>
    <x v="0"/>
    <x v="3"/>
    <n v="287666"/>
    <n v="1677"/>
    <n v="563865"/>
    <n v="1898"/>
    <n v="2702857.1428571427"/>
    <n v="100000"/>
  </r>
  <r>
    <s v="Ford"/>
    <x v="1"/>
    <x v="4"/>
    <s v="-"/>
    <s v="-"/>
    <n v="563865"/>
    <n v="1898"/>
    <n v="5337000"/>
    <n v="100000"/>
  </r>
  <r>
    <s v="Ford"/>
    <x v="1"/>
    <x v="5"/>
    <s v="-"/>
    <s v="-"/>
    <n v="563865"/>
    <n v="1898"/>
    <n v="500000"/>
    <n v="100000"/>
  </r>
  <r>
    <s v="Ford"/>
    <x v="2"/>
    <x v="6"/>
    <s v="-"/>
    <s v="-"/>
    <n v="787878"/>
    <n v="977"/>
    <n v="500000"/>
    <n v="100000"/>
  </r>
  <r>
    <s v="Ford"/>
    <x v="2"/>
    <x v="7"/>
    <s v="-"/>
    <s v="-"/>
    <n v="98988"/>
    <n v="989"/>
    <n v="500000"/>
    <n v="100000"/>
  </r>
  <r>
    <s v="Ford"/>
    <x v="3"/>
    <x v="8"/>
    <s v="-"/>
    <s v="-"/>
    <n v="98988"/>
    <n v="989"/>
    <n v="500000"/>
    <n v="100000"/>
  </r>
  <r>
    <s v="Ford"/>
    <x v="4"/>
    <x v="9"/>
    <s v="-"/>
    <s v="-"/>
    <n v="98988"/>
    <n v="989"/>
    <n v="500000"/>
    <n v="10000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957">
  <r>
    <s v="Abu Dhabi Duty Free"/>
    <s v="Mega Big Ticket_August 2013"/>
    <x v="0"/>
    <s v="Entertainment &amp; Lifestyle Sections - 300x250 - EN - UAE"/>
    <s v="2013-08-07"/>
    <s v="15"/>
    <n v="1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08"/>
    <n v="1215"/>
    <n v="5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09"/>
    <n v="1614"/>
    <n v="13"/>
    <n v="5"/>
    <n v="4"/>
    <n v="1"/>
    <n v="0"/>
    <n v="0"/>
    <n v="0"/>
    <n v="0"/>
  </r>
  <r>
    <s v="Abu Dhabi Duty Free"/>
    <s v="Mega Big Ticket_August 2013"/>
    <x v="0"/>
    <s v="Entertainment &amp; Lifestyle Sections - 300x250 - EN - UAE"/>
    <s v="2013-08-11"/>
    <s v="10"/>
    <n v="234"/>
    <n v="1"/>
    <n v="2"/>
    <n v="2"/>
    <n v="0"/>
    <n v="100"/>
    <n v="100"/>
    <n v="0"/>
    <n v="0"/>
  </r>
  <r>
    <s v="Abu Dhabi Duty Free"/>
    <s v="Mega Big Ticket_August 2013"/>
    <x v="0"/>
    <s v="Entertainment &amp; Lifestyle Sections - 300x250 - EN - UAE"/>
    <s v="2013-08-11"/>
    <s v="11"/>
    <n v="219"/>
    <n v="1"/>
    <n v="3"/>
    <n v="0"/>
    <n v="3"/>
    <n v="0"/>
    <n v="0"/>
    <n v="0"/>
    <n v="0"/>
  </r>
  <r>
    <s v="Abu Dhabi Duty Free"/>
    <s v="Mega Big Ticket_August 2013"/>
    <x v="0"/>
    <s v="Entertainment &amp; Lifestyle Sections - 300x250 - EN - UAE"/>
    <s v="2013-08-11"/>
    <s v="12"/>
    <n v="228"/>
    <n v="4"/>
    <n v="2"/>
    <n v="2"/>
    <n v="0"/>
    <n v="100"/>
    <n v="100"/>
    <n v="0"/>
    <n v="0"/>
  </r>
  <r>
    <s v="Abu Dhabi Duty Free"/>
    <s v="Mega Big Ticket_August 2013"/>
    <x v="0"/>
    <s v="Entertainment &amp; Lifestyle Sections - 300x250 - EN - UAE"/>
    <s v="2013-08-11"/>
    <s v="13"/>
    <n v="222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14"/>
    <n v="224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15"/>
    <n v="219"/>
    <n v="4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16"/>
    <n v="233"/>
    <n v="3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17"/>
    <n v="220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1"/>
    <s v="18"/>
    <n v="204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19"/>
    <n v="255"/>
    <n v="6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20"/>
    <n v="246"/>
    <n v="6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21"/>
    <n v="173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1"/>
    <s v="22"/>
    <n v="226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1"/>
    <s v="23"/>
    <n v="200"/>
    <n v="1"/>
    <n v="1"/>
    <n v="0"/>
    <n v="1"/>
    <n v="500"/>
    <n v="0"/>
    <n v="500"/>
    <n v="0"/>
  </r>
  <r>
    <s v="Abu Dhabi Duty Free"/>
    <s v="Mega Big Ticket_August 2013"/>
    <x v="0"/>
    <s v="Entertainment &amp; Lifestyle Sections - 300x250 - EN - UAE"/>
    <s v="2013-08-12"/>
    <s v="00"/>
    <n v="15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1"/>
    <n v="10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2"/>
    <n v="7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3"/>
    <n v="80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4"/>
    <n v="101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5"/>
    <n v="18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6"/>
    <n v="685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7"/>
    <n v="394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08"/>
    <n v="209"/>
    <n v="1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2"/>
    <s v="09"/>
    <n v="236"/>
    <n v="1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2"/>
    <s v="10"/>
    <n v="20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11"/>
    <n v="235"/>
    <n v="1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2"/>
    <s v="12"/>
    <n v="226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13"/>
    <n v="221"/>
    <n v="2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2"/>
    <s v="14"/>
    <n v="237"/>
    <n v="0"/>
    <n v="3"/>
    <n v="0"/>
    <n v="3"/>
    <n v="100"/>
    <n v="0"/>
    <n v="100"/>
    <n v="0"/>
  </r>
  <r>
    <s v="Abu Dhabi Duty Free"/>
    <s v="Mega Big Ticket_August 2013"/>
    <x v="0"/>
    <s v="Entertainment &amp; Lifestyle Sections - 300x250 - EN - UAE"/>
    <s v="2013-08-12"/>
    <s v="15"/>
    <n v="230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16"/>
    <n v="239"/>
    <n v="2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12"/>
    <s v="17"/>
    <n v="21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18"/>
    <n v="21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19"/>
    <n v="219"/>
    <n v="2"/>
    <n v="5"/>
    <n v="5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20"/>
    <n v="306"/>
    <n v="6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21"/>
    <n v="122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22"/>
    <n v="23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2"/>
    <s v="23"/>
    <n v="207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0"/>
    <n v="18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1"/>
    <n v="14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2"/>
    <n v="98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3"/>
    <n v="8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4"/>
    <n v="10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5"/>
    <n v="341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6"/>
    <n v="450"/>
    <n v="4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7"/>
    <n v="416"/>
    <n v="3"/>
    <n v="3"/>
    <n v="3"/>
    <n v="0"/>
    <n v="100"/>
    <n v="100"/>
    <n v="0"/>
    <n v="0"/>
  </r>
  <r>
    <s v="Abu Dhabi Duty Free"/>
    <s v="Mega Big Ticket_August 2013"/>
    <x v="0"/>
    <s v="Entertainment &amp; Lifestyle Sections - 300x250 - EN - UAE"/>
    <s v="2013-08-13"/>
    <s v="08"/>
    <n v="230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09"/>
    <n v="217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0"/>
    <n v="211"/>
    <n v="5"/>
    <n v="5"/>
    <n v="5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1"/>
    <n v="23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2"/>
    <n v="205"/>
    <n v="1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3"/>
    <n v="229"/>
    <n v="6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4"/>
    <n v="233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5"/>
    <n v="224"/>
    <n v="2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13"/>
    <s v="16"/>
    <n v="226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7"/>
    <n v="217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18"/>
    <n v="207"/>
    <n v="0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3"/>
    <s v="19"/>
    <n v="240"/>
    <n v="1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20"/>
    <n v="22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21"/>
    <n v="140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22"/>
    <n v="231"/>
    <n v="5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3"/>
    <s v="23"/>
    <n v="205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0"/>
    <n v="174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1"/>
    <n v="133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2"/>
    <n v="78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3"/>
    <n v="69"/>
    <n v="1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4"/>
    <n v="73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5"/>
    <n v="162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6"/>
    <n v="771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07"/>
    <n v="438"/>
    <n v="4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14"/>
    <s v="08"/>
    <n v="227"/>
    <n v="7"/>
    <n v="5"/>
    <n v="4"/>
    <n v="1"/>
    <n v="0"/>
    <n v="0"/>
    <n v="0"/>
    <n v="0"/>
  </r>
  <r>
    <s v="Abu Dhabi Duty Free"/>
    <s v="Mega Big Ticket_August 2013"/>
    <x v="0"/>
    <s v="Entertainment &amp; Lifestyle Sections - 300x250 - EN - UAE"/>
    <s v="2013-08-14"/>
    <s v="09"/>
    <n v="223"/>
    <n v="3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4"/>
    <s v="10"/>
    <n v="224"/>
    <n v="3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11"/>
    <n v="244"/>
    <n v="1"/>
    <n v="3"/>
    <n v="1"/>
    <n v="2"/>
    <n v="500"/>
    <n v="0"/>
    <n v="500"/>
    <n v="0"/>
  </r>
  <r>
    <s v="Abu Dhabi Duty Free"/>
    <s v="Mega Big Ticket_August 2013"/>
    <x v="0"/>
    <s v="Entertainment &amp; Lifestyle Sections - 300x250 - EN - UAE"/>
    <s v="2013-08-14"/>
    <s v="12"/>
    <n v="233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4"/>
    <s v="13"/>
    <n v="222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14"/>
    <n v="234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15"/>
    <n v="210"/>
    <n v="2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16"/>
    <n v="228"/>
    <n v="2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4"/>
    <s v="17"/>
    <n v="209"/>
    <n v="3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18"/>
    <n v="249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19"/>
    <n v="220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20"/>
    <n v="260"/>
    <n v="4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4"/>
    <s v="21"/>
    <n v="198"/>
    <n v="8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22"/>
    <n v="233"/>
    <n v="6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4"/>
    <s v="23"/>
    <n v="19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0"/>
    <n v="174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1"/>
    <n v="107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2"/>
    <n v="65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3"/>
    <n v="4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4"/>
    <n v="79"/>
    <n v="1"/>
    <n v="4"/>
    <n v="4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5"/>
    <n v="181"/>
    <n v="1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6"/>
    <n v="782"/>
    <n v="5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7"/>
    <n v="471"/>
    <n v="6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08"/>
    <n v="197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5"/>
    <s v="09"/>
    <n v="25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0"/>
    <n v="215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1"/>
    <n v="22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2"/>
    <n v="227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3"/>
    <n v="219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4"/>
    <n v="247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5"/>
    <n v="251"/>
    <n v="0"/>
    <n v="3"/>
    <n v="0"/>
    <n v="3"/>
    <n v="0"/>
    <n v="0"/>
    <n v="0"/>
    <n v="0"/>
  </r>
  <r>
    <s v="Abu Dhabi Duty Free"/>
    <s v="Mega Big Ticket_August 2013"/>
    <x v="0"/>
    <s v="Entertainment &amp; Lifestyle Sections - 300x250 - EN - UAE"/>
    <s v="2013-08-15"/>
    <s v="16"/>
    <n v="234"/>
    <n v="2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5"/>
    <s v="17"/>
    <n v="220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8"/>
    <n v="239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19"/>
    <n v="223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20"/>
    <n v="179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21"/>
    <n v="244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22"/>
    <n v="155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5"/>
    <s v="23"/>
    <n v="125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0"/>
    <n v="118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1"/>
    <n v="8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2"/>
    <n v="4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3"/>
    <n v="3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4"/>
    <n v="35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5"/>
    <n v="64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6"/>
    <n v="9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7"/>
    <n v="211"/>
    <n v="7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08"/>
    <n v="404"/>
    <n v="6"/>
    <n v="8"/>
    <n v="0"/>
    <n v="8"/>
    <n v="500"/>
    <n v="0"/>
    <n v="500"/>
    <n v="0"/>
  </r>
  <r>
    <s v="Abu Dhabi Duty Free"/>
    <s v="Mega Big Ticket_August 2013"/>
    <x v="0"/>
    <s v="Entertainment &amp; Lifestyle Sections - 300x250 - EN - UAE"/>
    <s v="2013-08-16"/>
    <s v="09"/>
    <n v="442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10"/>
    <n v="171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11"/>
    <n v="153"/>
    <n v="2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16"/>
    <s v="12"/>
    <n v="150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13"/>
    <n v="150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14"/>
    <n v="142"/>
    <n v="1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6"/>
    <s v="15"/>
    <n v="167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16"/>
    <n v="61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17"/>
    <n v="26"/>
    <n v="0"/>
    <n v="2"/>
    <n v="2"/>
    <n v="0"/>
    <n v="130"/>
    <n v="130"/>
    <n v="0"/>
    <n v="0"/>
  </r>
  <r>
    <s v="Abu Dhabi Duty Free"/>
    <s v="Mega Big Ticket_August 2013"/>
    <x v="0"/>
    <s v="Entertainment &amp; Lifestyle Sections - 300x250 - EN - UAE"/>
    <s v="2013-08-16"/>
    <s v="18"/>
    <n v="2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19"/>
    <n v="34"/>
    <n v="0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6"/>
    <s v="20"/>
    <n v="2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21"/>
    <n v="0"/>
    <n v="0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6"/>
    <s v="22"/>
    <n v="169"/>
    <n v="4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6"/>
    <s v="23"/>
    <n v="167"/>
    <n v="0"/>
    <n v="4"/>
    <n v="1"/>
    <n v="3"/>
    <n v="0"/>
    <n v="0"/>
    <n v="0"/>
    <n v="0"/>
  </r>
  <r>
    <s v="Abu Dhabi Duty Free"/>
    <s v="Mega Big Ticket_August 2013"/>
    <x v="0"/>
    <s v="Entertainment &amp; Lifestyle Sections - 300x250 - EN - UAE"/>
    <s v="2013-08-17"/>
    <s v="00"/>
    <n v="149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1"/>
    <n v="79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2"/>
    <n v="65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3"/>
    <n v="39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4"/>
    <n v="5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5"/>
    <n v="6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6"/>
    <n v="21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7"/>
    <n v="525"/>
    <n v="1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8"/>
    <n v="490"/>
    <n v="3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09"/>
    <n v="175"/>
    <n v="4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7"/>
    <s v="10"/>
    <n v="162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11"/>
    <n v="196"/>
    <n v="2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7"/>
    <s v="12"/>
    <n v="178"/>
    <n v="2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7"/>
    <s v="13"/>
    <n v="161"/>
    <n v="2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7"/>
    <s v="14"/>
    <n v="193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15"/>
    <n v="201"/>
    <n v="1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7"/>
    <s v="16"/>
    <n v="162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17"/>
    <n v="178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18"/>
    <n v="20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19"/>
    <n v="168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20"/>
    <n v="16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21"/>
    <n v="162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22"/>
    <n v="257"/>
    <n v="3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17"/>
    <s v="23"/>
    <n v="209"/>
    <n v="4"/>
    <n v="3"/>
    <n v="1"/>
    <n v="2"/>
    <n v="0"/>
    <n v="0"/>
    <n v="0"/>
    <n v="0"/>
  </r>
  <r>
    <s v="Abu Dhabi Duty Free"/>
    <s v="Mega Big Ticket_August 2013"/>
    <x v="0"/>
    <s v="Entertainment &amp; Lifestyle Sections - 300x250 - EN - UAE"/>
    <s v="2013-08-18"/>
    <s v="00"/>
    <n v="157"/>
    <n v="0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8"/>
    <s v="01"/>
    <n v="7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02"/>
    <n v="7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03"/>
    <n v="5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04"/>
    <n v="57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05"/>
    <n v="136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06"/>
    <n v="899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07"/>
    <n v="530"/>
    <n v="8"/>
    <n v="6"/>
    <n v="4"/>
    <n v="2"/>
    <n v="1000"/>
    <n v="1000"/>
    <n v="0"/>
    <n v="0"/>
  </r>
  <r>
    <s v="Abu Dhabi Duty Free"/>
    <s v="Mega Big Ticket_August 2013"/>
    <x v="0"/>
    <s v="Entertainment &amp; Lifestyle Sections - 300x250 - EN - UAE"/>
    <s v="2013-08-18"/>
    <s v="08"/>
    <n v="256"/>
    <n v="1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8"/>
    <s v="09"/>
    <n v="243"/>
    <n v="5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10"/>
    <n v="253"/>
    <n v="2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8"/>
    <s v="11"/>
    <n v="211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8"/>
    <s v="12"/>
    <n v="260"/>
    <n v="3"/>
    <n v="5"/>
    <n v="4"/>
    <n v="1"/>
    <n v="0"/>
    <n v="0"/>
    <n v="0"/>
    <n v="0"/>
  </r>
  <r>
    <s v="Abu Dhabi Duty Free"/>
    <s v="Mega Big Ticket_August 2013"/>
    <x v="0"/>
    <s v="Entertainment &amp; Lifestyle Sections - 300x250 - EN - UAE"/>
    <s v="2013-08-18"/>
    <s v="13"/>
    <n v="242"/>
    <n v="2"/>
    <n v="3"/>
    <n v="1"/>
    <n v="2"/>
    <n v="500"/>
    <n v="500"/>
    <n v="0"/>
    <n v="0"/>
  </r>
  <r>
    <s v="Abu Dhabi Duty Free"/>
    <s v="Mega Big Ticket_August 2013"/>
    <x v="0"/>
    <s v="Entertainment &amp; Lifestyle Sections - 300x250 - EN - UAE"/>
    <s v="2013-08-18"/>
    <s v="14"/>
    <n v="250"/>
    <n v="0"/>
    <n v="6"/>
    <n v="0"/>
    <n v="6"/>
    <n v="500"/>
    <n v="0"/>
    <n v="500"/>
    <n v="0"/>
  </r>
  <r>
    <s v="Abu Dhabi Duty Free"/>
    <s v="Mega Big Ticket_August 2013"/>
    <x v="0"/>
    <s v="Entertainment &amp; Lifestyle Sections - 300x250 - EN - UAE"/>
    <s v="2013-08-18"/>
    <s v="15"/>
    <n v="248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16"/>
    <n v="233"/>
    <n v="0"/>
    <n v="4"/>
    <n v="1"/>
    <n v="3"/>
    <n v="0"/>
    <n v="0"/>
    <n v="0"/>
    <n v="0"/>
  </r>
  <r>
    <s v="Abu Dhabi Duty Free"/>
    <s v="Mega Big Ticket_August 2013"/>
    <x v="0"/>
    <s v="Entertainment &amp; Lifestyle Sections - 300x250 - EN - UAE"/>
    <s v="2013-08-18"/>
    <s v="17"/>
    <n v="242"/>
    <n v="2"/>
    <n v="5"/>
    <n v="1"/>
    <n v="4"/>
    <n v="500"/>
    <n v="0"/>
    <n v="500"/>
    <n v="0"/>
  </r>
  <r>
    <s v="Abu Dhabi Duty Free"/>
    <s v="Mega Big Ticket_August 2013"/>
    <x v="0"/>
    <s v="Entertainment &amp; Lifestyle Sections - 300x250 - EN - UAE"/>
    <s v="2013-08-18"/>
    <s v="18"/>
    <n v="239"/>
    <n v="2"/>
    <n v="3"/>
    <n v="1"/>
    <n v="2"/>
    <n v="1000"/>
    <n v="0"/>
    <n v="1000"/>
    <n v="0"/>
  </r>
  <r>
    <s v="Abu Dhabi Duty Free"/>
    <s v="Mega Big Ticket_August 2013"/>
    <x v="0"/>
    <s v="Entertainment &amp; Lifestyle Sections - 300x250 - EN - UAE"/>
    <s v="2013-08-18"/>
    <s v="19"/>
    <n v="255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20"/>
    <n v="231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21"/>
    <n v="235"/>
    <n v="1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8"/>
    <s v="22"/>
    <n v="224"/>
    <n v="3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18"/>
    <s v="23"/>
    <n v="207"/>
    <n v="2"/>
    <n v="1"/>
    <n v="1"/>
    <n v="0"/>
    <n v="100"/>
    <n v="100"/>
    <n v="0"/>
    <n v="0"/>
  </r>
  <r>
    <s v="Abu Dhabi Duty Free"/>
    <s v="Mega Big Ticket_August 2013"/>
    <x v="0"/>
    <s v="Entertainment &amp; Lifestyle Sections - 300x250 - EN - UAE"/>
    <s v="2013-08-19"/>
    <s v="00"/>
    <n v="108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01"/>
    <n v="7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02"/>
    <n v="49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03"/>
    <n v="45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04"/>
    <n v="53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05"/>
    <n v="99"/>
    <n v="1"/>
    <n v="5"/>
    <n v="5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06"/>
    <n v="593"/>
    <n v="5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07"/>
    <n v="986"/>
    <n v="6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19"/>
    <s v="08"/>
    <n v="234"/>
    <n v="1"/>
    <n v="5"/>
    <n v="3"/>
    <n v="2"/>
    <n v="100"/>
    <n v="0"/>
    <n v="100"/>
    <n v="0"/>
  </r>
  <r>
    <s v="Abu Dhabi Duty Free"/>
    <s v="Mega Big Ticket_August 2013"/>
    <x v="0"/>
    <s v="Entertainment &amp; Lifestyle Sections - 300x250 - EN - UAE"/>
    <s v="2013-08-19"/>
    <s v="09"/>
    <n v="256"/>
    <n v="3"/>
    <n v="4"/>
    <n v="0"/>
    <n v="4"/>
    <n v="0"/>
    <n v="0"/>
    <n v="0"/>
    <n v="0"/>
  </r>
  <r>
    <s v="Abu Dhabi Duty Free"/>
    <s v="Mega Big Ticket_August 2013"/>
    <x v="0"/>
    <s v="Entertainment &amp; Lifestyle Sections - 300x250 - EN - UAE"/>
    <s v="2013-08-19"/>
    <s v="10"/>
    <n v="221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11"/>
    <n v="250"/>
    <n v="2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9"/>
    <s v="12"/>
    <n v="237"/>
    <n v="2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19"/>
    <s v="13"/>
    <n v="244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14"/>
    <n v="242"/>
    <n v="3"/>
    <n v="4"/>
    <n v="1"/>
    <n v="3"/>
    <n v="500"/>
    <n v="0"/>
    <n v="500"/>
    <n v="0"/>
  </r>
  <r>
    <s v="Abu Dhabi Duty Free"/>
    <s v="Mega Big Ticket_August 2013"/>
    <x v="0"/>
    <s v="Entertainment &amp; Lifestyle Sections - 300x250 - EN - UAE"/>
    <s v="2013-08-19"/>
    <s v="15"/>
    <n v="241"/>
    <n v="3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16"/>
    <n v="247"/>
    <n v="1"/>
    <n v="4"/>
    <n v="2"/>
    <n v="2"/>
    <n v="0"/>
    <n v="0"/>
    <n v="0"/>
    <n v="0"/>
  </r>
  <r>
    <s v="Abu Dhabi Duty Free"/>
    <s v="Mega Big Ticket_August 2013"/>
    <x v="0"/>
    <s v="Entertainment &amp; Lifestyle Sections - 300x250 - EN - UAE"/>
    <s v="2013-08-19"/>
    <s v="17"/>
    <n v="232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18"/>
    <n v="269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19"/>
    <n v="243"/>
    <n v="1"/>
    <n v="3"/>
    <n v="0"/>
    <n v="3"/>
    <n v="0"/>
    <n v="0"/>
    <n v="0"/>
    <n v="0"/>
  </r>
  <r>
    <s v="Abu Dhabi Duty Free"/>
    <s v="Mega Big Ticket_August 2013"/>
    <x v="0"/>
    <s v="Entertainment &amp; Lifestyle Sections - 300x250 - EN - UAE"/>
    <s v="2013-08-19"/>
    <s v="20"/>
    <n v="267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19"/>
    <s v="21"/>
    <n v="220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22"/>
    <n v="241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19"/>
    <s v="23"/>
    <n v="212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0"/>
    <n v="18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1"/>
    <n v="12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2"/>
    <n v="8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3"/>
    <n v="63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4"/>
    <n v="9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5"/>
    <n v="20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6"/>
    <n v="773"/>
    <n v="5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07"/>
    <n v="441"/>
    <n v="3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20"/>
    <s v="08"/>
    <n v="233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0"/>
    <s v="09"/>
    <n v="236"/>
    <n v="5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10"/>
    <n v="230"/>
    <n v="2"/>
    <n v="6"/>
    <n v="3"/>
    <n v="3"/>
    <n v="100"/>
    <n v="100"/>
    <n v="0"/>
    <n v="0"/>
  </r>
  <r>
    <s v="Abu Dhabi Duty Free"/>
    <s v="Mega Big Ticket_August 2013"/>
    <x v="0"/>
    <s v="Entertainment &amp; Lifestyle Sections - 300x250 - EN - UAE"/>
    <s v="2013-08-20"/>
    <s v="11"/>
    <n v="252"/>
    <n v="1"/>
    <n v="2"/>
    <n v="1"/>
    <n v="1"/>
    <n v="100"/>
    <n v="100"/>
    <n v="0"/>
    <n v="0"/>
  </r>
  <r>
    <s v="Abu Dhabi Duty Free"/>
    <s v="Mega Big Ticket_August 2013"/>
    <x v="0"/>
    <s v="Entertainment &amp; Lifestyle Sections - 300x250 - EN - UAE"/>
    <s v="2013-08-20"/>
    <s v="12"/>
    <n v="24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13"/>
    <n v="218"/>
    <n v="2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0"/>
    <s v="14"/>
    <n v="239"/>
    <n v="0"/>
    <n v="4"/>
    <n v="0"/>
    <n v="4"/>
    <n v="0"/>
    <n v="0"/>
    <n v="0"/>
    <n v="0"/>
  </r>
  <r>
    <s v="Abu Dhabi Duty Free"/>
    <s v="Mega Big Ticket_August 2013"/>
    <x v="0"/>
    <s v="Entertainment &amp; Lifestyle Sections - 300x250 - EN - UAE"/>
    <s v="2013-08-20"/>
    <s v="15"/>
    <n v="221"/>
    <n v="2"/>
    <n v="3"/>
    <n v="0"/>
    <n v="3"/>
    <n v="0"/>
    <n v="0"/>
    <n v="0"/>
    <n v="0"/>
  </r>
  <r>
    <s v="Abu Dhabi Duty Free"/>
    <s v="Mega Big Ticket_August 2013"/>
    <x v="0"/>
    <s v="Entertainment &amp; Lifestyle Sections - 300x250 - EN - UAE"/>
    <s v="2013-08-20"/>
    <s v="16"/>
    <n v="230"/>
    <n v="1"/>
    <n v="1"/>
    <n v="0"/>
    <n v="1"/>
    <n v="1000"/>
    <n v="0"/>
    <n v="1000"/>
    <n v="0"/>
  </r>
  <r>
    <s v="Abu Dhabi Duty Free"/>
    <s v="Mega Big Ticket_August 2013"/>
    <x v="0"/>
    <s v="Entertainment &amp; Lifestyle Sections - 300x250 - EN - UAE"/>
    <s v="2013-08-20"/>
    <s v="17"/>
    <n v="235"/>
    <n v="4"/>
    <n v="4"/>
    <n v="4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18"/>
    <n v="236"/>
    <n v="2"/>
    <n v="2"/>
    <n v="1"/>
    <n v="1"/>
    <n v="0"/>
    <n v="0"/>
    <n v="0"/>
    <n v="0"/>
  </r>
  <r>
    <s v="Abu Dhabi Duty Free"/>
    <s v="Mega Big Ticket_August 2013"/>
    <x v="0"/>
    <s v="Entertainment &amp; Lifestyle Sections - 300x250 - EN - UAE"/>
    <s v="2013-08-20"/>
    <s v="19"/>
    <n v="227"/>
    <n v="1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20"/>
    <s v="20"/>
    <n v="284"/>
    <n v="1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20"/>
    <s v="21"/>
    <n v="182"/>
    <n v="0"/>
    <n v="3"/>
    <n v="0"/>
    <n v="3"/>
    <n v="1000"/>
    <n v="0"/>
    <n v="1000"/>
    <n v="0"/>
  </r>
  <r>
    <s v="Abu Dhabi Duty Free"/>
    <s v="Mega Big Ticket_August 2013"/>
    <x v="0"/>
    <s v="Entertainment &amp; Lifestyle Sections - 300x250 - EN - UAE"/>
    <s v="2013-08-20"/>
    <s v="22"/>
    <n v="242"/>
    <n v="4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0"/>
    <s v="23"/>
    <n v="22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0"/>
    <n v="181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1"/>
    <n v="11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2"/>
    <n v="8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3"/>
    <n v="6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4"/>
    <n v="8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5"/>
    <n v="233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6"/>
    <n v="749"/>
    <n v="2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07"/>
    <n v="430"/>
    <n v="4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21"/>
    <s v="08"/>
    <n v="221"/>
    <n v="0"/>
    <n v="5"/>
    <n v="2"/>
    <n v="3"/>
    <n v="0"/>
    <n v="0"/>
    <n v="0"/>
    <n v="0"/>
  </r>
  <r>
    <s v="Abu Dhabi Duty Free"/>
    <s v="Mega Big Ticket_August 2013"/>
    <x v="0"/>
    <s v="Entertainment &amp; Lifestyle Sections - 300x250 - EN - UAE"/>
    <s v="2013-08-21"/>
    <s v="09"/>
    <n v="23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0"/>
    <n v="237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1"/>
    <n v="224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2"/>
    <n v="239"/>
    <n v="2"/>
    <n v="7"/>
    <n v="5"/>
    <n v="2"/>
    <n v="0"/>
    <n v="0"/>
    <n v="0"/>
    <n v="0"/>
  </r>
  <r>
    <s v="Abu Dhabi Duty Free"/>
    <s v="Mega Big Ticket_August 2013"/>
    <x v="0"/>
    <s v="Entertainment &amp; Lifestyle Sections - 300x250 - EN - UAE"/>
    <s v="2013-08-21"/>
    <s v="13"/>
    <n v="236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4"/>
    <n v="19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5"/>
    <n v="163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6"/>
    <n v="220"/>
    <n v="7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7"/>
    <n v="149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8"/>
    <n v="133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1"/>
    <s v="19"/>
    <n v="161"/>
    <n v="6"/>
    <n v="3"/>
    <n v="0"/>
    <n v="3"/>
    <n v="0"/>
    <n v="0"/>
    <n v="0"/>
    <n v="0"/>
  </r>
  <r>
    <s v="Abu Dhabi Duty Free"/>
    <s v="Mega Big Ticket_August 2013"/>
    <x v="0"/>
    <s v="Entertainment &amp; Lifestyle Sections - 300x250 - EN - UAE"/>
    <s v="2013-08-21"/>
    <s v="20"/>
    <n v="184"/>
    <n v="2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21"/>
    <s v="21"/>
    <n v="211"/>
    <n v="4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1"/>
    <s v="22"/>
    <n v="176"/>
    <n v="0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1"/>
    <s v="23"/>
    <n v="15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00"/>
    <n v="93"/>
    <n v="0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2"/>
    <s v="01"/>
    <n v="4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02"/>
    <n v="5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03"/>
    <n v="47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04"/>
    <n v="45"/>
    <n v="0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22"/>
    <s v="05"/>
    <n v="81"/>
    <n v="2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06"/>
    <n v="470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07"/>
    <n v="938"/>
    <n v="3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2"/>
    <s v="08"/>
    <n v="224"/>
    <n v="3"/>
    <n v="3"/>
    <n v="3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09"/>
    <n v="211"/>
    <n v="0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2"/>
    <s v="10"/>
    <n v="20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11"/>
    <n v="204"/>
    <n v="0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2"/>
    <s v="12"/>
    <n v="199"/>
    <n v="3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22"/>
    <s v="13"/>
    <n v="218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14"/>
    <n v="221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15"/>
    <n v="190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16"/>
    <n v="226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17"/>
    <n v="211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18"/>
    <n v="207"/>
    <n v="4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19"/>
    <n v="211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20"/>
    <n v="213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21"/>
    <n v="184"/>
    <n v="2"/>
    <n v="3"/>
    <n v="0"/>
    <n v="3"/>
    <n v="0"/>
    <n v="0"/>
    <n v="0"/>
    <n v="0"/>
  </r>
  <r>
    <s v="Abu Dhabi Duty Free"/>
    <s v="Mega Big Ticket_August 2013"/>
    <x v="0"/>
    <s v="Entertainment &amp; Lifestyle Sections - 300x250 - EN - UAE"/>
    <s v="2013-08-22"/>
    <s v="22"/>
    <n v="154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2"/>
    <s v="23"/>
    <n v="128"/>
    <n v="4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0"/>
    <n v="128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1"/>
    <n v="9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2"/>
    <n v="5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3"/>
    <n v="5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4"/>
    <n v="4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5"/>
    <n v="6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6"/>
    <n v="14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7"/>
    <n v="199"/>
    <n v="2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8"/>
    <n v="260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09"/>
    <n v="300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0"/>
    <n v="220"/>
    <n v="4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1"/>
    <n v="150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2"/>
    <n v="142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3"/>
    <n v="137"/>
    <n v="0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4"/>
    <n v="129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5"/>
    <n v="149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6"/>
    <n v="129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17"/>
    <n v="125"/>
    <n v="0"/>
    <n v="3"/>
    <n v="0"/>
    <n v="3"/>
    <n v="0"/>
    <n v="0"/>
    <n v="0"/>
    <n v="0"/>
  </r>
  <r>
    <s v="Abu Dhabi Duty Free"/>
    <s v="Mega Big Ticket_August 2013"/>
    <x v="0"/>
    <s v="Entertainment &amp; Lifestyle Sections - 300x250 - EN - UAE"/>
    <s v="2013-08-23"/>
    <s v="18"/>
    <n v="169"/>
    <n v="3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3"/>
    <s v="19"/>
    <n v="103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3"/>
    <s v="20"/>
    <n v="157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21"/>
    <n v="119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22"/>
    <n v="163"/>
    <n v="4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3"/>
    <s v="23"/>
    <n v="168"/>
    <n v="0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00"/>
    <n v="121"/>
    <n v="1"/>
    <n v="2"/>
    <n v="0"/>
    <n v="2"/>
    <n v="500"/>
    <n v="0"/>
    <n v="500"/>
    <n v="0"/>
  </r>
  <r>
    <s v="Abu Dhabi Duty Free"/>
    <s v="Mega Big Ticket_August 2013"/>
    <x v="0"/>
    <s v="Entertainment &amp; Lifestyle Sections - 300x250 - EN - UAE"/>
    <s v="2013-08-24"/>
    <s v="01"/>
    <n v="84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02"/>
    <n v="63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03"/>
    <n v="53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04"/>
    <n v="62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05"/>
    <n v="71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06"/>
    <n v="179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07"/>
    <n v="446"/>
    <n v="3"/>
    <n v="3"/>
    <n v="2"/>
    <n v="1"/>
    <n v="0"/>
    <n v="0"/>
    <n v="0"/>
    <n v="0"/>
  </r>
  <r>
    <s v="Abu Dhabi Duty Free"/>
    <s v="Mega Big Ticket_August 2013"/>
    <x v="0"/>
    <s v="Entertainment &amp; Lifestyle Sections - 300x250 - EN - UAE"/>
    <s v="2013-08-24"/>
    <s v="08"/>
    <n v="496"/>
    <n v="4"/>
    <n v="4"/>
    <n v="4"/>
    <n v="0"/>
    <n v="100"/>
    <n v="100"/>
    <n v="0"/>
    <n v="0"/>
  </r>
  <r>
    <s v="Abu Dhabi Duty Free"/>
    <s v="Mega Big Ticket_August 2013"/>
    <x v="0"/>
    <s v="Entertainment &amp; Lifestyle Sections - 300x250 - EN - UAE"/>
    <s v="2013-08-24"/>
    <s v="09"/>
    <n v="174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10"/>
    <n v="163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11"/>
    <n v="142"/>
    <n v="3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12"/>
    <n v="170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13"/>
    <n v="183"/>
    <n v="4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14"/>
    <n v="159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15"/>
    <n v="174"/>
    <n v="1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24"/>
    <s v="16"/>
    <n v="143"/>
    <n v="0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4"/>
    <s v="17"/>
    <n v="167"/>
    <n v="1"/>
    <n v="2"/>
    <n v="0"/>
    <n v="2"/>
    <n v="0"/>
    <n v="0"/>
    <n v="0"/>
    <n v="0"/>
  </r>
  <r>
    <s v="Abu Dhabi Duty Free"/>
    <s v="Mega Big Ticket_August 2013"/>
    <x v="0"/>
    <s v="Entertainment &amp; Lifestyle Sections - 300x250 - EN - UAE"/>
    <s v="2013-08-24"/>
    <s v="18"/>
    <n v="161"/>
    <n v="2"/>
    <n v="5"/>
    <n v="2"/>
    <n v="3"/>
    <n v="0"/>
    <n v="0"/>
    <n v="0"/>
    <n v="0"/>
  </r>
  <r>
    <s v="Abu Dhabi Duty Free"/>
    <s v="Mega Big Ticket_August 2013"/>
    <x v="0"/>
    <s v="Entertainment &amp; Lifestyle Sections - 300x250 - EN - UAE"/>
    <s v="2013-08-24"/>
    <s v="19"/>
    <n v="179"/>
    <n v="1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20"/>
    <n v="179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4"/>
    <s v="21"/>
    <n v="141"/>
    <n v="4"/>
    <n v="8"/>
    <n v="8"/>
    <n v="0"/>
    <n v="2000"/>
    <n v="2000"/>
    <n v="0"/>
    <n v="0"/>
  </r>
  <r>
    <s v="Abu Dhabi Duty Free"/>
    <s v="Mega Big Ticket_August 2013"/>
    <x v="0"/>
    <s v="Entertainment &amp; Lifestyle Sections - 300x250 - EN - UAE"/>
    <s v="2013-08-24"/>
    <s v="22"/>
    <n v="207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4"/>
    <s v="23"/>
    <n v="173"/>
    <n v="2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0"/>
    <n v="107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1"/>
    <n v="53"/>
    <n v="3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2"/>
    <n v="64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3"/>
    <n v="47"/>
    <n v="1"/>
    <n v="1"/>
    <n v="1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4"/>
    <n v="63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5"/>
    <n v="98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6"/>
    <n v="239"/>
    <n v="7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7"/>
    <n v="738"/>
    <n v="2"/>
    <n v="2"/>
    <n v="2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08"/>
    <n v="677"/>
    <n v="6"/>
    <n v="4"/>
    <n v="3"/>
    <n v="1"/>
    <n v="0"/>
    <n v="0"/>
    <n v="0"/>
    <n v="0"/>
  </r>
  <r>
    <s v="Abu Dhabi Duty Free"/>
    <s v="Mega Big Ticket_August 2013"/>
    <x v="0"/>
    <s v="Entertainment &amp; Lifestyle Sections - 300x250 - EN - UAE"/>
    <s v="2013-08-25"/>
    <s v="09"/>
    <n v="423"/>
    <n v="2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10"/>
    <n v="212"/>
    <n v="0"/>
    <n v="4"/>
    <n v="0"/>
    <n v="4"/>
    <n v="0"/>
    <n v="0"/>
    <n v="0"/>
    <n v="0"/>
  </r>
  <r>
    <s v="Abu Dhabi Duty Free"/>
    <s v="Mega Big Ticket_August 2013"/>
    <x v="0"/>
    <s v="Entertainment &amp; Lifestyle Sections - 300x250 - EN - UAE"/>
    <s v="2013-08-25"/>
    <s v="11"/>
    <n v="247"/>
    <n v="1"/>
    <n v="1"/>
    <n v="0"/>
    <n v="1"/>
    <n v="0"/>
    <n v="0"/>
    <n v="0"/>
    <n v="0"/>
  </r>
  <r>
    <s v="Abu Dhabi Duty Free"/>
    <s v="Mega Big Ticket_August 2013"/>
    <x v="0"/>
    <s v="Entertainment &amp; Lifestyle Sections - 300x250 - EN - UAE"/>
    <s v="2013-08-25"/>
    <s v="12"/>
    <n v="225"/>
    <n v="0"/>
    <n v="0"/>
    <n v="0"/>
    <n v="0"/>
    <n v="0"/>
    <n v="0"/>
    <n v="0"/>
    <n v="0"/>
  </r>
  <r>
    <s v="Abu Dhabi Duty Free"/>
    <s v="Mega Big Ticket_August 2013"/>
    <x v="0"/>
    <s v="Entertainment &amp; Lifestyle Sections - 300x250 - EN - UAE"/>
    <s v="2013-08-25"/>
    <s v="13"/>
    <n v="231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07"/>
    <s v="15"/>
    <n v="1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08"/>
    <n v="82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09"/>
    <n v="1435"/>
    <n v="5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0"/>
    <n v="19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1"/>
    <n v="17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2"/>
    <n v="193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3"/>
    <n v="188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4"/>
    <n v="18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5"/>
    <n v="176"/>
    <n v="2"/>
    <n v="3"/>
    <n v="1"/>
    <n v="2"/>
    <n v="0"/>
    <n v="0"/>
    <n v="0"/>
    <n v="0"/>
  </r>
  <r>
    <s v="Abu Dhabi Duty Free"/>
    <s v="Mega Big Ticket_August 2013"/>
    <x v="0"/>
    <s v="Entertainment &amp; Lifestyle Sections - 728x90 - EN - UAE"/>
    <s v="2013-08-11"/>
    <s v="16"/>
    <n v="18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7"/>
    <n v="19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8"/>
    <n v="191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19"/>
    <n v="197"/>
    <n v="3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20"/>
    <n v="344"/>
    <n v="4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21"/>
    <n v="4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22"/>
    <n v="20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1"/>
    <s v="23"/>
    <n v="17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0"/>
    <n v="15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1"/>
    <n v="155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2"/>
    <n v="103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3"/>
    <n v="97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4"/>
    <n v="131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5"/>
    <n v="335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6"/>
    <n v="23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7"/>
    <n v="35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8"/>
    <n v="17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09"/>
    <n v="208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0"/>
    <n v="17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1"/>
    <n v="19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2"/>
    <n v="188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3"/>
    <n v="16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4"/>
    <n v="189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2"/>
    <s v="15"/>
    <n v="19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6"/>
    <n v="18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7"/>
    <n v="170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2"/>
    <s v="18"/>
    <n v="159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19"/>
    <n v="217"/>
    <n v="3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20"/>
    <n v="30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21"/>
    <n v="3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22"/>
    <n v="176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2"/>
    <s v="23"/>
    <n v="16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0"/>
    <n v="15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1"/>
    <n v="124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2"/>
    <n v="9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3"/>
    <n v="8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4"/>
    <n v="10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5"/>
    <n v="347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6"/>
    <n v="228"/>
    <n v="0"/>
    <n v="2"/>
    <n v="0"/>
    <n v="2"/>
    <n v="0"/>
    <n v="0"/>
    <n v="0"/>
    <n v="0"/>
  </r>
  <r>
    <s v="Abu Dhabi Duty Free"/>
    <s v="Mega Big Ticket_August 2013"/>
    <x v="0"/>
    <s v="Entertainment &amp; Lifestyle Sections - 728x90 - EN - UAE"/>
    <s v="2013-08-13"/>
    <s v="07"/>
    <n v="31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8"/>
    <n v="16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09"/>
    <n v="17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0"/>
    <n v="17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1"/>
    <n v="17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2"/>
    <n v="18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3"/>
    <n v="18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4"/>
    <n v="16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5"/>
    <n v="16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6"/>
    <n v="17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7"/>
    <n v="17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8"/>
    <n v="16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19"/>
    <n v="20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20"/>
    <n v="28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21"/>
    <n v="5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22"/>
    <n v="190"/>
    <n v="3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3"/>
    <s v="23"/>
    <n v="17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0"/>
    <n v="14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1"/>
    <n v="11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2"/>
    <n v="6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3"/>
    <n v="7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4"/>
    <n v="8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5"/>
    <n v="23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6"/>
    <n v="475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7"/>
    <n v="336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4"/>
    <s v="08"/>
    <n v="17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09"/>
    <n v="19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0"/>
    <n v="18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1"/>
    <n v="177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2"/>
    <n v="17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3"/>
    <n v="191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4"/>
    <n v="17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5"/>
    <n v="17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6"/>
    <n v="185"/>
    <n v="2"/>
    <n v="3"/>
    <n v="3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7"/>
    <n v="19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8"/>
    <n v="182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19"/>
    <n v="20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20"/>
    <n v="276"/>
    <n v="4"/>
    <n v="2"/>
    <n v="0"/>
    <n v="2"/>
    <n v="500"/>
    <n v="0"/>
    <n v="500"/>
    <n v="0"/>
  </r>
  <r>
    <s v="Abu Dhabi Duty Free"/>
    <s v="Mega Big Ticket_August 2013"/>
    <x v="0"/>
    <s v="Entertainment &amp; Lifestyle Sections - 728x90 - EN - UAE"/>
    <s v="2013-08-14"/>
    <s v="21"/>
    <n v="116"/>
    <n v="4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22"/>
    <n v="187"/>
    <n v="8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4"/>
    <s v="23"/>
    <n v="16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0"/>
    <n v="13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1"/>
    <n v="8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2"/>
    <n v="5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3"/>
    <n v="5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4"/>
    <n v="6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5"/>
    <n v="188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6"/>
    <n v="599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7"/>
    <n v="503"/>
    <n v="1"/>
    <n v="3"/>
    <n v="1"/>
    <n v="2"/>
    <n v="0"/>
    <n v="0"/>
    <n v="0"/>
    <n v="0"/>
  </r>
  <r>
    <s v="Abu Dhabi Duty Free"/>
    <s v="Mega Big Ticket_August 2013"/>
    <x v="0"/>
    <s v="Entertainment &amp; Lifestyle Sections - 728x90 - EN - UAE"/>
    <s v="2013-08-15"/>
    <s v="08"/>
    <n v="20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09"/>
    <n v="18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0"/>
    <n v="19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1"/>
    <n v="205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2"/>
    <n v="18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3"/>
    <n v="19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4"/>
    <n v="20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5"/>
    <n v="18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6"/>
    <n v="18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7"/>
    <n v="19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8"/>
    <n v="20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19"/>
    <n v="19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20"/>
    <n v="23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21"/>
    <n v="15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22"/>
    <n v="13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5"/>
    <s v="23"/>
    <n v="11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0"/>
    <n v="92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1"/>
    <n v="6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2"/>
    <n v="4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3"/>
    <n v="3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4"/>
    <n v="3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5"/>
    <n v="7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6"/>
    <n v="12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7"/>
    <n v="19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8"/>
    <n v="298"/>
    <n v="3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09"/>
    <n v="334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10"/>
    <n v="183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11"/>
    <n v="13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12"/>
    <n v="12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13"/>
    <n v="14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14"/>
    <n v="11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15"/>
    <n v="140"/>
    <n v="1"/>
    <n v="7"/>
    <n v="0"/>
    <n v="7"/>
    <n v="0"/>
    <n v="0"/>
    <n v="0"/>
    <n v="0"/>
  </r>
  <r>
    <s v="Abu Dhabi Duty Free"/>
    <s v="Mega Big Ticket_August 2013"/>
    <x v="0"/>
    <s v="Entertainment &amp; Lifestyle Sections - 728x90 - EN - UAE"/>
    <s v="2013-08-16"/>
    <s v="16"/>
    <n v="128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6"/>
    <s v="17"/>
    <n v="12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18"/>
    <n v="139"/>
    <n v="0"/>
    <n v="4"/>
    <n v="0"/>
    <n v="4"/>
    <n v="0"/>
    <n v="0"/>
    <n v="0"/>
    <n v="0"/>
  </r>
  <r>
    <s v="Abu Dhabi Duty Free"/>
    <s v="Mega Big Ticket_August 2013"/>
    <x v="0"/>
    <s v="Entertainment &amp; Lifestyle Sections - 728x90 - EN - UAE"/>
    <s v="2013-08-16"/>
    <s v="19"/>
    <n v="12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20"/>
    <n v="15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21"/>
    <n v="10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22"/>
    <n v="14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6"/>
    <s v="23"/>
    <n v="13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0"/>
    <n v="120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1"/>
    <n v="6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2"/>
    <n v="4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3"/>
    <n v="3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4"/>
    <n v="4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5"/>
    <n v="5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6"/>
    <n v="16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7"/>
    <n v="373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8"/>
    <n v="45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09"/>
    <n v="14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0"/>
    <n v="15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1"/>
    <n v="13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2"/>
    <n v="14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3"/>
    <n v="14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4"/>
    <n v="137"/>
    <n v="0"/>
    <n v="1"/>
    <n v="1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5"/>
    <n v="14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6"/>
    <n v="15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7"/>
    <n v="149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8"/>
    <n v="13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19"/>
    <n v="14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20"/>
    <n v="19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21"/>
    <n v="89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7"/>
    <s v="22"/>
    <n v="202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7"/>
    <s v="23"/>
    <n v="174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0"/>
    <n v="16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1"/>
    <n v="9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2"/>
    <n v="8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3"/>
    <n v="59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4"/>
    <n v="10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5"/>
    <n v="232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6"/>
    <n v="58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7"/>
    <n v="38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8"/>
    <n v="209"/>
    <n v="2"/>
    <n v="3"/>
    <n v="3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09"/>
    <n v="201"/>
    <n v="1"/>
    <n v="2"/>
    <n v="2"/>
    <n v="0"/>
    <n v="500"/>
    <n v="500"/>
    <n v="0"/>
    <n v="0"/>
  </r>
  <r>
    <s v="Abu Dhabi Duty Free"/>
    <s v="Mega Big Ticket_August 2013"/>
    <x v="0"/>
    <s v="Entertainment &amp; Lifestyle Sections - 728x90 - EN - UAE"/>
    <s v="2013-08-18"/>
    <s v="10"/>
    <n v="209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8"/>
    <s v="11"/>
    <n v="20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2"/>
    <n v="18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3"/>
    <n v="19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4"/>
    <n v="19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5"/>
    <n v="219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6"/>
    <n v="19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7"/>
    <n v="18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8"/>
    <n v="209"/>
    <n v="1"/>
    <n v="1"/>
    <n v="1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19"/>
    <n v="21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20"/>
    <n v="244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21"/>
    <n v="17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22"/>
    <n v="16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8"/>
    <s v="23"/>
    <n v="17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00"/>
    <n v="10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01"/>
    <n v="8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02"/>
    <n v="5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03"/>
    <n v="6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04"/>
    <n v="5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05"/>
    <n v="139"/>
    <n v="0"/>
    <n v="2"/>
    <n v="0"/>
    <n v="2"/>
    <n v="0"/>
    <n v="0"/>
    <n v="0"/>
    <n v="0"/>
  </r>
  <r>
    <s v="Abu Dhabi Duty Free"/>
    <s v="Mega Big Ticket_August 2013"/>
    <x v="0"/>
    <s v="Entertainment &amp; Lifestyle Sections - 728x90 - EN - UAE"/>
    <s v="2013-08-19"/>
    <s v="06"/>
    <n v="638"/>
    <n v="3"/>
    <n v="2"/>
    <n v="1"/>
    <n v="1"/>
    <n v="100"/>
    <n v="0"/>
    <n v="100"/>
    <n v="0"/>
  </r>
  <r>
    <s v="Abu Dhabi Duty Free"/>
    <s v="Mega Big Ticket_August 2013"/>
    <x v="0"/>
    <s v="Entertainment &amp; Lifestyle Sections - 728x90 - EN - UAE"/>
    <s v="2013-08-19"/>
    <s v="07"/>
    <n v="551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08"/>
    <n v="204"/>
    <n v="1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9"/>
    <s v="09"/>
    <n v="203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0"/>
    <n v="191"/>
    <n v="1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19"/>
    <s v="11"/>
    <n v="20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2"/>
    <n v="20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3"/>
    <n v="20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4"/>
    <n v="19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5"/>
    <n v="20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6"/>
    <n v="198"/>
    <n v="3"/>
    <n v="4"/>
    <n v="4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7"/>
    <n v="196"/>
    <n v="0"/>
    <n v="1"/>
    <n v="1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8"/>
    <n v="207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19"/>
    <n v="20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20"/>
    <n v="24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21"/>
    <n v="145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22"/>
    <n v="188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19"/>
    <s v="23"/>
    <n v="15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0"/>
    <n v="13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1"/>
    <n v="7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2"/>
    <n v="5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3"/>
    <n v="6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4"/>
    <n v="5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5"/>
    <n v="15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6"/>
    <n v="634"/>
    <n v="2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0"/>
    <s v="07"/>
    <n v="333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0"/>
    <s v="08"/>
    <n v="18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09"/>
    <n v="19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10"/>
    <n v="177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11"/>
    <n v="184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0"/>
    <s v="12"/>
    <n v="19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13"/>
    <n v="19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14"/>
    <n v="17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15"/>
    <n v="20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16"/>
    <n v="151"/>
    <n v="0"/>
    <n v="2"/>
    <n v="0"/>
    <n v="2"/>
    <n v="500"/>
    <n v="0"/>
    <n v="500"/>
    <n v="0"/>
  </r>
  <r>
    <s v="Abu Dhabi Duty Free"/>
    <s v="Mega Big Ticket_August 2013"/>
    <x v="0"/>
    <s v="Entertainment &amp; Lifestyle Sections - 728x90 - EN - UAE"/>
    <s v="2013-08-20"/>
    <s v="17"/>
    <n v="191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0"/>
    <s v="18"/>
    <n v="18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19"/>
    <n v="18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20"/>
    <n v="306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0"/>
    <s v="21"/>
    <n v="5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0"/>
    <s v="22"/>
    <n v="193"/>
    <n v="1"/>
    <n v="7"/>
    <n v="0"/>
    <n v="7"/>
    <n v="100"/>
    <n v="0"/>
    <n v="100"/>
    <n v="0"/>
  </r>
  <r>
    <s v="Abu Dhabi Duty Free"/>
    <s v="Mega Big Ticket_August 2013"/>
    <x v="0"/>
    <s v="Entertainment &amp; Lifestyle Sections - 728x90 - EN - UAE"/>
    <s v="2013-08-20"/>
    <s v="23"/>
    <n v="16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0"/>
    <n v="158"/>
    <n v="1"/>
    <n v="1"/>
    <n v="1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1"/>
    <n v="13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2"/>
    <n v="7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3"/>
    <n v="7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4"/>
    <n v="118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5"/>
    <n v="34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6"/>
    <n v="27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7"/>
    <n v="31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8"/>
    <n v="18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09"/>
    <n v="188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0"/>
    <n v="183"/>
    <n v="0"/>
    <n v="4"/>
    <n v="0"/>
    <n v="4"/>
    <n v="500"/>
    <n v="0"/>
    <n v="500"/>
    <n v="0"/>
  </r>
  <r>
    <s v="Abu Dhabi Duty Free"/>
    <s v="Mega Big Ticket_August 2013"/>
    <x v="0"/>
    <s v="Entertainment &amp; Lifestyle Sections - 728x90 - EN - UAE"/>
    <s v="2013-08-21"/>
    <s v="11"/>
    <n v="18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2"/>
    <n v="187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3"/>
    <n v="17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4"/>
    <n v="19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5"/>
    <n v="183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1"/>
    <s v="16"/>
    <n v="185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7"/>
    <n v="17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8"/>
    <n v="18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19"/>
    <n v="168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20"/>
    <n v="247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21"/>
    <n v="150"/>
    <n v="0"/>
    <n v="2"/>
    <n v="0"/>
    <n v="2"/>
    <n v="500"/>
    <n v="0"/>
    <n v="500"/>
    <n v="0"/>
  </r>
  <r>
    <s v="Abu Dhabi Duty Free"/>
    <s v="Mega Big Ticket_August 2013"/>
    <x v="0"/>
    <s v="Entertainment &amp; Lifestyle Sections - 728x90 - EN - UAE"/>
    <s v="2013-08-21"/>
    <s v="22"/>
    <n v="181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21"/>
    <s v="23"/>
    <n v="152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0"/>
    <n v="116"/>
    <n v="6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1"/>
    <n v="6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2"/>
    <n v="5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3"/>
    <n v="11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4"/>
    <n v="6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5"/>
    <n v="10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6"/>
    <n v="617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07"/>
    <n v="570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2"/>
    <s v="08"/>
    <n v="167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2"/>
    <s v="09"/>
    <n v="19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0"/>
    <n v="176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1"/>
    <n v="17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2"/>
    <n v="183"/>
    <n v="1"/>
    <n v="4"/>
    <n v="4"/>
    <n v="0"/>
    <n v="500"/>
    <n v="500"/>
    <n v="0"/>
    <n v="0"/>
  </r>
  <r>
    <s v="Abu Dhabi Duty Free"/>
    <s v="Mega Big Ticket_August 2013"/>
    <x v="0"/>
    <s v="Entertainment &amp; Lifestyle Sections - 728x90 - EN - UAE"/>
    <s v="2013-08-22"/>
    <s v="13"/>
    <n v="18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4"/>
    <n v="182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5"/>
    <n v="16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6"/>
    <n v="17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7"/>
    <n v="16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8"/>
    <n v="19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19"/>
    <n v="174"/>
    <n v="0"/>
    <n v="1"/>
    <n v="1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20"/>
    <n v="237"/>
    <n v="4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21"/>
    <n v="9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2"/>
    <s v="22"/>
    <n v="116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2"/>
    <s v="23"/>
    <n v="102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0"/>
    <n v="102"/>
    <n v="3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1"/>
    <n v="9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2"/>
    <n v="6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3"/>
    <n v="5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4"/>
    <n v="5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5"/>
    <n v="8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6"/>
    <n v="170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7"/>
    <n v="22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8"/>
    <n v="16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09"/>
    <n v="12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0"/>
    <n v="10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1"/>
    <n v="10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2"/>
    <n v="102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3"/>
    <n v="113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4"/>
    <n v="107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5"/>
    <n v="12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6"/>
    <n v="10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7"/>
    <n v="11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8"/>
    <n v="114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19"/>
    <n v="11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20"/>
    <n v="158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3"/>
    <s v="21"/>
    <n v="63"/>
    <n v="2"/>
    <n v="1"/>
    <n v="1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22"/>
    <n v="135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3"/>
    <s v="23"/>
    <n v="126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0"/>
    <n v="11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1"/>
    <n v="74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2"/>
    <n v="6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3"/>
    <n v="4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4"/>
    <n v="49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5"/>
    <n v="8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6"/>
    <n v="215"/>
    <n v="0"/>
    <n v="2"/>
    <n v="0"/>
    <n v="2"/>
    <n v="0"/>
    <n v="0"/>
    <n v="0"/>
    <n v="0"/>
  </r>
  <r>
    <s v="Abu Dhabi Duty Free"/>
    <s v="Mega Big Ticket_August 2013"/>
    <x v="0"/>
    <s v="Entertainment &amp; Lifestyle Sections - 728x90 - EN - UAE"/>
    <s v="2013-08-24"/>
    <s v="07"/>
    <n v="434"/>
    <n v="2"/>
    <n v="1"/>
    <n v="1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8"/>
    <n v="140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09"/>
    <n v="13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0"/>
    <n v="13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1"/>
    <n v="133"/>
    <n v="2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2"/>
    <n v="137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3"/>
    <n v="13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4"/>
    <n v="129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4"/>
    <s v="15"/>
    <n v="13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6"/>
    <n v="137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7"/>
    <n v="124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8"/>
    <n v="12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19"/>
    <n v="138"/>
    <n v="2"/>
    <n v="2"/>
    <n v="0"/>
    <n v="2"/>
    <n v="1000"/>
    <n v="0"/>
    <n v="1000"/>
    <n v="0"/>
  </r>
  <r>
    <s v="Abu Dhabi Duty Free"/>
    <s v="Mega Big Ticket_August 2013"/>
    <x v="0"/>
    <s v="Entertainment &amp; Lifestyle Sections - 728x90 - EN - UAE"/>
    <s v="2013-08-24"/>
    <s v="20"/>
    <n v="192"/>
    <n v="1"/>
    <n v="2"/>
    <n v="2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21"/>
    <n v="79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22"/>
    <n v="18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4"/>
    <s v="23"/>
    <n v="154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0"/>
    <n v="9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1"/>
    <n v="5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2"/>
    <n v="65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3"/>
    <n v="4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4"/>
    <n v="33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5"/>
    <n v="90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6"/>
    <n v="332"/>
    <n v="0"/>
    <n v="1"/>
    <n v="0"/>
    <n v="1"/>
    <n v="0"/>
    <n v="0"/>
    <n v="0"/>
    <n v="0"/>
  </r>
  <r>
    <s v="Abu Dhabi Duty Free"/>
    <s v="Mega Big Ticket_August 2013"/>
    <x v="0"/>
    <s v="Entertainment &amp; Lifestyle Sections - 728x90 - EN - UAE"/>
    <s v="2013-08-25"/>
    <s v="07"/>
    <n v="844"/>
    <n v="3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8"/>
    <n v="18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09"/>
    <n v="191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10"/>
    <n v="182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11"/>
    <n v="188"/>
    <n v="1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12"/>
    <n v="178"/>
    <n v="0"/>
    <n v="0"/>
    <n v="0"/>
    <n v="0"/>
    <n v="0"/>
    <n v="0"/>
    <n v="0"/>
    <n v="0"/>
  </r>
  <r>
    <s v="Abu Dhabi Duty Free"/>
    <s v="Mega Big Ticket_August 2013"/>
    <x v="0"/>
    <s v="Entertainment &amp; Lifestyle Sections - 728x90 - EN - UAE"/>
    <s v="2013-08-25"/>
    <s v="13"/>
    <n v="20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07"/>
    <s v="14"/>
    <n v="3"/>
    <n v="4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0"/>
    <s v="09"/>
    <n v="1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0"/>
    <s v="21"/>
    <n v="812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0"/>
    <s v="22"/>
    <n v="702"/>
    <n v="3"/>
    <n v="2"/>
    <n v="2"/>
    <n v="0"/>
    <n v="0"/>
    <n v="0"/>
    <n v="0"/>
    <n v="0"/>
  </r>
  <r>
    <s v="Abu Dhabi Duty Free"/>
    <s v="Mega Big Ticket_August 2013"/>
    <x v="1"/>
    <s v="Entertainment &amp; Lifestyle Sections - 300x250 - EN - UAE"/>
    <s v="2013-08-10"/>
    <s v="23"/>
    <n v="363"/>
    <n v="6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00"/>
    <n v="171"/>
    <n v="3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01"/>
    <n v="104"/>
    <n v="1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02"/>
    <n v="7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03"/>
    <n v="7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04"/>
    <n v="216"/>
    <n v="3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05"/>
    <n v="807"/>
    <n v="3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06"/>
    <n v="1799"/>
    <n v="6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1"/>
    <s v="07"/>
    <n v="3493"/>
    <n v="16"/>
    <n v="8"/>
    <n v="2"/>
    <n v="6"/>
    <n v="500"/>
    <n v="0"/>
    <n v="500"/>
    <n v="0"/>
  </r>
  <r>
    <s v="Abu Dhabi Duty Free"/>
    <s v="Mega Big Ticket_August 2013"/>
    <x v="1"/>
    <s v="Entertainment &amp; Lifestyle Sections - 300x250 - EN - UAE"/>
    <s v="2013-08-11"/>
    <s v="08"/>
    <n v="2260"/>
    <n v="15"/>
    <n v="7"/>
    <n v="4"/>
    <n v="3"/>
    <n v="0"/>
    <n v="0"/>
    <n v="0"/>
    <n v="0"/>
  </r>
  <r>
    <s v="Abu Dhabi Duty Free"/>
    <s v="Mega Big Ticket_August 2013"/>
    <x v="1"/>
    <s v="Entertainment &amp; Lifestyle Sections - 300x250 - EN - UAE"/>
    <s v="2013-08-11"/>
    <s v="09"/>
    <n v="1598"/>
    <n v="7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1"/>
    <s v="10"/>
    <n v="1283"/>
    <n v="8"/>
    <n v="7"/>
    <n v="1"/>
    <n v="6"/>
    <n v="0"/>
    <n v="0"/>
    <n v="0"/>
    <n v="0"/>
  </r>
  <r>
    <s v="Abu Dhabi Duty Free"/>
    <s v="Mega Big Ticket_August 2013"/>
    <x v="1"/>
    <s v="Entertainment &amp; Lifestyle Sections - 300x250 - EN - UAE"/>
    <s v="2013-08-11"/>
    <s v="11"/>
    <n v="1300"/>
    <n v="7"/>
    <n v="4"/>
    <n v="2"/>
    <n v="2"/>
    <n v="0"/>
    <n v="0"/>
    <n v="0"/>
    <n v="0"/>
  </r>
  <r>
    <s v="Abu Dhabi Duty Free"/>
    <s v="Mega Big Ticket_August 2013"/>
    <x v="1"/>
    <s v="Entertainment &amp; Lifestyle Sections - 300x250 - EN - UAE"/>
    <s v="2013-08-11"/>
    <s v="12"/>
    <n v="1424"/>
    <n v="6"/>
    <n v="4"/>
    <n v="1"/>
    <n v="3"/>
    <n v="0"/>
    <n v="0"/>
    <n v="0"/>
    <n v="0"/>
  </r>
  <r>
    <s v="Abu Dhabi Duty Free"/>
    <s v="Mega Big Ticket_August 2013"/>
    <x v="1"/>
    <s v="Entertainment &amp; Lifestyle Sections - 300x250 - EN - UAE"/>
    <s v="2013-08-11"/>
    <s v="13"/>
    <n v="1235"/>
    <n v="13"/>
    <n v="5"/>
    <n v="5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14"/>
    <n v="1097"/>
    <n v="10"/>
    <n v="2"/>
    <n v="2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15"/>
    <n v="983"/>
    <n v="8"/>
    <n v="7"/>
    <n v="4"/>
    <n v="3"/>
    <n v="0"/>
    <n v="0"/>
    <n v="0"/>
    <n v="0"/>
  </r>
  <r>
    <s v="Abu Dhabi Duty Free"/>
    <s v="Mega Big Ticket_August 2013"/>
    <x v="1"/>
    <s v="Entertainment &amp; Lifestyle Sections - 300x250 - EN - UAE"/>
    <s v="2013-08-11"/>
    <s v="16"/>
    <n v="922"/>
    <n v="6"/>
    <n v="3"/>
    <n v="3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17"/>
    <n v="688"/>
    <n v="4"/>
    <n v="3"/>
    <n v="3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18"/>
    <n v="650"/>
    <n v="5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19"/>
    <n v="587"/>
    <n v="5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1"/>
    <s v="20"/>
    <n v="644"/>
    <n v="2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1"/>
    <s v="21"/>
    <n v="500"/>
    <n v="5"/>
    <n v="3"/>
    <n v="3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22"/>
    <n v="25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1"/>
    <s v="23"/>
    <n v="140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0"/>
    <n v="6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1"/>
    <n v="4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2"/>
    <n v="3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3"/>
    <n v="3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4"/>
    <n v="65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5"/>
    <n v="22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6"/>
    <n v="51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07"/>
    <n v="1171"/>
    <n v="3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2"/>
    <s v="08"/>
    <n v="1242"/>
    <n v="9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2"/>
    <s v="09"/>
    <n v="996"/>
    <n v="2"/>
    <n v="9"/>
    <n v="8"/>
    <n v="1"/>
    <n v="500"/>
    <n v="500"/>
    <n v="0"/>
    <n v="0"/>
  </r>
  <r>
    <s v="Abu Dhabi Duty Free"/>
    <s v="Mega Big Ticket_August 2013"/>
    <x v="1"/>
    <s v="Entertainment &amp; Lifestyle Sections - 300x250 - EN - UAE"/>
    <s v="2013-08-12"/>
    <s v="10"/>
    <n v="938"/>
    <n v="5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2"/>
    <s v="11"/>
    <n v="880"/>
    <n v="2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2"/>
    <s v="12"/>
    <n v="1165"/>
    <n v="9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12"/>
    <s v="13"/>
    <n v="798"/>
    <n v="2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2"/>
    <s v="14"/>
    <n v="776"/>
    <n v="3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15"/>
    <n v="916"/>
    <n v="5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2"/>
    <s v="16"/>
    <n v="660"/>
    <n v="5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2"/>
    <s v="17"/>
    <n v="464"/>
    <n v="5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2"/>
    <s v="18"/>
    <n v="531"/>
    <n v="5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19"/>
    <n v="537"/>
    <n v="6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20"/>
    <n v="464"/>
    <n v="1"/>
    <n v="35"/>
    <n v="34"/>
    <n v="1"/>
    <n v="0"/>
    <n v="0"/>
    <n v="0"/>
    <n v="0"/>
  </r>
  <r>
    <s v="Abu Dhabi Duty Free"/>
    <s v="Mega Big Ticket_August 2013"/>
    <x v="1"/>
    <s v="Entertainment &amp; Lifestyle Sections - 300x250 - EN - UAE"/>
    <s v="2013-08-12"/>
    <s v="21"/>
    <n v="379"/>
    <n v="2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22"/>
    <n v="212"/>
    <n v="2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2"/>
    <s v="23"/>
    <n v="9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0"/>
    <n v="5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1"/>
    <n v="3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2"/>
    <n v="1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3"/>
    <n v="25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4"/>
    <n v="37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5"/>
    <n v="135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6"/>
    <n v="359"/>
    <n v="1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13"/>
    <s v="07"/>
    <n v="591"/>
    <n v="2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3"/>
    <s v="08"/>
    <n v="507"/>
    <n v="2"/>
    <n v="2"/>
    <n v="2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09"/>
    <n v="467"/>
    <n v="2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3"/>
    <s v="10"/>
    <n v="717"/>
    <n v="4"/>
    <n v="4"/>
    <n v="1"/>
    <n v="3"/>
    <n v="0"/>
    <n v="0"/>
    <n v="0"/>
    <n v="0"/>
  </r>
  <r>
    <s v="Abu Dhabi Duty Free"/>
    <s v="Mega Big Ticket_August 2013"/>
    <x v="1"/>
    <s v="Entertainment &amp; Lifestyle Sections - 300x250 - EN - UAE"/>
    <s v="2013-08-13"/>
    <s v="11"/>
    <n v="708"/>
    <n v="5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12"/>
    <n v="691"/>
    <n v="6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13"/>
    <n v="531"/>
    <n v="2"/>
    <n v="3"/>
    <n v="1"/>
    <n v="2"/>
    <n v="0"/>
    <n v="0"/>
    <n v="0"/>
    <n v="0"/>
  </r>
  <r>
    <s v="Abu Dhabi Duty Free"/>
    <s v="Mega Big Ticket_August 2013"/>
    <x v="1"/>
    <s v="Entertainment &amp; Lifestyle Sections - 300x250 - EN - UAE"/>
    <s v="2013-08-13"/>
    <s v="14"/>
    <n v="424"/>
    <n v="2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3"/>
    <s v="15"/>
    <n v="454"/>
    <n v="4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3"/>
    <s v="16"/>
    <n v="447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17"/>
    <n v="303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3"/>
    <s v="18"/>
    <n v="290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3"/>
    <s v="19"/>
    <n v="341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3"/>
    <s v="20"/>
    <n v="304"/>
    <n v="2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3"/>
    <s v="21"/>
    <n v="386"/>
    <n v="2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3"/>
    <s v="22"/>
    <n v="17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3"/>
    <s v="23"/>
    <n v="11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00"/>
    <n v="62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01"/>
    <n v="2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02"/>
    <n v="2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03"/>
    <n v="2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04"/>
    <n v="66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05"/>
    <n v="139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4"/>
    <s v="06"/>
    <n v="335"/>
    <n v="2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14"/>
    <s v="07"/>
    <n v="824"/>
    <n v="5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4"/>
    <s v="08"/>
    <n v="2088"/>
    <n v="10"/>
    <n v="4"/>
    <n v="2"/>
    <n v="2"/>
    <n v="0"/>
    <n v="0"/>
    <n v="0"/>
    <n v="0"/>
  </r>
  <r>
    <s v="Abu Dhabi Duty Free"/>
    <s v="Mega Big Ticket_August 2013"/>
    <x v="1"/>
    <s v="Entertainment &amp; Lifestyle Sections - 300x250 - EN - UAE"/>
    <s v="2013-08-14"/>
    <s v="09"/>
    <n v="1295"/>
    <n v="3"/>
    <n v="3"/>
    <n v="0"/>
    <n v="3"/>
    <n v="100"/>
    <n v="0"/>
    <n v="100"/>
    <n v="0"/>
  </r>
  <r>
    <s v="Abu Dhabi Duty Free"/>
    <s v="Mega Big Ticket_August 2013"/>
    <x v="1"/>
    <s v="Entertainment &amp; Lifestyle Sections - 300x250 - EN - UAE"/>
    <s v="2013-08-14"/>
    <s v="10"/>
    <n v="895"/>
    <n v="5"/>
    <n v="5"/>
    <n v="2"/>
    <n v="3"/>
    <n v="0"/>
    <n v="0"/>
    <n v="0"/>
    <n v="0"/>
  </r>
  <r>
    <s v="Abu Dhabi Duty Free"/>
    <s v="Mega Big Ticket_August 2013"/>
    <x v="1"/>
    <s v="Entertainment &amp; Lifestyle Sections - 300x250 - EN - UAE"/>
    <s v="2013-08-14"/>
    <s v="11"/>
    <n v="1014"/>
    <n v="6"/>
    <n v="9"/>
    <n v="2"/>
    <n v="7"/>
    <n v="0"/>
    <n v="0"/>
    <n v="0"/>
    <n v="0"/>
  </r>
  <r>
    <s v="Abu Dhabi Duty Free"/>
    <s v="Mega Big Ticket_August 2013"/>
    <x v="1"/>
    <s v="Entertainment &amp; Lifestyle Sections - 300x250 - EN - UAE"/>
    <s v="2013-08-14"/>
    <s v="12"/>
    <n v="1049"/>
    <n v="3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4"/>
    <s v="13"/>
    <n v="654"/>
    <n v="2"/>
    <n v="2"/>
    <n v="2"/>
    <n v="0"/>
    <n v="500"/>
    <n v="500"/>
    <n v="0"/>
    <n v="0"/>
  </r>
  <r>
    <s v="Abu Dhabi Duty Free"/>
    <s v="Mega Big Ticket_August 2013"/>
    <x v="1"/>
    <s v="Entertainment &amp; Lifestyle Sections - 300x250 - EN - UAE"/>
    <s v="2013-08-14"/>
    <s v="14"/>
    <n v="555"/>
    <n v="2"/>
    <n v="7"/>
    <n v="6"/>
    <n v="1"/>
    <n v="0"/>
    <n v="0"/>
    <n v="0"/>
    <n v="0"/>
  </r>
  <r>
    <s v="Abu Dhabi Duty Free"/>
    <s v="Mega Big Ticket_August 2013"/>
    <x v="1"/>
    <s v="Entertainment &amp; Lifestyle Sections - 300x250 - EN - UAE"/>
    <s v="2013-08-14"/>
    <s v="15"/>
    <n v="711"/>
    <n v="4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16"/>
    <n v="661"/>
    <n v="4"/>
    <n v="6"/>
    <n v="1"/>
    <n v="5"/>
    <n v="0"/>
    <n v="0"/>
    <n v="0"/>
    <n v="0"/>
  </r>
  <r>
    <s v="Abu Dhabi Duty Free"/>
    <s v="Mega Big Ticket_August 2013"/>
    <x v="1"/>
    <s v="Entertainment &amp; Lifestyle Sections - 300x250 - EN - UAE"/>
    <s v="2013-08-14"/>
    <s v="17"/>
    <n v="435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18"/>
    <n v="435"/>
    <n v="6"/>
    <n v="3"/>
    <n v="1"/>
    <n v="2"/>
    <n v="0"/>
    <n v="0"/>
    <n v="0"/>
    <n v="0"/>
  </r>
  <r>
    <s v="Abu Dhabi Duty Free"/>
    <s v="Mega Big Ticket_August 2013"/>
    <x v="1"/>
    <s v="Entertainment &amp; Lifestyle Sections - 300x250 - EN - UAE"/>
    <s v="2013-08-14"/>
    <s v="19"/>
    <n v="633"/>
    <n v="5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20"/>
    <n v="534"/>
    <n v="2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21"/>
    <n v="409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22"/>
    <n v="316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4"/>
    <s v="23"/>
    <n v="14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0"/>
    <n v="65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1"/>
    <n v="4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2"/>
    <n v="32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3"/>
    <n v="30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4"/>
    <n v="7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5"/>
    <n v="24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6"/>
    <n v="542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07"/>
    <n v="1966"/>
    <n v="6"/>
    <n v="6"/>
    <n v="4"/>
    <n v="2"/>
    <n v="0"/>
    <n v="0"/>
    <n v="0"/>
    <n v="0"/>
  </r>
  <r>
    <s v="Abu Dhabi Duty Free"/>
    <s v="Mega Big Ticket_August 2013"/>
    <x v="1"/>
    <s v="Entertainment &amp; Lifestyle Sections - 300x250 - EN - UAE"/>
    <s v="2013-08-15"/>
    <s v="08"/>
    <n v="4919"/>
    <n v="12"/>
    <n v="6"/>
    <n v="3"/>
    <n v="3"/>
    <n v="0"/>
    <n v="0"/>
    <n v="0"/>
    <n v="0"/>
  </r>
  <r>
    <s v="Abu Dhabi Duty Free"/>
    <s v="Mega Big Ticket_August 2013"/>
    <x v="1"/>
    <s v="Entertainment &amp; Lifestyle Sections - 300x250 - EN - UAE"/>
    <s v="2013-08-15"/>
    <s v="09"/>
    <n v="3296"/>
    <n v="9"/>
    <n v="13"/>
    <n v="10"/>
    <n v="3"/>
    <n v="500"/>
    <n v="0"/>
    <n v="500"/>
    <n v="0"/>
  </r>
  <r>
    <s v="Abu Dhabi Duty Free"/>
    <s v="Mega Big Ticket_August 2013"/>
    <x v="1"/>
    <s v="Entertainment &amp; Lifestyle Sections - 300x250 - EN - UAE"/>
    <s v="2013-08-15"/>
    <s v="10"/>
    <n v="2618"/>
    <n v="13"/>
    <n v="11"/>
    <n v="7"/>
    <n v="4"/>
    <n v="1000"/>
    <n v="0"/>
    <n v="1000"/>
    <n v="0"/>
  </r>
  <r>
    <s v="Abu Dhabi Duty Free"/>
    <s v="Mega Big Ticket_August 2013"/>
    <x v="1"/>
    <s v="Entertainment &amp; Lifestyle Sections - 300x250 - EN - UAE"/>
    <s v="2013-08-15"/>
    <s v="11"/>
    <n v="2740"/>
    <n v="9"/>
    <n v="21"/>
    <n v="20"/>
    <n v="1"/>
    <n v="1000"/>
    <n v="1000"/>
    <n v="0"/>
    <n v="0"/>
  </r>
  <r>
    <s v="Abu Dhabi Duty Free"/>
    <s v="Mega Big Ticket_August 2013"/>
    <x v="1"/>
    <s v="Entertainment &amp; Lifestyle Sections - 300x250 - EN - UAE"/>
    <s v="2013-08-15"/>
    <s v="12"/>
    <n v="2701"/>
    <n v="13"/>
    <n v="16"/>
    <n v="11"/>
    <n v="5"/>
    <n v="500"/>
    <n v="0"/>
    <n v="500"/>
    <n v="0"/>
  </r>
  <r>
    <s v="Abu Dhabi Duty Free"/>
    <s v="Mega Big Ticket_August 2013"/>
    <x v="1"/>
    <s v="Entertainment &amp; Lifestyle Sections - 300x250 - EN - UAE"/>
    <s v="2013-08-15"/>
    <s v="13"/>
    <n v="1904"/>
    <n v="9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5"/>
    <s v="14"/>
    <n v="1636"/>
    <n v="1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15"/>
    <s v="15"/>
    <n v="1636"/>
    <n v="11"/>
    <n v="4"/>
    <n v="2"/>
    <n v="2"/>
    <n v="0"/>
    <n v="0"/>
    <n v="0"/>
    <n v="0"/>
  </r>
  <r>
    <s v="Abu Dhabi Duty Free"/>
    <s v="Mega Big Ticket_August 2013"/>
    <x v="1"/>
    <s v="Entertainment &amp; Lifestyle Sections - 300x250 - EN - UAE"/>
    <s v="2013-08-15"/>
    <s v="16"/>
    <n v="1080"/>
    <n v="4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5"/>
    <s v="17"/>
    <n v="754"/>
    <n v="3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18"/>
    <n v="1060"/>
    <n v="8"/>
    <n v="4"/>
    <n v="3"/>
    <n v="1"/>
    <n v="0"/>
    <n v="0"/>
    <n v="0"/>
    <n v="0"/>
  </r>
  <r>
    <s v="Abu Dhabi Duty Free"/>
    <s v="Mega Big Ticket_August 2013"/>
    <x v="1"/>
    <s v="Entertainment &amp; Lifestyle Sections - 300x250 - EN - UAE"/>
    <s v="2013-08-15"/>
    <s v="19"/>
    <n v="1272"/>
    <n v="8"/>
    <n v="3"/>
    <n v="1"/>
    <n v="2"/>
    <n v="0"/>
    <n v="0"/>
    <n v="0"/>
    <n v="0"/>
  </r>
  <r>
    <s v="Abu Dhabi Duty Free"/>
    <s v="Mega Big Ticket_August 2013"/>
    <x v="1"/>
    <s v="Entertainment &amp; Lifestyle Sections - 300x250 - EN - UAE"/>
    <s v="2013-08-15"/>
    <s v="20"/>
    <n v="1041"/>
    <n v="8"/>
    <n v="2"/>
    <n v="2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21"/>
    <n v="739"/>
    <n v="3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22"/>
    <n v="660"/>
    <n v="7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5"/>
    <s v="23"/>
    <n v="393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00"/>
    <n v="216"/>
    <n v="1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16"/>
    <s v="01"/>
    <n v="162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02"/>
    <n v="85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6"/>
    <s v="03"/>
    <n v="67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04"/>
    <n v="100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05"/>
    <n v="23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06"/>
    <n v="433"/>
    <n v="4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07"/>
    <n v="679"/>
    <n v="7"/>
    <n v="5"/>
    <n v="5"/>
    <n v="0"/>
    <n v="50"/>
    <n v="50"/>
    <n v="0"/>
    <n v="0"/>
  </r>
  <r>
    <s v="Abu Dhabi Duty Free"/>
    <s v="Mega Big Ticket_August 2013"/>
    <x v="1"/>
    <s v="Entertainment &amp; Lifestyle Sections - 300x250 - EN - UAE"/>
    <s v="2013-08-16"/>
    <s v="08"/>
    <n v="1095"/>
    <n v="5"/>
    <n v="3"/>
    <n v="3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09"/>
    <n v="1338"/>
    <n v="5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10"/>
    <n v="1312"/>
    <n v="8"/>
    <n v="7"/>
    <n v="4"/>
    <n v="3"/>
    <n v="0"/>
    <n v="0"/>
    <n v="0"/>
    <n v="0"/>
  </r>
  <r>
    <s v="Abu Dhabi Duty Free"/>
    <s v="Mega Big Ticket_August 2013"/>
    <x v="1"/>
    <s v="Entertainment &amp; Lifestyle Sections - 300x250 - EN - UAE"/>
    <s v="2013-08-16"/>
    <s v="11"/>
    <n v="1108"/>
    <n v="15"/>
    <n v="7"/>
    <n v="4"/>
    <n v="3"/>
    <n v="500"/>
    <n v="0"/>
    <n v="500"/>
    <n v="0"/>
  </r>
  <r>
    <s v="Abu Dhabi Duty Free"/>
    <s v="Mega Big Ticket_August 2013"/>
    <x v="1"/>
    <s v="Entertainment &amp; Lifestyle Sections - 300x250 - EN - UAE"/>
    <s v="2013-08-16"/>
    <s v="12"/>
    <n v="1084"/>
    <n v="9"/>
    <n v="5"/>
    <n v="5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13"/>
    <n v="96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6"/>
    <s v="14"/>
    <n v="0"/>
    <n v="0"/>
    <n v="4"/>
    <n v="0"/>
    <n v="4"/>
    <n v="500"/>
    <n v="0"/>
    <n v="500"/>
    <n v="0"/>
  </r>
  <r>
    <s v="Abu Dhabi Duty Free"/>
    <s v="Mega Big Ticket_August 2013"/>
    <x v="1"/>
    <s v="Entertainment &amp; Lifestyle Sections - 300x250 - EN - UAE"/>
    <s v="2013-08-16"/>
    <s v="15"/>
    <n v="0"/>
    <n v="0"/>
    <n v="6"/>
    <n v="0"/>
    <n v="6"/>
    <n v="500"/>
    <n v="0"/>
    <n v="500"/>
    <n v="0"/>
  </r>
  <r>
    <s v="Abu Dhabi Duty Free"/>
    <s v="Mega Big Ticket_August 2013"/>
    <x v="1"/>
    <s v="Entertainment &amp; Lifestyle Sections - 300x250 - EN - UAE"/>
    <s v="2013-08-16"/>
    <s v="16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6"/>
    <s v="17"/>
    <n v="0"/>
    <n v="0"/>
    <n v="5"/>
    <n v="0"/>
    <n v="5"/>
    <n v="500"/>
    <n v="0"/>
    <n v="500"/>
    <n v="0"/>
  </r>
  <r>
    <s v="Abu Dhabi Duty Free"/>
    <s v="Mega Big Ticket_August 2013"/>
    <x v="1"/>
    <s v="Entertainment &amp; Lifestyle Sections - 300x250 - EN - UAE"/>
    <s v="2013-08-16"/>
    <s v="19"/>
    <n v="0"/>
    <n v="0"/>
    <n v="2"/>
    <n v="0"/>
    <n v="2"/>
    <n v="1000"/>
    <n v="0"/>
    <n v="1000"/>
    <n v="0"/>
  </r>
  <r>
    <s v="Abu Dhabi Duty Free"/>
    <s v="Mega Big Ticket_August 2013"/>
    <x v="1"/>
    <s v="Entertainment &amp; Lifestyle Sections - 300x250 - EN - UAE"/>
    <s v="2013-08-16"/>
    <s v="20"/>
    <n v="0"/>
    <n v="0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6"/>
    <s v="21"/>
    <n v="34"/>
    <n v="1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6"/>
    <s v="22"/>
    <n v="230"/>
    <n v="3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6"/>
    <s v="23"/>
    <n v="157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00"/>
    <n v="148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01"/>
    <n v="118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02"/>
    <n v="8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03"/>
    <n v="7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04"/>
    <n v="147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05"/>
    <n v="406"/>
    <n v="2"/>
    <n v="2"/>
    <n v="1"/>
    <n v="1"/>
    <n v="100"/>
    <n v="0"/>
    <n v="100"/>
    <n v="0"/>
  </r>
  <r>
    <s v="Abu Dhabi Duty Free"/>
    <s v="Mega Big Ticket_August 2013"/>
    <x v="1"/>
    <s v="Entertainment &amp; Lifestyle Sections - 300x250 - EN - UAE"/>
    <s v="2013-08-17"/>
    <s v="06"/>
    <n v="156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07"/>
    <n v="183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7"/>
    <s v="08"/>
    <n v="139"/>
    <n v="1"/>
    <n v="3"/>
    <n v="0"/>
    <n v="3"/>
    <n v="500"/>
    <n v="0"/>
    <n v="500"/>
    <n v="0"/>
  </r>
  <r>
    <s v="Abu Dhabi Duty Free"/>
    <s v="Mega Big Ticket_August 2013"/>
    <x v="1"/>
    <s v="Entertainment &amp; Lifestyle Sections - 300x250 - EN - UAE"/>
    <s v="2013-08-17"/>
    <s v="09"/>
    <n v="197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7"/>
    <s v="10"/>
    <n v="142"/>
    <n v="1"/>
    <n v="6"/>
    <n v="0"/>
    <n v="6"/>
    <n v="500"/>
    <n v="0"/>
    <n v="500"/>
    <n v="0"/>
  </r>
  <r>
    <s v="Abu Dhabi Duty Free"/>
    <s v="Mega Big Ticket_August 2013"/>
    <x v="1"/>
    <s v="Entertainment &amp; Lifestyle Sections - 300x250 - EN - UAE"/>
    <s v="2013-08-17"/>
    <s v="11"/>
    <n v="147"/>
    <n v="2"/>
    <n v="5"/>
    <n v="1"/>
    <n v="4"/>
    <n v="0"/>
    <n v="0"/>
    <n v="0"/>
    <n v="0"/>
  </r>
  <r>
    <s v="Abu Dhabi Duty Free"/>
    <s v="Mega Big Ticket_August 2013"/>
    <x v="1"/>
    <s v="Entertainment &amp; Lifestyle Sections - 300x250 - EN - UAE"/>
    <s v="2013-08-17"/>
    <s v="12"/>
    <n v="159"/>
    <n v="1"/>
    <n v="8"/>
    <n v="0"/>
    <n v="8"/>
    <n v="0"/>
    <n v="0"/>
    <n v="0"/>
    <n v="0"/>
  </r>
  <r>
    <s v="Abu Dhabi Duty Free"/>
    <s v="Mega Big Ticket_August 2013"/>
    <x v="1"/>
    <s v="Entertainment &amp; Lifestyle Sections - 300x250 - EN - UAE"/>
    <s v="2013-08-17"/>
    <s v="13"/>
    <n v="153"/>
    <n v="2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7"/>
    <s v="14"/>
    <n v="149"/>
    <n v="2"/>
    <n v="6"/>
    <n v="2"/>
    <n v="4"/>
    <n v="0"/>
    <n v="0"/>
    <n v="0"/>
    <n v="0"/>
  </r>
  <r>
    <s v="Abu Dhabi Duty Free"/>
    <s v="Mega Big Ticket_August 2013"/>
    <x v="1"/>
    <s v="Entertainment &amp; Lifestyle Sections - 300x250 - EN - UAE"/>
    <s v="2013-08-17"/>
    <s v="15"/>
    <n v="198"/>
    <n v="2"/>
    <n v="7"/>
    <n v="0"/>
    <n v="7"/>
    <n v="0"/>
    <n v="0"/>
    <n v="0"/>
    <n v="0"/>
  </r>
  <r>
    <s v="Abu Dhabi Duty Free"/>
    <s v="Mega Big Ticket_August 2013"/>
    <x v="1"/>
    <s v="Entertainment &amp; Lifestyle Sections - 300x250 - EN - UAE"/>
    <s v="2013-08-17"/>
    <s v="16"/>
    <n v="587"/>
    <n v="8"/>
    <n v="5"/>
    <n v="2"/>
    <n v="3"/>
    <n v="0"/>
    <n v="0"/>
    <n v="0"/>
    <n v="0"/>
  </r>
  <r>
    <s v="Abu Dhabi Duty Free"/>
    <s v="Mega Big Ticket_August 2013"/>
    <x v="1"/>
    <s v="Entertainment &amp; Lifestyle Sections - 300x250 - EN - UAE"/>
    <s v="2013-08-17"/>
    <s v="17"/>
    <n v="307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18"/>
    <n v="26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19"/>
    <n v="0"/>
    <n v="0"/>
    <n v="5"/>
    <n v="0"/>
    <n v="5"/>
    <n v="500"/>
    <n v="0"/>
    <n v="500"/>
    <n v="0"/>
  </r>
  <r>
    <s v="Abu Dhabi Duty Free"/>
    <s v="Mega Big Ticket_August 2013"/>
    <x v="1"/>
    <s v="Entertainment &amp; Lifestyle Sections - 300x250 - EN - UAE"/>
    <s v="2013-08-17"/>
    <s v="20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7"/>
    <s v="21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7"/>
    <s v="22"/>
    <n v="178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7"/>
    <s v="23"/>
    <n v="22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00"/>
    <n v="144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01"/>
    <n v="97"/>
    <n v="1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02"/>
    <n v="6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03"/>
    <n v="8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04"/>
    <n v="162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05"/>
    <n v="457"/>
    <n v="3"/>
    <n v="4"/>
    <n v="1"/>
    <n v="3"/>
    <n v="500"/>
    <n v="0"/>
    <n v="500"/>
    <n v="0"/>
  </r>
  <r>
    <s v="Abu Dhabi Duty Free"/>
    <s v="Mega Big Ticket_August 2013"/>
    <x v="1"/>
    <s v="Entertainment &amp; Lifestyle Sections - 300x250 - EN - UAE"/>
    <s v="2013-08-18"/>
    <s v="06"/>
    <n v="181"/>
    <n v="1"/>
    <n v="3"/>
    <n v="3"/>
    <n v="0"/>
    <n v="100"/>
    <n v="100"/>
    <n v="0"/>
    <n v="0"/>
  </r>
  <r>
    <s v="Abu Dhabi Duty Free"/>
    <s v="Mega Big Ticket_August 2013"/>
    <x v="1"/>
    <s v="Entertainment &amp; Lifestyle Sections - 300x250 - EN - UAE"/>
    <s v="2013-08-18"/>
    <s v="07"/>
    <n v="148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8"/>
    <s v="08"/>
    <n v="228"/>
    <n v="1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8"/>
    <s v="09"/>
    <n v="91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8"/>
    <s v="10"/>
    <n v="144"/>
    <n v="0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18"/>
    <s v="11"/>
    <n v="169"/>
    <n v="0"/>
    <n v="7"/>
    <n v="0"/>
    <n v="7"/>
    <n v="500"/>
    <n v="0"/>
    <n v="500"/>
    <n v="0"/>
  </r>
  <r>
    <s v="Abu Dhabi Duty Free"/>
    <s v="Mega Big Ticket_August 2013"/>
    <x v="1"/>
    <s v="Entertainment &amp; Lifestyle Sections - 300x250 - EN - UAE"/>
    <s v="2013-08-18"/>
    <s v="12"/>
    <n v="150"/>
    <n v="1"/>
    <n v="5"/>
    <n v="3"/>
    <n v="2"/>
    <n v="500"/>
    <n v="500"/>
    <n v="0"/>
    <n v="0"/>
  </r>
  <r>
    <s v="Abu Dhabi Duty Free"/>
    <s v="Mega Big Ticket_August 2013"/>
    <x v="1"/>
    <s v="Entertainment &amp; Lifestyle Sections - 300x250 - EN - UAE"/>
    <s v="2013-08-18"/>
    <s v="13"/>
    <n v="177"/>
    <n v="0"/>
    <n v="5"/>
    <n v="1"/>
    <n v="4"/>
    <n v="0"/>
    <n v="0"/>
    <n v="0"/>
    <n v="0"/>
  </r>
  <r>
    <s v="Abu Dhabi Duty Free"/>
    <s v="Mega Big Ticket_August 2013"/>
    <x v="1"/>
    <s v="Entertainment &amp; Lifestyle Sections - 300x250 - EN - UAE"/>
    <s v="2013-08-18"/>
    <s v="14"/>
    <n v="176"/>
    <n v="1"/>
    <n v="5"/>
    <n v="0"/>
    <n v="5"/>
    <n v="0"/>
    <n v="0"/>
    <n v="0"/>
    <n v="0"/>
  </r>
  <r>
    <s v="Abu Dhabi Duty Free"/>
    <s v="Mega Big Ticket_August 2013"/>
    <x v="1"/>
    <s v="Entertainment &amp; Lifestyle Sections - 300x250 - EN - UAE"/>
    <s v="2013-08-18"/>
    <s v="15"/>
    <n v="163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18"/>
    <s v="16"/>
    <n v="556"/>
    <n v="2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8"/>
    <s v="17"/>
    <n v="325"/>
    <n v="1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8"/>
    <s v="18"/>
    <n v="13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8"/>
    <s v="19"/>
    <n v="0"/>
    <n v="0"/>
    <n v="4"/>
    <n v="1"/>
    <n v="3"/>
    <n v="0"/>
    <n v="0"/>
    <n v="0"/>
    <n v="0"/>
  </r>
  <r>
    <s v="Abu Dhabi Duty Free"/>
    <s v="Mega Big Ticket_August 2013"/>
    <x v="1"/>
    <s v="Entertainment &amp; Lifestyle Sections - 300x250 - EN - UAE"/>
    <s v="2013-08-18"/>
    <s v="21"/>
    <n v="2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22"/>
    <n v="16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8"/>
    <s v="23"/>
    <n v="17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0"/>
    <n v="18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1"/>
    <n v="115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2"/>
    <n v="89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3"/>
    <n v="115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4"/>
    <n v="351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5"/>
    <n v="199"/>
    <n v="2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6"/>
    <n v="158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19"/>
    <s v="07"/>
    <n v="168"/>
    <n v="1"/>
    <n v="5"/>
    <n v="0"/>
    <n v="5"/>
    <n v="0"/>
    <n v="0"/>
    <n v="0"/>
    <n v="0"/>
  </r>
  <r>
    <s v="Abu Dhabi Duty Free"/>
    <s v="Mega Big Ticket_August 2013"/>
    <x v="1"/>
    <s v="Entertainment &amp; Lifestyle Sections - 300x250 - EN - UAE"/>
    <s v="2013-08-19"/>
    <s v="08"/>
    <n v="209"/>
    <n v="2"/>
    <n v="4"/>
    <n v="1"/>
    <n v="3"/>
    <n v="0"/>
    <n v="0"/>
    <n v="0"/>
    <n v="0"/>
  </r>
  <r>
    <s v="Abu Dhabi Duty Free"/>
    <s v="Mega Big Ticket_August 2013"/>
    <x v="1"/>
    <s v="Entertainment &amp; Lifestyle Sections - 300x250 - EN - UAE"/>
    <s v="2013-08-19"/>
    <s v="09"/>
    <n v="121"/>
    <n v="1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19"/>
    <s v="10"/>
    <n v="149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9"/>
    <s v="11"/>
    <n v="174"/>
    <n v="1"/>
    <n v="12"/>
    <n v="1"/>
    <n v="11"/>
    <n v="500"/>
    <n v="0"/>
    <n v="500"/>
    <n v="0"/>
  </r>
  <r>
    <s v="Abu Dhabi Duty Free"/>
    <s v="Mega Big Ticket_August 2013"/>
    <x v="1"/>
    <s v="Entertainment &amp; Lifestyle Sections - 300x250 - EN - UAE"/>
    <s v="2013-08-19"/>
    <s v="12"/>
    <n v="162"/>
    <n v="3"/>
    <n v="4"/>
    <n v="1"/>
    <n v="3"/>
    <n v="0"/>
    <n v="0"/>
    <n v="0"/>
    <n v="0"/>
  </r>
  <r>
    <s v="Abu Dhabi Duty Free"/>
    <s v="Mega Big Ticket_August 2013"/>
    <x v="1"/>
    <s v="Entertainment &amp; Lifestyle Sections - 300x250 - EN - UAE"/>
    <s v="2013-08-19"/>
    <s v="13"/>
    <n v="188"/>
    <n v="2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9"/>
    <s v="14"/>
    <n v="144"/>
    <n v="3"/>
    <n v="8"/>
    <n v="5"/>
    <n v="3"/>
    <n v="200"/>
    <n v="100"/>
    <n v="100"/>
    <n v="0"/>
  </r>
  <r>
    <s v="Abu Dhabi Duty Free"/>
    <s v="Mega Big Ticket_August 2013"/>
    <x v="1"/>
    <s v="Entertainment &amp; Lifestyle Sections - 300x250 - EN - UAE"/>
    <s v="2013-08-19"/>
    <s v="15"/>
    <n v="156"/>
    <n v="0"/>
    <n v="5"/>
    <n v="2"/>
    <n v="3"/>
    <n v="1000"/>
    <n v="500"/>
    <n v="500"/>
    <n v="0"/>
  </r>
  <r>
    <s v="Abu Dhabi Duty Free"/>
    <s v="Mega Big Ticket_August 2013"/>
    <x v="1"/>
    <s v="Entertainment &amp; Lifestyle Sections - 300x250 - EN - UAE"/>
    <s v="2013-08-19"/>
    <s v="16"/>
    <n v="612"/>
    <n v="1"/>
    <n v="5"/>
    <n v="1"/>
    <n v="4"/>
    <n v="0"/>
    <n v="0"/>
    <n v="0"/>
    <n v="0"/>
  </r>
  <r>
    <s v="Abu Dhabi Duty Free"/>
    <s v="Mega Big Ticket_August 2013"/>
    <x v="1"/>
    <s v="Entertainment &amp; Lifestyle Sections - 300x250 - EN - UAE"/>
    <s v="2013-08-19"/>
    <s v="17"/>
    <n v="304"/>
    <n v="3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19"/>
    <s v="1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9"/>
    <s v="20"/>
    <n v="0"/>
    <n v="0"/>
    <n v="4"/>
    <n v="0"/>
    <n v="4"/>
    <n v="100"/>
    <n v="0"/>
    <n v="100"/>
    <n v="0"/>
  </r>
  <r>
    <s v="Abu Dhabi Duty Free"/>
    <s v="Mega Big Ticket_August 2013"/>
    <x v="1"/>
    <s v="Entertainment &amp; Lifestyle Sections - 300x250 - EN - UAE"/>
    <s v="2013-08-19"/>
    <s v="22"/>
    <n v="112"/>
    <n v="1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19"/>
    <s v="23"/>
    <n v="15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0"/>
    <n v="18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1"/>
    <n v="132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2"/>
    <n v="8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3"/>
    <n v="85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4"/>
    <n v="281"/>
    <n v="3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5"/>
    <n v="401"/>
    <n v="0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6"/>
    <n v="13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07"/>
    <n v="164"/>
    <n v="0"/>
    <n v="3"/>
    <n v="0"/>
    <n v="3"/>
    <n v="1000"/>
    <n v="0"/>
    <n v="1000"/>
    <n v="0"/>
  </r>
  <r>
    <s v="Abu Dhabi Duty Free"/>
    <s v="Mega Big Ticket_August 2013"/>
    <x v="1"/>
    <s v="Entertainment &amp; Lifestyle Sections - 300x250 - EN - UAE"/>
    <s v="2013-08-20"/>
    <s v="08"/>
    <n v="192"/>
    <n v="0"/>
    <n v="5"/>
    <n v="0"/>
    <n v="5"/>
    <n v="0"/>
    <n v="0"/>
    <n v="0"/>
    <n v="0"/>
  </r>
  <r>
    <s v="Abu Dhabi Duty Free"/>
    <s v="Mega Big Ticket_August 2013"/>
    <x v="1"/>
    <s v="Entertainment &amp; Lifestyle Sections - 300x250 - EN - UAE"/>
    <s v="2013-08-20"/>
    <s v="09"/>
    <n v="155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20"/>
    <s v="10"/>
    <n v="155"/>
    <n v="2"/>
    <n v="10"/>
    <n v="2"/>
    <n v="8"/>
    <n v="0"/>
    <n v="0"/>
    <n v="0"/>
    <n v="0"/>
  </r>
  <r>
    <s v="Abu Dhabi Duty Free"/>
    <s v="Mega Big Ticket_August 2013"/>
    <x v="1"/>
    <s v="Entertainment &amp; Lifestyle Sections - 300x250 - EN - UAE"/>
    <s v="2013-08-20"/>
    <s v="11"/>
    <n v="156"/>
    <n v="1"/>
    <n v="13"/>
    <n v="3"/>
    <n v="10"/>
    <n v="1000"/>
    <n v="0"/>
    <n v="1000"/>
    <n v="0"/>
  </r>
  <r>
    <s v="Abu Dhabi Duty Free"/>
    <s v="Mega Big Ticket_August 2013"/>
    <x v="1"/>
    <s v="Entertainment &amp; Lifestyle Sections - 300x250 - EN - UAE"/>
    <s v="2013-08-20"/>
    <s v="12"/>
    <n v="153"/>
    <n v="0"/>
    <n v="6"/>
    <n v="1"/>
    <n v="5"/>
    <n v="0"/>
    <n v="0"/>
    <n v="0"/>
    <n v="0"/>
  </r>
  <r>
    <s v="Abu Dhabi Duty Free"/>
    <s v="Mega Big Ticket_August 2013"/>
    <x v="1"/>
    <s v="Entertainment &amp; Lifestyle Sections - 300x250 - EN - UAE"/>
    <s v="2013-08-20"/>
    <s v="13"/>
    <n v="178"/>
    <n v="4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20"/>
    <s v="14"/>
    <n v="153"/>
    <n v="2"/>
    <n v="5"/>
    <n v="3"/>
    <n v="2"/>
    <n v="500"/>
    <n v="500"/>
    <n v="0"/>
    <n v="0"/>
  </r>
  <r>
    <s v="Abu Dhabi Duty Free"/>
    <s v="Mega Big Ticket_August 2013"/>
    <x v="1"/>
    <s v="Entertainment &amp; Lifestyle Sections - 300x250 - EN - UAE"/>
    <s v="2013-08-20"/>
    <s v="15"/>
    <n v="120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20"/>
    <s v="16"/>
    <n v="714"/>
    <n v="4"/>
    <n v="6"/>
    <n v="4"/>
    <n v="2"/>
    <n v="100"/>
    <n v="0"/>
    <n v="100"/>
    <n v="0"/>
  </r>
  <r>
    <s v="Abu Dhabi Duty Free"/>
    <s v="Mega Big Ticket_August 2013"/>
    <x v="1"/>
    <s v="Entertainment &amp; Lifestyle Sections - 300x250 - EN - UAE"/>
    <s v="2013-08-20"/>
    <s v="17"/>
    <n v="183"/>
    <n v="2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0"/>
    <s v="18"/>
    <n v="15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20"/>
    <s v="19"/>
    <n v="3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20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0"/>
    <s v="21"/>
    <n v="16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0"/>
    <s v="22"/>
    <n v="187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0"/>
    <s v="23"/>
    <n v="18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00"/>
    <n v="170"/>
    <n v="1"/>
    <n v="6"/>
    <n v="3"/>
    <n v="3"/>
    <n v="500"/>
    <n v="0"/>
    <n v="500"/>
    <n v="0"/>
  </r>
  <r>
    <s v="Abu Dhabi Duty Free"/>
    <s v="Mega Big Ticket_August 2013"/>
    <x v="1"/>
    <s v="Entertainment &amp; Lifestyle Sections - 300x250 - EN - UAE"/>
    <s v="2013-08-21"/>
    <s v="01"/>
    <n v="118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02"/>
    <n v="85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03"/>
    <n v="115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04"/>
    <n v="272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05"/>
    <n v="244"/>
    <n v="1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06"/>
    <n v="80"/>
    <n v="1"/>
    <n v="4"/>
    <n v="2"/>
    <n v="2"/>
    <n v="0"/>
    <n v="0"/>
    <n v="0"/>
    <n v="0"/>
  </r>
  <r>
    <s v="Abu Dhabi Duty Free"/>
    <s v="Mega Big Ticket_August 2013"/>
    <x v="1"/>
    <s v="Entertainment &amp; Lifestyle Sections - 300x250 - EN - UAE"/>
    <s v="2013-08-21"/>
    <s v="07"/>
    <n v="289"/>
    <n v="3"/>
    <n v="5"/>
    <n v="3"/>
    <n v="2"/>
    <n v="0"/>
    <n v="0"/>
    <n v="0"/>
    <n v="0"/>
  </r>
  <r>
    <s v="Abu Dhabi Duty Free"/>
    <s v="Mega Big Ticket_August 2013"/>
    <x v="1"/>
    <s v="Entertainment &amp; Lifestyle Sections - 300x250 - EN - UAE"/>
    <s v="2013-08-21"/>
    <s v="08"/>
    <n v="167"/>
    <n v="1"/>
    <n v="5"/>
    <n v="0"/>
    <n v="5"/>
    <n v="1500"/>
    <n v="0"/>
    <n v="1500"/>
    <n v="0"/>
  </r>
  <r>
    <s v="Abu Dhabi Duty Free"/>
    <s v="Mega Big Ticket_August 2013"/>
    <x v="1"/>
    <s v="Entertainment &amp; Lifestyle Sections - 300x250 - EN - UAE"/>
    <s v="2013-08-21"/>
    <s v="09"/>
    <n v="168"/>
    <n v="3"/>
    <n v="7"/>
    <n v="0"/>
    <n v="7"/>
    <n v="0"/>
    <n v="0"/>
    <n v="0"/>
    <n v="0"/>
  </r>
  <r>
    <s v="Abu Dhabi Duty Free"/>
    <s v="Mega Big Ticket_August 2013"/>
    <x v="1"/>
    <s v="Entertainment &amp; Lifestyle Sections - 300x250 - EN - UAE"/>
    <s v="2013-08-21"/>
    <s v="10"/>
    <n v="122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11"/>
    <n v="180"/>
    <n v="1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21"/>
    <s v="12"/>
    <n v="154"/>
    <n v="0"/>
    <n v="5"/>
    <n v="0"/>
    <n v="5"/>
    <n v="0"/>
    <n v="0"/>
    <n v="0"/>
    <n v="0"/>
  </r>
  <r>
    <s v="Abu Dhabi Duty Free"/>
    <s v="Mega Big Ticket_August 2013"/>
    <x v="1"/>
    <s v="Entertainment &amp; Lifestyle Sections - 300x250 - EN - UAE"/>
    <s v="2013-08-21"/>
    <s v="13"/>
    <n v="154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21"/>
    <s v="14"/>
    <n v="174"/>
    <n v="0"/>
    <n v="5"/>
    <n v="2"/>
    <n v="3"/>
    <n v="0"/>
    <n v="0"/>
    <n v="0"/>
    <n v="0"/>
  </r>
  <r>
    <s v="Abu Dhabi Duty Free"/>
    <s v="Mega Big Ticket_August 2013"/>
    <x v="1"/>
    <s v="Entertainment &amp; Lifestyle Sections - 300x250 - EN - UAE"/>
    <s v="2013-08-21"/>
    <s v="15"/>
    <n v="180"/>
    <n v="2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1"/>
    <s v="16"/>
    <n v="561"/>
    <n v="2"/>
    <n v="7"/>
    <n v="0"/>
    <n v="7"/>
    <n v="0"/>
    <n v="0"/>
    <n v="0"/>
    <n v="0"/>
  </r>
  <r>
    <s v="Abu Dhabi Duty Free"/>
    <s v="Mega Big Ticket_August 2013"/>
    <x v="1"/>
    <s v="Entertainment &amp; Lifestyle Sections - 300x250 - EN - UAE"/>
    <s v="2013-08-21"/>
    <s v="17"/>
    <n v="248"/>
    <n v="0"/>
    <n v="1"/>
    <n v="0"/>
    <n v="1"/>
    <n v="500"/>
    <n v="0"/>
    <n v="500"/>
    <n v="0"/>
  </r>
  <r>
    <s v="Abu Dhabi Duty Free"/>
    <s v="Mega Big Ticket_August 2013"/>
    <x v="1"/>
    <s v="Entertainment &amp; Lifestyle Sections - 300x250 - EN - UAE"/>
    <s v="2013-08-21"/>
    <s v="18"/>
    <n v="23"/>
    <n v="0"/>
    <n v="6"/>
    <n v="0"/>
    <n v="6"/>
    <n v="0"/>
    <n v="0"/>
    <n v="0"/>
    <n v="0"/>
  </r>
  <r>
    <s v="Abu Dhabi Duty Free"/>
    <s v="Mega Big Ticket_August 2013"/>
    <x v="1"/>
    <s v="Entertainment &amp; Lifestyle Sections - 300x250 - EN - UAE"/>
    <s v="2013-08-21"/>
    <s v="19"/>
    <n v="1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20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21"/>
    <s v="21"/>
    <n v="1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22"/>
    <n v="18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1"/>
    <s v="23"/>
    <n v="94"/>
    <n v="1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00"/>
    <n v="182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01"/>
    <n v="123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02"/>
    <n v="10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03"/>
    <n v="96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04"/>
    <n v="244"/>
    <n v="4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05"/>
    <n v="293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06"/>
    <n v="114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07"/>
    <n v="257"/>
    <n v="2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08"/>
    <n v="169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22"/>
    <s v="09"/>
    <n v="158"/>
    <n v="0"/>
    <n v="12"/>
    <n v="3"/>
    <n v="9"/>
    <n v="500"/>
    <n v="0"/>
    <n v="500"/>
    <n v="0"/>
  </r>
  <r>
    <s v="Abu Dhabi Duty Free"/>
    <s v="Mega Big Ticket_August 2013"/>
    <x v="1"/>
    <s v="Entertainment &amp; Lifestyle Sections - 300x250 - EN - UAE"/>
    <s v="2013-08-22"/>
    <s v="10"/>
    <n v="154"/>
    <n v="1"/>
    <n v="10"/>
    <n v="6"/>
    <n v="4"/>
    <n v="500"/>
    <n v="0"/>
    <n v="500"/>
    <n v="0"/>
  </r>
  <r>
    <s v="Abu Dhabi Duty Free"/>
    <s v="Mega Big Ticket_August 2013"/>
    <x v="1"/>
    <s v="Entertainment &amp; Lifestyle Sections - 300x250 - EN - UAE"/>
    <s v="2013-08-22"/>
    <s v="11"/>
    <n v="163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22"/>
    <s v="12"/>
    <n v="146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13"/>
    <n v="189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14"/>
    <n v="144"/>
    <n v="1"/>
    <n v="4"/>
    <n v="1"/>
    <n v="3"/>
    <n v="0"/>
    <n v="0"/>
    <n v="0"/>
    <n v="0"/>
  </r>
  <r>
    <s v="Abu Dhabi Duty Free"/>
    <s v="Mega Big Ticket_August 2013"/>
    <x v="1"/>
    <s v="Entertainment &amp; Lifestyle Sections - 300x250 - EN - UAE"/>
    <s v="2013-08-22"/>
    <s v="15"/>
    <n v="145"/>
    <n v="0"/>
    <n v="2"/>
    <n v="2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16"/>
    <n v="648"/>
    <n v="3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17"/>
    <n v="285"/>
    <n v="2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22"/>
    <s v="18"/>
    <n v="0"/>
    <n v="0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1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20"/>
    <n v="0"/>
    <n v="0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21"/>
    <n v="70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2"/>
    <s v="22"/>
    <n v="138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2"/>
    <s v="23"/>
    <n v="152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0"/>
    <n v="201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1"/>
    <n v="97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2"/>
    <n v="138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3"/>
    <n v="12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4"/>
    <n v="21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5"/>
    <n v="278"/>
    <n v="4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6"/>
    <n v="161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7"/>
    <n v="183"/>
    <n v="1"/>
    <n v="2"/>
    <n v="2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8"/>
    <n v="15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09"/>
    <n v="154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3"/>
    <s v="10"/>
    <n v="145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3"/>
    <s v="11"/>
    <n v="137"/>
    <n v="1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12"/>
    <n v="185"/>
    <n v="0"/>
    <n v="5"/>
    <n v="2"/>
    <n v="3"/>
    <n v="0"/>
    <n v="0"/>
    <n v="0"/>
    <n v="0"/>
  </r>
  <r>
    <s v="Abu Dhabi Duty Free"/>
    <s v="Mega Big Ticket_August 2013"/>
    <x v="1"/>
    <s v="Entertainment &amp; Lifestyle Sections - 300x250 - EN - UAE"/>
    <s v="2013-08-23"/>
    <s v="13"/>
    <n v="185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14"/>
    <n v="121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3"/>
    <s v="15"/>
    <n v="180"/>
    <n v="2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3"/>
    <s v="16"/>
    <n v="639"/>
    <n v="3"/>
    <n v="4"/>
    <n v="3"/>
    <n v="1"/>
    <n v="0"/>
    <n v="0"/>
    <n v="0"/>
    <n v="0"/>
  </r>
  <r>
    <s v="Abu Dhabi Duty Free"/>
    <s v="Mega Big Ticket_August 2013"/>
    <x v="1"/>
    <s v="Entertainment &amp; Lifestyle Sections - 300x250 - EN - UAE"/>
    <s v="2013-08-23"/>
    <s v="17"/>
    <n v="254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23"/>
    <s v="18"/>
    <n v="20"/>
    <n v="0"/>
    <n v="4"/>
    <n v="2"/>
    <n v="2"/>
    <n v="0"/>
    <n v="0"/>
    <n v="0"/>
    <n v="0"/>
  </r>
  <r>
    <s v="Abu Dhabi Duty Free"/>
    <s v="Mega Big Ticket_August 2013"/>
    <x v="1"/>
    <s v="Entertainment &amp; Lifestyle Sections - 300x250 - EN - UAE"/>
    <s v="2013-08-23"/>
    <s v="19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23"/>
    <s v="20"/>
    <n v="0"/>
    <n v="0"/>
    <n v="3"/>
    <n v="1"/>
    <n v="2"/>
    <n v="500"/>
    <n v="0"/>
    <n v="500"/>
    <n v="0"/>
  </r>
  <r>
    <s v="Abu Dhabi Duty Free"/>
    <s v="Mega Big Ticket_August 2013"/>
    <x v="1"/>
    <s v="Entertainment &amp; Lifestyle Sections - 300x250 - EN - UAE"/>
    <s v="2013-08-23"/>
    <s v="21"/>
    <n v="0"/>
    <n v="0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23"/>
    <s v="22"/>
    <n v="109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3"/>
    <s v="23"/>
    <n v="284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4"/>
    <s v="00"/>
    <n v="156"/>
    <n v="2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4"/>
    <s v="01"/>
    <n v="137"/>
    <n v="1"/>
    <n v="5"/>
    <n v="2"/>
    <n v="3"/>
    <n v="500"/>
    <n v="0"/>
    <n v="500"/>
    <n v="0"/>
  </r>
  <r>
    <s v="Abu Dhabi Duty Free"/>
    <s v="Mega Big Ticket_August 2013"/>
    <x v="1"/>
    <s v="Entertainment &amp; Lifestyle Sections - 300x250 - EN - UAE"/>
    <s v="2013-08-24"/>
    <s v="02"/>
    <n v="96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03"/>
    <n v="9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04"/>
    <n v="231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05"/>
    <n v="289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06"/>
    <n v="17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07"/>
    <n v="131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4"/>
    <s v="08"/>
    <n v="194"/>
    <n v="0"/>
    <n v="3"/>
    <n v="2"/>
    <n v="1"/>
    <n v="0"/>
    <n v="0"/>
    <n v="0"/>
    <n v="0"/>
  </r>
  <r>
    <s v="Abu Dhabi Duty Free"/>
    <s v="Mega Big Ticket_August 2013"/>
    <x v="1"/>
    <s v="Entertainment &amp; Lifestyle Sections - 300x250 - EN - UAE"/>
    <s v="2013-08-24"/>
    <s v="09"/>
    <n v="164"/>
    <n v="1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24"/>
    <s v="10"/>
    <n v="133"/>
    <n v="0"/>
    <n v="4"/>
    <n v="0"/>
    <n v="4"/>
    <n v="700"/>
    <n v="0"/>
    <n v="700"/>
    <n v="0"/>
  </r>
  <r>
    <s v="Abu Dhabi Duty Free"/>
    <s v="Mega Big Ticket_August 2013"/>
    <x v="1"/>
    <s v="Entertainment &amp; Lifestyle Sections - 300x250 - EN - UAE"/>
    <s v="2013-08-24"/>
    <s v="11"/>
    <n v="161"/>
    <n v="1"/>
    <n v="4"/>
    <n v="0"/>
    <n v="4"/>
    <n v="0"/>
    <n v="0"/>
    <n v="0"/>
    <n v="0"/>
  </r>
  <r>
    <s v="Abu Dhabi Duty Free"/>
    <s v="Mega Big Ticket_August 2013"/>
    <x v="1"/>
    <s v="Entertainment &amp; Lifestyle Sections - 300x250 - EN - UAE"/>
    <s v="2013-08-24"/>
    <s v="12"/>
    <n v="185"/>
    <n v="2"/>
    <n v="3"/>
    <n v="0"/>
    <n v="3"/>
    <n v="500"/>
    <n v="0"/>
    <n v="500"/>
    <n v="0"/>
  </r>
  <r>
    <s v="Abu Dhabi Duty Free"/>
    <s v="Mega Big Ticket_August 2013"/>
    <x v="1"/>
    <s v="Entertainment &amp; Lifestyle Sections - 300x250 - EN - UAE"/>
    <s v="2013-08-24"/>
    <s v="13"/>
    <n v="145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14"/>
    <n v="161"/>
    <n v="3"/>
    <n v="5"/>
    <n v="4"/>
    <n v="1"/>
    <n v="500"/>
    <n v="500"/>
    <n v="0"/>
    <n v="0"/>
  </r>
  <r>
    <s v="Abu Dhabi Duty Free"/>
    <s v="Mega Big Ticket_August 2013"/>
    <x v="1"/>
    <s v="Entertainment &amp; Lifestyle Sections - 300x250 - EN - UAE"/>
    <s v="2013-08-24"/>
    <s v="15"/>
    <n v="162"/>
    <n v="1"/>
    <n v="11"/>
    <n v="0"/>
    <n v="11"/>
    <n v="600"/>
    <n v="0"/>
    <n v="600"/>
    <n v="0"/>
  </r>
  <r>
    <s v="Abu Dhabi Duty Free"/>
    <s v="Mega Big Ticket_August 2013"/>
    <x v="1"/>
    <s v="Entertainment &amp; Lifestyle Sections - 300x250 - EN - UAE"/>
    <s v="2013-08-24"/>
    <s v="16"/>
    <n v="598"/>
    <n v="3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17"/>
    <n v="302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24"/>
    <s v="18"/>
    <n v="14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19"/>
    <n v="0"/>
    <n v="0"/>
    <n v="1"/>
    <n v="1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20"/>
    <n v="0"/>
    <n v="0"/>
    <n v="4"/>
    <n v="1"/>
    <n v="3"/>
    <n v="0"/>
    <n v="0"/>
    <n v="0"/>
    <n v="0"/>
  </r>
  <r>
    <s v="Abu Dhabi Duty Free"/>
    <s v="Mega Big Ticket_August 2013"/>
    <x v="1"/>
    <s v="Entertainment &amp; Lifestyle Sections - 300x250 - EN - UAE"/>
    <s v="2013-08-24"/>
    <s v="21"/>
    <n v="0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22"/>
    <n v="209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4"/>
    <s v="23"/>
    <n v="131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5"/>
    <s v="00"/>
    <n v="217"/>
    <n v="0"/>
    <n v="2"/>
    <n v="0"/>
    <n v="2"/>
    <n v="0"/>
    <n v="0"/>
    <n v="0"/>
    <n v="0"/>
  </r>
  <r>
    <s v="Abu Dhabi Duty Free"/>
    <s v="Mega Big Ticket_August 2013"/>
    <x v="1"/>
    <s v="Entertainment &amp; Lifestyle Sections - 300x250 - EN - UAE"/>
    <s v="2013-08-25"/>
    <s v="01"/>
    <n v="119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5"/>
    <s v="02"/>
    <n v="96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5"/>
    <s v="03"/>
    <n v="101"/>
    <n v="1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5"/>
    <s v="04"/>
    <n v="245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5"/>
    <s v="05"/>
    <n v="200"/>
    <n v="0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5"/>
    <s v="06"/>
    <n v="43"/>
    <n v="2"/>
    <n v="0"/>
    <n v="0"/>
    <n v="0"/>
    <n v="0"/>
    <n v="0"/>
    <n v="0"/>
    <n v="0"/>
  </r>
  <r>
    <s v="Abu Dhabi Duty Free"/>
    <s v="Mega Big Ticket_August 2013"/>
    <x v="1"/>
    <s v="Entertainment &amp; Lifestyle Sections - 300x250 - EN - UAE"/>
    <s v="2013-08-25"/>
    <s v="07"/>
    <n v="377"/>
    <n v="0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5"/>
    <s v="08"/>
    <n v="194"/>
    <n v="0"/>
    <n v="3"/>
    <n v="2"/>
    <n v="1"/>
    <n v="0"/>
    <n v="0"/>
    <n v="0"/>
    <n v="0"/>
  </r>
  <r>
    <s v="Abu Dhabi Duty Free"/>
    <s v="Mega Big Ticket_August 2013"/>
    <x v="1"/>
    <s v="Entertainment &amp; Lifestyle Sections - 300x250 - EN - UAE"/>
    <s v="2013-08-25"/>
    <s v="09"/>
    <n v="132"/>
    <n v="1"/>
    <n v="1"/>
    <n v="0"/>
    <n v="1"/>
    <n v="0"/>
    <n v="0"/>
    <n v="0"/>
    <n v="0"/>
  </r>
  <r>
    <s v="Abu Dhabi Duty Free"/>
    <s v="Mega Big Ticket_August 2013"/>
    <x v="1"/>
    <s v="Entertainment &amp; Lifestyle Sections - 300x250 - EN - UAE"/>
    <s v="2013-08-25"/>
    <s v="10"/>
    <n v="177"/>
    <n v="1"/>
    <n v="2"/>
    <n v="1"/>
    <n v="1"/>
    <n v="0"/>
    <n v="0"/>
    <n v="0"/>
    <n v="0"/>
  </r>
  <r>
    <s v="Abu Dhabi Duty Free"/>
    <s v="Mega Big Ticket_August 2013"/>
    <x v="1"/>
    <s v="Entertainment &amp; Lifestyle Sections - 300x250 - EN - UAE"/>
    <s v="2013-08-25"/>
    <s v="11"/>
    <n v="131"/>
    <n v="0"/>
    <n v="3"/>
    <n v="0"/>
    <n v="3"/>
    <n v="0"/>
    <n v="0"/>
    <n v="0"/>
    <n v="0"/>
  </r>
  <r>
    <s v="Abu Dhabi Duty Free"/>
    <s v="Mega Big Ticket_August 2013"/>
    <x v="1"/>
    <s v="Entertainment &amp; Lifestyle Sections - 300x250 - EN - UAE"/>
    <s v="2013-08-25"/>
    <s v="12"/>
    <n v="165"/>
    <n v="0"/>
    <n v="4"/>
    <n v="0"/>
    <n v="4"/>
    <n v="100"/>
    <n v="0"/>
    <n v="100"/>
    <n v="0"/>
  </r>
  <r>
    <s v="Abu Dhabi Duty Free"/>
    <s v="Mega Big Ticket_August 2013"/>
    <x v="1"/>
    <s v="Entertainment &amp; Lifestyle Sections - 300x250 - EN - UAE"/>
    <s v="2013-08-25"/>
    <s v="13"/>
    <n v="154"/>
    <n v="2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07"/>
    <s v="14"/>
    <n v="3"/>
    <n v="3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0"/>
    <s v="21"/>
    <n v="1093"/>
    <n v="3"/>
    <n v="2"/>
    <n v="2"/>
    <n v="0"/>
    <n v="100"/>
    <n v="100"/>
    <n v="0"/>
    <n v="0"/>
  </r>
  <r>
    <s v="Abu Dhabi Duty Free"/>
    <s v="Mega Big Ticket_August 2013"/>
    <x v="1"/>
    <s v="Entertainment &amp; Lifestyle Sections - 728x90 - EN - UAE"/>
    <s v="2013-08-10"/>
    <s v="22"/>
    <n v="1454"/>
    <n v="6"/>
    <n v="3"/>
    <n v="3"/>
    <n v="0"/>
    <n v="0"/>
    <n v="0"/>
    <n v="0"/>
    <n v="0"/>
  </r>
  <r>
    <s v="Abu Dhabi Duty Free"/>
    <s v="Mega Big Ticket_August 2013"/>
    <x v="1"/>
    <s v="Entertainment &amp; Lifestyle Sections - 728x90 - EN - UAE"/>
    <s v="2013-08-10"/>
    <s v="23"/>
    <n v="831"/>
    <n v="2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0"/>
    <n v="402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1"/>
    <n v="259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2"/>
    <n v="187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3"/>
    <n v="188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4"/>
    <n v="488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5"/>
    <n v="1694"/>
    <n v="2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6"/>
    <n v="4022"/>
    <n v="5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7"/>
    <n v="8210"/>
    <n v="2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08"/>
    <n v="6479"/>
    <n v="6"/>
    <n v="7"/>
    <n v="1"/>
    <n v="6"/>
    <n v="0"/>
    <n v="0"/>
    <n v="0"/>
    <n v="0"/>
  </r>
  <r>
    <s v="Abu Dhabi Duty Free"/>
    <s v="Mega Big Ticket_August 2013"/>
    <x v="1"/>
    <s v="Entertainment &amp; Lifestyle Sections - 728x90 - EN - UAE"/>
    <s v="2013-08-11"/>
    <s v="09"/>
    <n v="4355"/>
    <n v="3"/>
    <n v="6"/>
    <n v="0"/>
    <n v="6"/>
    <n v="0"/>
    <n v="0"/>
    <n v="0"/>
    <n v="0"/>
  </r>
  <r>
    <s v="Abu Dhabi Duty Free"/>
    <s v="Mega Big Ticket_August 2013"/>
    <x v="1"/>
    <s v="Entertainment &amp; Lifestyle Sections - 728x90 - EN - UAE"/>
    <s v="2013-08-11"/>
    <s v="10"/>
    <n v="3685"/>
    <n v="8"/>
    <n v="6"/>
    <n v="0"/>
    <n v="6"/>
    <n v="1500"/>
    <n v="0"/>
    <n v="1500"/>
    <n v="0"/>
  </r>
  <r>
    <s v="Abu Dhabi Duty Free"/>
    <s v="Mega Big Ticket_August 2013"/>
    <x v="1"/>
    <s v="Entertainment &amp; Lifestyle Sections - 728x90 - EN - UAE"/>
    <s v="2013-08-11"/>
    <s v="11"/>
    <n v="3662"/>
    <n v="9"/>
    <n v="9"/>
    <n v="2"/>
    <n v="7"/>
    <n v="500"/>
    <n v="0"/>
    <n v="500"/>
    <n v="0"/>
  </r>
  <r>
    <s v="Abu Dhabi Duty Free"/>
    <s v="Mega Big Ticket_August 2013"/>
    <x v="1"/>
    <s v="Entertainment &amp; Lifestyle Sections - 728x90 - EN - UAE"/>
    <s v="2013-08-11"/>
    <s v="12"/>
    <n v="3567"/>
    <n v="4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1"/>
    <s v="13"/>
    <n v="2750"/>
    <n v="3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1"/>
    <s v="14"/>
    <n v="2332"/>
    <n v="1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1"/>
    <s v="15"/>
    <n v="2274"/>
    <n v="2"/>
    <n v="11"/>
    <n v="9"/>
    <n v="2"/>
    <n v="0"/>
    <n v="0"/>
    <n v="0"/>
    <n v="0"/>
  </r>
  <r>
    <s v="Abu Dhabi Duty Free"/>
    <s v="Mega Big Ticket_August 2013"/>
    <x v="1"/>
    <s v="Entertainment &amp; Lifestyle Sections - 728x90 - EN - UAE"/>
    <s v="2013-08-11"/>
    <s v="16"/>
    <n v="2219"/>
    <n v="4"/>
    <n v="8"/>
    <n v="3"/>
    <n v="5"/>
    <n v="0"/>
    <n v="0"/>
    <n v="0"/>
    <n v="0"/>
  </r>
  <r>
    <s v="Abu Dhabi Duty Free"/>
    <s v="Mega Big Ticket_August 2013"/>
    <x v="1"/>
    <s v="Entertainment &amp; Lifestyle Sections - 728x90 - EN - UAE"/>
    <s v="2013-08-11"/>
    <s v="17"/>
    <n v="1895"/>
    <n v="1"/>
    <n v="3"/>
    <n v="1"/>
    <n v="2"/>
    <n v="0"/>
    <n v="0"/>
    <n v="0"/>
    <n v="0"/>
  </r>
  <r>
    <s v="Abu Dhabi Duty Free"/>
    <s v="Mega Big Ticket_August 2013"/>
    <x v="1"/>
    <s v="Entertainment &amp; Lifestyle Sections - 728x90 - EN - UAE"/>
    <s v="2013-08-11"/>
    <s v="18"/>
    <n v="1867"/>
    <n v="5"/>
    <n v="2"/>
    <n v="2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19"/>
    <n v="1910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1"/>
    <s v="20"/>
    <n v="1760"/>
    <n v="4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1"/>
    <s v="21"/>
    <n v="1171"/>
    <n v="2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1"/>
    <s v="22"/>
    <n v="835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1"/>
    <s v="23"/>
    <n v="481"/>
    <n v="3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00"/>
    <n v="253"/>
    <n v="2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01"/>
    <n v="156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02"/>
    <n v="110"/>
    <n v="1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2"/>
    <s v="03"/>
    <n v="115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04"/>
    <n v="231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05"/>
    <n v="709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06"/>
    <n v="1795"/>
    <n v="4"/>
    <n v="2"/>
    <n v="1"/>
    <n v="1"/>
    <n v="0"/>
    <n v="0"/>
    <n v="0"/>
    <n v="0"/>
  </r>
  <r>
    <s v="Abu Dhabi Duty Free"/>
    <s v="Mega Big Ticket_August 2013"/>
    <x v="1"/>
    <s v="Entertainment &amp; Lifestyle Sections - 728x90 - EN - UAE"/>
    <s v="2013-08-12"/>
    <s v="07"/>
    <n v="3678"/>
    <n v="8"/>
    <n v="4"/>
    <n v="3"/>
    <n v="1"/>
    <n v="0"/>
    <n v="0"/>
    <n v="0"/>
    <n v="0"/>
  </r>
  <r>
    <s v="Abu Dhabi Duty Free"/>
    <s v="Mega Big Ticket_August 2013"/>
    <x v="1"/>
    <s v="Entertainment &amp; Lifestyle Sections - 728x90 - EN - UAE"/>
    <s v="2013-08-12"/>
    <s v="08"/>
    <n v="3577"/>
    <n v="7"/>
    <n v="4"/>
    <n v="3"/>
    <n v="1"/>
    <n v="0"/>
    <n v="0"/>
    <n v="0"/>
    <n v="0"/>
  </r>
  <r>
    <s v="Abu Dhabi Duty Free"/>
    <s v="Mega Big Ticket_August 2013"/>
    <x v="1"/>
    <s v="Entertainment &amp; Lifestyle Sections - 728x90 - EN - UAE"/>
    <s v="2013-08-12"/>
    <s v="09"/>
    <n v="3011"/>
    <n v="2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2"/>
    <s v="10"/>
    <n v="2918"/>
    <n v="10"/>
    <n v="6"/>
    <n v="1"/>
    <n v="5"/>
    <n v="0"/>
    <n v="0"/>
    <n v="0"/>
    <n v="0"/>
  </r>
  <r>
    <s v="Abu Dhabi Duty Free"/>
    <s v="Mega Big Ticket_August 2013"/>
    <x v="1"/>
    <s v="Entertainment &amp; Lifestyle Sections - 728x90 - EN - UAE"/>
    <s v="2013-08-12"/>
    <s v="11"/>
    <n v="2895"/>
    <n v="5"/>
    <n v="9"/>
    <n v="1"/>
    <n v="8"/>
    <n v="0"/>
    <n v="0"/>
    <n v="0"/>
    <n v="0"/>
  </r>
  <r>
    <s v="Abu Dhabi Duty Free"/>
    <s v="Mega Big Ticket_August 2013"/>
    <x v="1"/>
    <s v="Entertainment &amp; Lifestyle Sections - 728x90 - EN - UAE"/>
    <s v="2013-08-12"/>
    <s v="12"/>
    <n v="2887"/>
    <n v="8"/>
    <n v="1"/>
    <n v="1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13"/>
    <n v="2450"/>
    <n v="9"/>
    <n v="2"/>
    <n v="1"/>
    <n v="1"/>
    <n v="0"/>
    <n v="0"/>
    <n v="0"/>
    <n v="0"/>
  </r>
  <r>
    <s v="Abu Dhabi Duty Free"/>
    <s v="Mega Big Ticket_August 2013"/>
    <x v="1"/>
    <s v="Entertainment &amp; Lifestyle Sections - 728x90 - EN - UAE"/>
    <s v="2013-08-12"/>
    <s v="14"/>
    <n v="2208"/>
    <n v="7"/>
    <n v="6"/>
    <n v="0"/>
    <n v="6"/>
    <n v="1000"/>
    <n v="0"/>
    <n v="1000"/>
    <n v="0"/>
  </r>
  <r>
    <s v="Abu Dhabi Duty Free"/>
    <s v="Mega Big Ticket_August 2013"/>
    <x v="1"/>
    <s v="Entertainment &amp; Lifestyle Sections - 728x90 - EN - UAE"/>
    <s v="2013-08-12"/>
    <s v="15"/>
    <n v="2051"/>
    <n v="7"/>
    <n v="8"/>
    <n v="4"/>
    <n v="4"/>
    <n v="0"/>
    <n v="0"/>
    <n v="0"/>
    <n v="0"/>
  </r>
  <r>
    <s v="Abu Dhabi Duty Free"/>
    <s v="Mega Big Ticket_August 2013"/>
    <x v="1"/>
    <s v="Entertainment &amp; Lifestyle Sections - 728x90 - EN - UAE"/>
    <s v="2013-08-12"/>
    <s v="16"/>
    <n v="2023"/>
    <n v="5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12"/>
    <s v="17"/>
    <n v="1431"/>
    <n v="2"/>
    <n v="3"/>
    <n v="0"/>
    <n v="3"/>
    <n v="500"/>
    <n v="0"/>
    <n v="500"/>
    <n v="0"/>
  </r>
  <r>
    <s v="Abu Dhabi Duty Free"/>
    <s v="Mega Big Ticket_August 2013"/>
    <x v="1"/>
    <s v="Entertainment &amp; Lifestyle Sections - 728x90 - EN - UAE"/>
    <s v="2013-08-12"/>
    <s v="18"/>
    <n v="1322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19"/>
    <n v="1319"/>
    <n v="2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2"/>
    <s v="20"/>
    <n v="1177"/>
    <n v="4"/>
    <n v="1"/>
    <n v="1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21"/>
    <n v="832"/>
    <n v="4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22"/>
    <n v="638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2"/>
    <s v="23"/>
    <n v="314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00"/>
    <n v="176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01"/>
    <n v="105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02"/>
    <n v="81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03"/>
    <n v="87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04"/>
    <n v="177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05"/>
    <n v="458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06"/>
    <n v="1117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3"/>
    <s v="07"/>
    <n v="2125"/>
    <n v="5"/>
    <n v="10"/>
    <n v="4"/>
    <n v="6"/>
    <n v="0"/>
    <n v="0"/>
    <n v="0"/>
    <n v="0"/>
  </r>
  <r>
    <s v="Abu Dhabi Duty Free"/>
    <s v="Mega Big Ticket_August 2013"/>
    <x v="1"/>
    <s v="Entertainment &amp; Lifestyle Sections - 728x90 - EN - UAE"/>
    <s v="2013-08-13"/>
    <s v="08"/>
    <n v="1927"/>
    <n v="0"/>
    <n v="21"/>
    <n v="7"/>
    <n v="14"/>
    <n v="0"/>
    <n v="0"/>
    <n v="0"/>
    <n v="0"/>
  </r>
  <r>
    <s v="Abu Dhabi Duty Free"/>
    <s v="Mega Big Ticket_August 2013"/>
    <x v="1"/>
    <s v="Entertainment &amp; Lifestyle Sections - 728x90 - EN - UAE"/>
    <s v="2013-08-13"/>
    <s v="09"/>
    <n v="1523"/>
    <n v="0"/>
    <n v="5"/>
    <n v="0"/>
    <n v="5"/>
    <n v="0"/>
    <n v="0"/>
    <n v="0"/>
    <n v="0"/>
  </r>
  <r>
    <s v="Abu Dhabi Duty Free"/>
    <s v="Mega Big Ticket_August 2013"/>
    <x v="1"/>
    <s v="Entertainment &amp; Lifestyle Sections - 728x90 - EN - UAE"/>
    <s v="2013-08-13"/>
    <s v="10"/>
    <n v="1851"/>
    <n v="1"/>
    <n v="13"/>
    <n v="0"/>
    <n v="13"/>
    <n v="0"/>
    <n v="0"/>
    <n v="0"/>
    <n v="0"/>
  </r>
  <r>
    <s v="Abu Dhabi Duty Free"/>
    <s v="Mega Big Ticket_August 2013"/>
    <x v="1"/>
    <s v="Entertainment &amp; Lifestyle Sections - 728x90 - EN - UAE"/>
    <s v="2013-08-13"/>
    <s v="11"/>
    <n v="2264"/>
    <n v="2"/>
    <n v="8"/>
    <n v="0"/>
    <n v="8"/>
    <n v="1000"/>
    <n v="0"/>
    <n v="1000"/>
    <n v="0"/>
  </r>
  <r>
    <s v="Abu Dhabi Duty Free"/>
    <s v="Mega Big Ticket_August 2013"/>
    <x v="1"/>
    <s v="Entertainment &amp; Lifestyle Sections - 728x90 - EN - UAE"/>
    <s v="2013-08-13"/>
    <s v="12"/>
    <n v="2282"/>
    <n v="3"/>
    <n v="10"/>
    <n v="0"/>
    <n v="10"/>
    <n v="550"/>
    <n v="0"/>
    <n v="550"/>
    <n v="0"/>
  </r>
  <r>
    <s v="Abu Dhabi Duty Free"/>
    <s v="Mega Big Ticket_August 2013"/>
    <x v="1"/>
    <s v="Entertainment &amp; Lifestyle Sections - 728x90 - EN - UAE"/>
    <s v="2013-08-13"/>
    <s v="13"/>
    <n v="1800"/>
    <n v="2"/>
    <n v="6"/>
    <n v="2"/>
    <n v="4"/>
    <n v="0"/>
    <n v="0"/>
    <n v="0"/>
    <n v="0"/>
  </r>
  <r>
    <s v="Abu Dhabi Duty Free"/>
    <s v="Mega Big Ticket_August 2013"/>
    <x v="1"/>
    <s v="Entertainment &amp; Lifestyle Sections - 728x90 - EN - UAE"/>
    <s v="2013-08-13"/>
    <s v="14"/>
    <n v="1502"/>
    <n v="1"/>
    <n v="13"/>
    <n v="2"/>
    <n v="11"/>
    <n v="100"/>
    <n v="0"/>
    <n v="100"/>
    <n v="0"/>
  </r>
  <r>
    <s v="Abu Dhabi Duty Free"/>
    <s v="Mega Big Ticket_August 2013"/>
    <x v="1"/>
    <s v="Entertainment &amp; Lifestyle Sections - 728x90 - EN - UAE"/>
    <s v="2013-08-13"/>
    <s v="15"/>
    <n v="1533"/>
    <n v="1"/>
    <n v="2"/>
    <n v="0"/>
    <n v="2"/>
    <n v="500"/>
    <n v="0"/>
    <n v="500"/>
    <n v="0"/>
  </r>
  <r>
    <s v="Abu Dhabi Duty Free"/>
    <s v="Mega Big Ticket_August 2013"/>
    <x v="1"/>
    <s v="Entertainment &amp; Lifestyle Sections - 728x90 - EN - UAE"/>
    <s v="2013-08-13"/>
    <s v="16"/>
    <n v="1415"/>
    <n v="4"/>
    <n v="3"/>
    <n v="1"/>
    <n v="2"/>
    <n v="0"/>
    <n v="0"/>
    <n v="0"/>
    <n v="0"/>
  </r>
  <r>
    <s v="Abu Dhabi Duty Free"/>
    <s v="Mega Big Ticket_August 2013"/>
    <x v="1"/>
    <s v="Entertainment &amp; Lifestyle Sections - 728x90 - EN - UAE"/>
    <s v="2013-08-13"/>
    <s v="17"/>
    <n v="992"/>
    <n v="2"/>
    <n v="4"/>
    <n v="2"/>
    <n v="2"/>
    <n v="500"/>
    <n v="0"/>
    <n v="500"/>
    <n v="0"/>
  </r>
  <r>
    <s v="Abu Dhabi Duty Free"/>
    <s v="Mega Big Ticket_August 2013"/>
    <x v="1"/>
    <s v="Entertainment &amp; Lifestyle Sections - 728x90 - EN - UAE"/>
    <s v="2013-08-13"/>
    <s v="18"/>
    <n v="932"/>
    <n v="3"/>
    <n v="3"/>
    <n v="1"/>
    <n v="2"/>
    <n v="0"/>
    <n v="0"/>
    <n v="0"/>
    <n v="0"/>
  </r>
  <r>
    <s v="Abu Dhabi Duty Free"/>
    <s v="Mega Big Ticket_August 2013"/>
    <x v="1"/>
    <s v="Entertainment &amp; Lifestyle Sections - 728x90 - EN - UAE"/>
    <s v="2013-08-13"/>
    <s v="19"/>
    <n v="885"/>
    <n v="5"/>
    <n v="2"/>
    <n v="1"/>
    <n v="1"/>
    <n v="0"/>
    <n v="0"/>
    <n v="0"/>
    <n v="0"/>
  </r>
  <r>
    <s v="Abu Dhabi Duty Free"/>
    <s v="Mega Big Ticket_August 2013"/>
    <x v="1"/>
    <s v="Entertainment &amp; Lifestyle Sections - 728x90 - EN - UAE"/>
    <s v="2013-08-13"/>
    <s v="20"/>
    <n v="826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3"/>
    <s v="21"/>
    <n v="349"/>
    <n v="3"/>
    <n v="3"/>
    <n v="0"/>
    <n v="3"/>
    <n v="500"/>
    <n v="0"/>
    <n v="500"/>
    <n v="0"/>
  </r>
  <r>
    <s v="Abu Dhabi Duty Free"/>
    <s v="Mega Big Ticket_August 2013"/>
    <x v="1"/>
    <s v="Entertainment &amp; Lifestyle Sections - 728x90 - EN - UAE"/>
    <s v="2013-08-13"/>
    <s v="22"/>
    <n v="450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3"/>
    <s v="23"/>
    <n v="284"/>
    <n v="2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00"/>
    <n v="155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01"/>
    <n v="76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02"/>
    <n v="74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03"/>
    <n v="78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04"/>
    <n v="154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05"/>
    <n v="378"/>
    <n v="1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4"/>
    <s v="06"/>
    <n v="877"/>
    <n v="3"/>
    <n v="1"/>
    <n v="1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07"/>
    <n v="1659"/>
    <n v="2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14"/>
    <s v="08"/>
    <n v="3470"/>
    <n v="8"/>
    <n v="12"/>
    <n v="2"/>
    <n v="10"/>
    <n v="0"/>
    <n v="0"/>
    <n v="0"/>
    <n v="0"/>
  </r>
  <r>
    <s v="Abu Dhabi Duty Free"/>
    <s v="Mega Big Ticket_August 2013"/>
    <x v="1"/>
    <s v="Entertainment &amp; Lifestyle Sections - 728x90 - EN - UAE"/>
    <s v="2013-08-14"/>
    <s v="09"/>
    <n v="2097"/>
    <n v="11"/>
    <n v="4"/>
    <n v="3"/>
    <n v="1"/>
    <n v="1000"/>
    <n v="0"/>
    <n v="1000"/>
    <n v="0"/>
  </r>
  <r>
    <s v="Abu Dhabi Duty Free"/>
    <s v="Mega Big Ticket_August 2013"/>
    <x v="1"/>
    <s v="Entertainment &amp; Lifestyle Sections - 728x90 - EN - UAE"/>
    <s v="2013-08-14"/>
    <s v="10"/>
    <n v="1963"/>
    <n v="3"/>
    <n v="7"/>
    <n v="1"/>
    <n v="6"/>
    <n v="500"/>
    <n v="0"/>
    <n v="500"/>
    <n v="0"/>
  </r>
  <r>
    <s v="Abu Dhabi Duty Free"/>
    <s v="Mega Big Ticket_August 2013"/>
    <x v="1"/>
    <s v="Entertainment &amp; Lifestyle Sections - 728x90 - EN - UAE"/>
    <s v="2013-08-14"/>
    <s v="11"/>
    <n v="1935"/>
    <n v="2"/>
    <n v="5"/>
    <n v="1"/>
    <n v="4"/>
    <n v="0"/>
    <n v="0"/>
    <n v="0"/>
    <n v="0"/>
  </r>
  <r>
    <s v="Abu Dhabi Duty Free"/>
    <s v="Mega Big Ticket_August 2013"/>
    <x v="1"/>
    <s v="Entertainment &amp; Lifestyle Sections - 728x90 - EN - UAE"/>
    <s v="2013-08-14"/>
    <s v="12"/>
    <n v="2051"/>
    <n v="4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4"/>
    <s v="13"/>
    <n v="1842"/>
    <n v="1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14"/>
    <s v="14"/>
    <n v="1528"/>
    <n v="1"/>
    <n v="11"/>
    <n v="0"/>
    <n v="11"/>
    <n v="1100"/>
    <n v="0"/>
    <n v="1100"/>
    <n v="0"/>
  </r>
  <r>
    <s v="Abu Dhabi Duty Free"/>
    <s v="Mega Big Ticket_August 2013"/>
    <x v="1"/>
    <s v="Entertainment &amp; Lifestyle Sections - 728x90 - EN - UAE"/>
    <s v="2013-08-14"/>
    <s v="15"/>
    <n v="1345"/>
    <n v="2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4"/>
    <s v="16"/>
    <n v="1296"/>
    <n v="5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4"/>
    <s v="17"/>
    <n v="1121"/>
    <n v="4"/>
    <n v="1"/>
    <n v="1"/>
    <n v="0"/>
    <n v="0"/>
    <n v="0"/>
    <n v="0"/>
    <n v="0"/>
  </r>
  <r>
    <s v="Abu Dhabi Duty Free"/>
    <s v="Mega Big Ticket_August 2013"/>
    <x v="1"/>
    <s v="Entertainment &amp; Lifestyle Sections - 728x90 - EN - UAE"/>
    <s v="2013-08-14"/>
    <s v="18"/>
    <n v="966"/>
    <n v="2"/>
    <n v="6"/>
    <n v="2"/>
    <n v="4"/>
    <n v="0"/>
    <n v="0"/>
    <n v="0"/>
    <n v="0"/>
  </r>
  <r>
    <s v="Abu Dhabi Duty Free"/>
    <s v="Mega Big Ticket_August 2013"/>
    <x v="1"/>
    <s v="Entertainment &amp; Lifestyle Sections - 728x90 - EN - UAE"/>
    <s v="2013-08-14"/>
    <s v="19"/>
    <n v="870"/>
    <n v="1"/>
    <n v="5"/>
    <n v="1"/>
    <n v="4"/>
    <n v="0"/>
    <n v="0"/>
    <n v="0"/>
    <n v="0"/>
  </r>
  <r>
    <s v="Abu Dhabi Duty Free"/>
    <s v="Mega Big Ticket_August 2013"/>
    <x v="1"/>
    <s v="Entertainment &amp; Lifestyle Sections - 728x90 - EN - UAE"/>
    <s v="2013-08-14"/>
    <s v="20"/>
    <n v="779"/>
    <n v="2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4"/>
    <s v="21"/>
    <n v="431"/>
    <n v="3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4"/>
    <s v="22"/>
    <n v="432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4"/>
    <s v="23"/>
    <n v="272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00"/>
    <n v="193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01"/>
    <n v="122"/>
    <n v="3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02"/>
    <n v="87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03"/>
    <n v="83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04"/>
    <n v="233"/>
    <n v="1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05"/>
    <n v="653"/>
    <n v="3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06"/>
    <n v="1230"/>
    <n v="3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5"/>
    <s v="07"/>
    <n v="505"/>
    <n v="2"/>
    <n v="8"/>
    <n v="0"/>
    <n v="8"/>
    <n v="0"/>
    <n v="0"/>
    <n v="0"/>
    <n v="0"/>
  </r>
  <r>
    <s v="Abu Dhabi Duty Free"/>
    <s v="Mega Big Ticket_August 2013"/>
    <x v="1"/>
    <s v="Entertainment &amp; Lifestyle Sections - 728x90 - EN - UAE"/>
    <s v="2013-08-15"/>
    <s v="08"/>
    <n v="370"/>
    <n v="0"/>
    <n v="8"/>
    <n v="2"/>
    <n v="6"/>
    <n v="0"/>
    <n v="0"/>
    <n v="0"/>
    <n v="0"/>
  </r>
  <r>
    <s v="Abu Dhabi Duty Free"/>
    <s v="Mega Big Ticket_August 2013"/>
    <x v="1"/>
    <s v="Entertainment &amp; Lifestyle Sections - 728x90 - EN - UAE"/>
    <s v="2013-08-15"/>
    <s v="09"/>
    <n v="341"/>
    <n v="2"/>
    <n v="11"/>
    <n v="3"/>
    <n v="8"/>
    <n v="1500"/>
    <n v="0"/>
    <n v="1500"/>
    <n v="0"/>
  </r>
  <r>
    <s v="Abu Dhabi Duty Free"/>
    <s v="Mega Big Ticket_August 2013"/>
    <x v="1"/>
    <s v="Entertainment &amp; Lifestyle Sections - 728x90 - EN - UAE"/>
    <s v="2013-08-15"/>
    <s v="10"/>
    <n v="498"/>
    <n v="4"/>
    <n v="6"/>
    <n v="0"/>
    <n v="6"/>
    <n v="0"/>
    <n v="0"/>
    <n v="0"/>
    <n v="0"/>
  </r>
  <r>
    <s v="Abu Dhabi Duty Free"/>
    <s v="Mega Big Ticket_August 2013"/>
    <x v="1"/>
    <s v="Entertainment &amp; Lifestyle Sections - 728x90 - EN - UAE"/>
    <s v="2013-08-15"/>
    <s v="11"/>
    <n v="226"/>
    <n v="0"/>
    <n v="6"/>
    <n v="0"/>
    <n v="6"/>
    <n v="100"/>
    <n v="0"/>
    <n v="100"/>
    <n v="0"/>
  </r>
  <r>
    <s v="Abu Dhabi Duty Free"/>
    <s v="Mega Big Ticket_August 2013"/>
    <x v="1"/>
    <s v="Entertainment &amp; Lifestyle Sections - 728x90 - EN - UAE"/>
    <s v="2013-08-15"/>
    <s v="12"/>
    <n v="323"/>
    <n v="0"/>
    <n v="9"/>
    <n v="1"/>
    <n v="8"/>
    <n v="1000"/>
    <n v="0"/>
    <n v="1000"/>
    <n v="0"/>
  </r>
  <r>
    <s v="Abu Dhabi Duty Free"/>
    <s v="Mega Big Ticket_August 2013"/>
    <x v="1"/>
    <s v="Entertainment &amp; Lifestyle Sections - 728x90 - EN - UAE"/>
    <s v="2013-08-15"/>
    <s v="13"/>
    <n v="409"/>
    <n v="1"/>
    <n v="6"/>
    <n v="0"/>
    <n v="6"/>
    <n v="500"/>
    <n v="0"/>
    <n v="500"/>
    <n v="0"/>
  </r>
  <r>
    <s v="Abu Dhabi Duty Free"/>
    <s v="Mega Big Ticket_August 2013"/>
    <x v="1"/>
    <s v="Entertainment &amp; Lifestyle Sections - 728x90 - EN - UAE"/>
    <s v="2013-08-15"/>
    <s v="14"/>
    <n v="364"/>
    <n v="0"/>
    <n v="0"/>
    <n v="0"/>
    <n v="0"/>
    <n v="0"/>
    <n v="0"/>
    <n v="0"/>
    <n v="0"/>
  </r>
  <r>
    <s v="Abu Dhabi Duty Free"/>
    <s v="Mega Big Ticket_August 2013"/>
    <x v="1"/>
    <s v="Entertainment &amp; Lifestyle Sections - 728x90 - EN - UAE"/>
    <s v="2013-08-15"/>
    <s v="15"/>
    <n v="344"/>
    <n v="0"/>
    <n v="9"/>
    <n v="2"/>
    <n v="7"/>
    <n v="500"/>
    <n v="0"/>
    <n v="500"/>
    <n v="0"/>
  </r>
  <r>
    <s v="Abu Dhabi Duty Free"/>
    <s v="Mega Big Ticket_August 2013"/>
    <x v="1"/>
    <s v="Entertainment &amp; Lifestyle Sections - 728x90 - EN - UAE"/>
    <s v="2013-08-15"/>
    <s v="16"/>
    <n v="914"/>
    <n v="4"/>
    <n v="3"/>
    <n v="1"/>
    <n v="2"/>
    <n v="0"/>
    <n v="0"/>
    <n v="0"/>
    <n v="0"/>
  </r>
  <r>
    <s v="Abu Dhabi Duty Free"/>
    <s v="Mega Big Ticket_August 2013"/>
    <x v="1"/>
    <s v="Entertainment &amp; Lifestyle Sections - 728x90 - EN - UAE"/>
    <s v="2013-08-15"/>
    <s v="17"/>
    <n v="888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5"/>
    <s v="18"/>
    <n v="269"/>
    <n v="0"/>
    <n v="1"/>
    <n v="0"/>
    <n v="1"/>
    <n v="1000"/>
    <n v="0"/>
    <n v="1000"/>
    <n v="0"/>
  </r>
  <r>
    <s v="Abu Dhabi Duty Free"/>
    <s v="Mega Big Ticket_August 2013"/>
    <x v="1"/>
    <s v="Entertainment &amp; Lifestyle Sections - 728x90 - EN - UAE"/>
    <s v="2013-08-15"/>
    <s v="1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5"/>
    <s v="21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5"/>
    <s v="22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5"/>
    <s v="23"/>
    <n v="0"/>
    <n v="0"/>
    <n v="2"/>
    <n v="0"/>
    <n v="2"/>
    <n v="90"/>
    <n v="0"/>
    <n v="90"/>
    <n v="0"/>
  </r>
  <r>
    <s v="Abu Dhabi Duty Free"/>
    <s v="Mega Big Ticket_August 2013"/>
    <x v="1"/>
    <s v="Entertainment &amp; Lifestyle Sections - 728x90 - EN - UAE"/>
    <s v="2013-08-16"/>
    <s v="07"/>
    <n v="0"/>
    <n v="0"/>
    <n v="1"/>
    <n v="1"/>
    <n v="0"/>
    <n v="0"/>
    <n v="0"/>
    <n v="0"/>
    <n v="0"/>
  </r>
  <r>
    <s v="Abu Dhabi Duty Free"/>
    <s v="Mega Big Ticket_August 2013"/>
    <x v="1"/>
    <s v="Entertainment &amp; Lifestyle Sections - 728x90 - EN - UAE"/>
    <s v="2013-08-16"/>
    <s v="10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6"/>
    <s v="12"/>
    <n v="0"/>
    <n v="0"/>
    <n v="4"/>
    <n v="1"/>
    <n v="3"/>
    <n v="0"/>
    <n v="0"/>
    <n v="0"/>
    <n v="0"/>
  </r>
  <r>
    <s v="Abu Dhabi Duty Free"/>
    <s v="Mega Big Ticket_August 2013"/>
    <x v="1"/>
    <s v="Entertainment &amp; Lifestyle Sections - 728x90 - EN - UAE"/>
    <s v="2013-08-16"/>
    <s v="13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6"/>
    <s v="14"/>
    <n v="0"/>
    <n v="0"/>
    <n v="1"/>
    <n v="0"/>
    <n v="1"/>
    <n v="100"/>
    <n v="0"/>
    <n v="100"/>
    <n v="0"/>
  </r>
  <r>
    <s v="Abu Dhabi Duty Free"/>
    <s v="Mega Big Ticket_August 2013"/>
    <x v="1"/>
    <s v="Entertainment &amp; Lifestyle Sections - 728x90 - EN - UAE"/>
    <s v="2013-08-16"/>
    <s v="15"/>
    <n v="0"/>
    <n v="0"/>
    <n v="2"/>
    <n v="2"/>
    <n v="0"/>
    <n v="0"/>
    <n v="0"/>
    <n v="0"/>
    <n v="0"/>
  </r>
  <r>
    <s v="Abu Dhabi Duty Free"/>
    <s v="Mega Big Ticket_August 2013"/>
    <x v="1"/>
    <s v="Entertainment &amp; Lifestyle Sections - 728x90 - EN - UAE"/>
    <s v="2013-08-16"/>
    <s v="17"/>
    <n v="0"/>
    <n v="0"/>
    <n v="1"/>
    <n v="1"/>
    <n v="0"/>
    <n v="0"/>
    <n v="0"/>
    <n v="0"/>
    <n v="0"/>
  </r>
  <r>
    <s v="Abu Dhabi Duty Free"/>
    <s v="Mega Big Ticket_August 2013"/>
    <x v="1"/>
    <s v="Entertainment &amp; Lifestyle Sections - 728x90 - EN - UAE"/>
    <s v="2013-08-16"/>
    <s v="18"/>
    <n v="0"/>
    <n v="0"/>
    <n v="3"/>
    <n v="0"/>
    <n v="3"/>
    <n v="100"/>
    <n v="0"/>
    <n v="100"/>
    <n v="0"/>
  </r>
  <r>
    <s v="Abu Dhabi Duty Free"/>
    <s v="Mega Big Ticket_August 2013"/>
    <x v="1"/>
    <s v="Entertainment &amp; Lifestyle Sections - 728x90 - EN - UAE"/>
    <s v="2013-08-16"/>
    <s v="1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7"/>
    <s v="05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7"/>
    <s v="06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7"/>
    <s v="07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17"/>
    <s v="08"/>
    <n v="0"/>
    <n v="0"/>
    <n v="9"/>
    <n v="2"/>
    <n v="7"/>
    <n v="100"/>
    <n v="0"/>
    <n v="100"/>
    <n v="0"/>
  </r>
  <r>
    <s v="Abu Dhabi Duty Free"/>
    <s v="Mega Big Ticket_August 2013"/>
    <x v="1"/>
    <s v="Entertainment &amp; Lifestyle Sections - 728x90 - EN - UAE"/>
    <s v="2013-08-17"/>
    <s v="09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7"/>
    <s v="10"/>
    <n v="0"/>
    <n v="0"/>
    <n v="6"/>
    <n v="0"/>
    <n v="6"/>
    <n v="500"/>
    <n v="0"/>
    <n v="500"/>
    <n v="0"/>
  </r>
  <r>
    <s v="Abu Dhabi Duty Free"/>
    <s v="Mega Big Ticket_August 2013"/>
    <x v="1"/>
    <s v="Entertainment &amp; Lifestyle Sections - 728x90 - EN - UAE"/>
    <s v="2013-08-17"/>
    <s v="11"/>
    <n v="0"/>
    <n v="0"/>
    <n v="20"/>
    <n v="0"/>
    <n v="20"/>
    <n v="500"/>
    <n v="0"/>
    <n v="500"/>
    <n v="0"/>
  </r>
  <r>
    <s v="Abu Dhabi Duty Free"/>
    <s v="Mega Big Ticket_August 2013"/>
    <x v="1"/>
    <s v="Entertainment &amp; Lifestyle Sections - 728x90 - EN - UAE"/>
    <s v="2013-08-17"/>
    <s v="12"/>
    <n v="0"/>
    <n v="0"/>
    <n v="9"/>
    <n v="0"/>
    <n v="9"/>
    <n v="500"/>
    <n v="0"/>
    <n v="500"/>
    <n v="0"/>
  </r>
  <r>
    <s v="Abu Dhabi Duty Free"/>
    <s v="Mega Big Ticket_August 2013"/>
    <x v="1"/>
    <s v="Entertainment &amp; Lifestyle Sections - 728x90 - EN - UAE"/>
    <s v="2013-08-17"/>
    <s v="13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7"/>
    <s v="14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7"/>
    <s v="15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7"/>
    <s v="16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7"/>
    <s v="17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7"/>
    <s v="19"/>
    <n v="0"/>
    <n v="0"/>
    <n v="17"/>
    <n v="0"/>
    <n v="17"/>
    <n v="1000"/>
    <n v="0"/>
    <n v="1000"/>
    <n v="0"/>
  </r>
  <r>
    <s v="Abu Dhabi Duty Free"/>
    <s v="Mega Big Ticket_August 2013"/>
    <x v="1"/>
    <s v="Entertainment &amp; Lifestyle Sections - 728x90 - EN - UAE"/>
    <s v="2013-08-17"/>
    <s v="20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7"/>
    <s v="21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17"/>
    <s v="22"/>
    <n v="0"/>
    <n v="0"/>
    <n v="1"/>
    <n v="1"/>
    <n v="0"/>
    <n v="100"/>
    <n v="100"/>
    <n v="0"/>
    <n v="0"/>
  </r>
  <r>
    <s v="Abu Dhabi Duty Free"/>
    <s v="Mega Big Ticket_August 2013"/>
    <x v="1"/>
    <s v="Entertainment &amp; Lifestyle Sections - 728x90 - EN - UAE"/>
    <s v="2013-08-18"/>
    <s v="04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8"/>
    <s v="05"/>
    <n v="0"/>
    <n v="0"/>
    <n v="3"/>
    <n v="0"/>
    <n v="3"/>
    <n v="500"/>
    <n v="0"/>
    <n v="500"/>
    <n v="0"/>
  </r>
  <r>
    <s v="Abu Dhabi Duty Free"/>
    <s v="Mega Big Ticket_August 2013"/>
    <x v="1"/>
    <s v="Entertainment &amp; Lifestyle Sections - 728x90 - EN - UAE"/>
    <s v="2013-08-18"/>
    <s v="06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8"/>
    <s v="07"/>
    <n v="0"/>
    <n v="0"/>
    <n v="4"/>
    <n v="2"/>
    <n v="2"/>
    <n v="0"/>
    <n v="0"/>
    <n v="0"/>
    <n v="0"/>
  </r>
  <r>
    <s v="Abu Dhabi Duty Free"/>
    <s v="Mega Big Ticket_August 2013"/>
    <x v="1"/>
    <s v="Entertainment &amp; Lifestyle Sections - 728x90 - EN - UAE"/>
    <s v="2013-08-18"/>
    <s v="08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8"/>
    <s v="09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8"/>
    <s v="10"/>
    <n v="0"/>
    <n v="0"/>
    <n v="3"/>
    <n v="0"/>
    <n v="3"/>
    <n v="50"/>
    <n v="0"/>
    <n v="50"/>
    <n v="0"/>
  </r>
  <r>
    <s v="Abu Dhabi Duty Free"/>
    <s v="Mega Big Ticket_August 2013"/>
    <x v="1"/>
    <s v="Entertainment &amp; Lifestyle Sections - 728x90 - EN - UAE"/>
    <s v="2013-08-18"/>
    <s v="11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8"/>
    <s v="12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8"/>
    <s v="13"/>
    <n v="0"/>
    <n v="0"/>
    <n v="3"/>
    <n v="0"/>
    <n v="3"/>
    <n v="500"/>
    <n v="0"/>
    <n v="500"/>
    <n v="0"/>
  </r>
  <r>
    <s v="Abu Dhabi Duty Free"/>
    <s v="Mega Big Ticket_August 2013"/>
    <x v="1"/>
    <s v="Entertainment &amp; Lifestyle Sections - 728x90 - EN - UAE"/>
    <s v="2013-08-18"/>
    <s v="15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8"/>
    <s v="16"/>
    <n v="0"/>
    <n v="0"/>
    <n v="5"/>
    <n v="0"/>
    <n v="5"/>
    <n v="0"/>
    <n v="0"/>
    <n v="0"/>
    <n v="0"/>
  </r>
  <r>
    <s v="Abu Dhabi Duty Free"/>
    <s v="Mega Big Ticket_August 2013"/>
    <x v="1"/>
    <s v="Entertainment &amp; Lifestyle Sections - 728x90 - EN - UAE"/>
    <s v="2013-08-18"/>
    <s v="18"/>
    <n v="0"/>
    <n v="0"/>
    <n v="4"/>
    <n v="4"/>
    <n v="0"/>
    <n v="0"/>
    <n v="0"/>
    <n v="0"/>
    <n v="0"/>
  </r>
  <r>
    <s v="Abu Dhabi Duty Free"/>
    <s v="Mega Big Ticket_August 2013"/>
    <x v="1"/>
    <s v="Entertainment &amp; Lifestyle Sections - 728x90 - EN - UAE"/>
    <s v="2013-08-18"/>
    <s v="19"/>
    <n v="0"/>
    <n v="0"/>
    <n v="5"/>
    <n v="0"/>
    <n v="5"/>
    <n v="0"/>
    <n v="0"/>
    <n v="0"/>
    <n v="0"/>
  </r>
  <r>
    <s v="Abu Dhabi Duty Free"/>
    <s v="Mega Big Ticket_August 2013"/>
    <x v="1"/>
    <s v="Entertainment &amp; Lifestyle Sections - 728x90 - EN - UAE"/>
    <s v="2013-08-18"/>
    <s v="20"/>
    <n v="0"/>
    <n v="0"/>
    <n v="3"/>
    <n v="1"/>
    <n v="2"/>
    <n v="0"/>
    <n v="0"/>
    <n v="0"/>
    <n v="0"/>
  </r>
  <r>
    <s v="Abu Dhabi Duty Free"/>
    <s v="Mega Big Ticket_August 2013"/>
    <x v="1"/>
    <s v="Entertainment &amp; Lifestyle Sections - 728x90 - EN - UAE"/>
    <s v="2013-08-18"/>
    <s v="21"/>
    <n v="0"/>
    <n v="0"/>
    <n v="3"/>
    <n v="0"/>
    <n v="3"/>
    <n v="1000"/>
    <n v="0"/>
    <n v="1000"/>
    <n v="0"/>
  </r>
  <r>
    <s v="Abu Dhabi Duty Free"/>
    <s v="Mega Big Ticket_August 2013"/>
    <x v="1"/>
    <s v="Entertainment &amp; Lifestyle Sections - 728x90 - EN - UAE"/>
    <s v="2013-08-18"/>
    <s v="23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9"/>
    <s v="00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9"/>
    <s v="01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9"/>
    <s v="03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9"/>
    <s v="06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9"/>
    <s v="07"/>
    <n v="0"/>
    <n v="0"/>
    <n v="5"/>
    <n v="0"/>
    <n v="5"/>
    <n v="0"/>
    <n v="0"/>
    <n v="0"/>
    <n v="0"/>
  </r>
  <r>
    <s v="Abu Dhabi Duty Free"/>
    <s v="Mega Big Ticket_August 2013"/>
    <x v="1"/>
    <s v="Entertainment &amp; Lifestyle Sections - 728x90 - EN - UAE"/>
    <s v="2013-08-19"/>
    <s v="08"/>
    <n v="0"/>
    <n v="0"/>
    <n v="7"/>
    <n v="0"/>
    <n v="7"/>
    <n v="0"/>
    <n v="0"/>
    <n v="0"/>
    <n v="0"/>
  </r>
  <r>
    <s v="Abu Dhabi Duty Free"/>
    <s v="Mega Big Ticket_August 2013"/>
    <x v="1"/>
    <s v="Entertainment &amp; Lifestyle Sections - 728x90 - EN - UAE"/>
    <s v="2013-08-19"/>
    <s v="09"/>
    <n v="0"/>
    <n v="0"/>
    <n v="3"/>
    <n v="0"/>
    <n v="3"/>
    <n v="500"/>
    <n v="0"/>
    <n v="500"/>
    <n v="0"/>
  </r>
  <r>
    <s v="Abu Dhabi Duty Free"/>
    <s v="Mega Big Ticket_August 2013"/>
    <x v="1"/>
    <s v="Entertainment &amp; Lifestyle Sections - 728x90 - EN - UAE"/>
    <s v="2013-08-19"/>
    <s v="10"/>
    <n v="0"/>
    <n v="0"/>
    <n v="10"/>
    <n v="0"/>
    <n v="10"/>
    <n v="500"/>
    <n v="0"/>
    <n v="500"/>
    <n v="0"/>
  </r>
  <r>
    <s v="Abu Dhabi Duty Free"/>
    <s v="Mega Big Ticket_August 2013"/>
    <x v="1"/>
    <s v="Entertainment &amp; Lifestyle Sections - 728x90 - EN - UAE"/>
    <s v="2013-08-19"/>
    <s v="11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9"/>
    <s v="12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9"/>
    <s v="13"/>
    <n v="0"/>
    <n v="0"/>
    <n v="5"/>
    <n v="0"/>
    <n v="5"/>
    <n v="500"/>
    <n v="0"/>
    <n v="500"/>
    <n v="0"/>
  </r>
  <r>
    <s v="Abu Dhabi Duty Free"/>
    <s v="Mega Big Ticket_August 2013"/>
    <x v="1"/>
    <s v="Entertainment &amp; Lifestyle Sections - 728x90 - EN - UAE"/>
    <s v="2013-08-19"/>
    <s v="14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9"/>
    <s v="15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19"/>
    <s v="16"/>
    <n v="0"/>
    <n v="0"/>
    <n v="6"/>
    <n v="1"/>
    <n v="5"/>
    <n v="0"/>
    <n v="0"/>
    <n v="0"/>
    <n v="0"/>
  </r>
  <r>
    <s v="Abu Dhabi Duty Free"/>
    <s v="Mega Big Ticket_August 2013"/>
    <x v="1"/>
    <s v="Entertainment &amp; Lifestyle Sections - 728x90 - EN - UAE"/>
    <s v="2013-08-19"/>
    <s v="17"/>
    <n v="0"/>
    <n v="0"/>
    <n v="3"/>
    <n v="0"/>
    <n v="3"/>
    <n v="1000"/>
    <n v="0"/>
    <n v="1000"/>
    <n v="0"/>
  </r>
  <r>
    <s v="Abu Dhabi Duty Free"/>
    <s v="Mega Big Ticket_August 2013"/>
    <x v="1"/>
    <s v="Entertainment &amp; Lifestyle Sections - 728x90 - EN - UAE"/>
    <s v="2013-08-19"/>
    <s v="18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19"/>
    <s v="19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19"/>
    <s v="21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0"/>
    <s v="06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0"/>
    <s v="07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0"/>
    <s v="08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0"/>
    <s v="0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0"/>
    <s v="10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20"/>
    <s v="11"/>
    <n v="0"/>
    <n v="0"/>
    <n v="6"/>
    <n v="0"/>
    <n v="6"/>
    <n v="0"/>
    <n v="0"/>
    <n v="0"/>
    <n v="0"/>
  </r>
  <r>
    <s v="Abu Dhabi Duty Free"/>
    <s v="Mega Big Ticket_August 2013"/>
    <x v="1"/>
    <s v="Entertainment &amp; Lifestyle Sections - 728x90 - EN - UAE"/>
    <s v="2013-08-20"/>
    <s v="12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20"/>
    <s v="13"/>
    <n v="0"/>
    <n v="0"/>
    <n v="9"/>
    <n v="5"/>
    <n v="4"/>
    <n v="600"/>
    <n v="500"/>
    <n v="100"/>
    <n v="0"/>
  </r>
  <r>
    <s v="Abu Dhabi Duty Free"/>
    <s v="Mega Big Ticket_August 2013"/>
    <x v="1"/>
    <s v="Entertainment &amp; Lifestyle Sections - 728x90 - EN - UAE"/>
    <s v="2013-08-20"/>
    <s v="14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20"/>
    <s v="15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20"/>
    <s v="16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0"/>
    <s v="22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1"/>
    <s v="02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1"/>
    <s v="05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1"/>
    <s v="06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1"/>
    <s v="07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1"/>
    <s v="08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21"/>
    <s v="10"/>
    <n v="0"/>
    <n v="0"/>
    <n v="5"/>
    <n v="0"/>
    <n v="5"/>
    <n v="0"/>
    <n v="0"/>
    <n v="0"/>
    <n v="0"/>
  </r>
  <r>
    <s v="Abu Dhabi Duty Free"/>
    <s v="Mega Big Ticket_August 2013"/>
    <x v="1"/>
    <s v="Entertainment &amp; Lifestyle Sections - 728x90 - EN - UAE"/>
    <s v="2013-08-21"/>
    <s v="11"/>
    <n v="0"/>
    <n v="0"/>
    <n v="4"/>
    <n v="0"/>
    <n v="4"/>
    <n v="1000"/>
    <n v="0"/>
    <n v="1000"/>
    <n v="0"/>
  </r>
  <r>
    <s v="Abu Dhabi Duty Free"/>
    <s v="Mega Big Ticket_August 2013"/>
    <x v="1"/>
    <s v="Entertainment &amp; Lifestyle Sections - 728x90 - EN - UAE"/>
    <s v="2013-08-21"/>
    <s v="12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1"/>
    <s v="13"/>
    <n v="0"/>
    <n v="0"/>
    <n v="6"/>
    <n v="0"/>
    <n v="6"/>
    <n v="500"/>
    <n v="0"/>
    <n v="500"/>
    <n v="0"/>
  </r>
  <r>
    <s v="Abu Dhabi Duty Free"/>
    <s v="Mega Big Ticket_August 2013"/>
    <x v="1"/>
    <s v="Entertainment &amp; Lifestyle Sections - 728x90 - EN - UAE"/>
    <s v="2013-08-21"/>
    <s v="14"/>
    <n v="0"/>
    <n v="0"/>
    <n v="14"/>
    <n v="0"/>
    <n v="14"/>
    <n v="500"/>
    <n v="0"/>
    <n v="500"/>
    <n v="0"/>
  </r>
  <r>
    <s v="Abu Dhabi Duty Free"/>
    <s v="Mega Big Ticket_August 2013"/>
    <x v="1"/>
    <s v="Entertainment &amp; Lifestyle Sections - 728x90 - EN - UAE"/>
    <s v="2013-08-21"/>
    <s v="15"/>
    <n v="0"/>
    <n v="0"/>
    <n v="5"/>
    <n v="0"/>
    <n v="5"/>
    <n v="0"/>
    <n v="0"/>
    <n v="0"/>
    <n v="0"/>
  </r>
  <r>
    <s v="Abu Dhabi Duty Free"/>
    <s v="Mega Big Ticket_August 2013"/>
    <x v="1"/>
    <s v="Entertainment &amp; Lifestyle Sections - 728x90 - EN - UAE"/>
    <s v="2013-08-21"/>
    <s v="16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1"/>
    <s v="17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2"/>
    <s v="06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2"/>
    <s v="07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2"/>
    <s v="08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2"/>
    <s v="0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2"/>
    <s v="10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22"/>
    <s v="11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2"/>
    <s v="12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2"/>
    <s v="13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2"/>
    <s v="14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2"/>
    <s v="16"/>
    <n v="0"/>
    <n v="0"/>
    <n v="6"/>
    <n v="0"/>
    <n v="6"/>
    <n v="1000"/>
    <n v="0"/>
    <n v="1000"/>
    <n v="0"/>
  </r>
  <r>
    <s v="Abu Dhabi Duty Free"/>
    <s v="Mega Big Ticket_August 2013"/>
    <x v="1"/>
    <s v="Entertainment &amp; Lifestyle Sections - 728x90 - EN - UAE"/>
    <s v="2013-08-22"/>
    <s v="18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2"/>
    <s v="19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22"/>
    <s v="21"/>
    <n v="0"/>
    <n v="0"/>
    <n v="3"/>
    <n v="0"/>
    <n v="3"/>
    <n v="1000"/>
    <n v="0"/>
    <n v="1000"/>
    <n v="0"/>
  </r>
  <r>
    <s v="Abu Dhabi Duty Free"/>
    <s v="Mega Big Ticket_August 2013"/>
    <x v="1"/>
    <s v="Entertainment &amp; Lifestyle Sections - 728x90 - EN - UAE"/>
    <s v="2013-08-23"/>
    <s v="07"/>
    <n v="0"/>
    <n v="0"/>
    <n v="6"/>
    <n v="0"/>
    <n v="6"/>
    <n v="0"/>
    <n v="0"/>
    <n v="0"/>
    <n v="0"/>
  </r>
  <r>
    <s v="Abu Dhabi Duty Free"/>
    <s v="Mega Big Ticket_August 2013"/>
    <x v="1"/>
    <s v="Entertainment &amp; Lifestyle Sections - 728x90 - EN - UAE"/>
    <s v="2013-08-23"/>
    <s v="0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3"/>
    <s v="10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3"/>
    <s v="14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3"/>
    <s v="15"/>
    <n v="0"/>
    <n v="0"/>
    <n v="5"/>
    <n v="0"/>
    <n v="5"/>
    <n v="0"/>
    <n v="0"/>
    <n v="0"/>
    <n v="0"/>
  </r>
  <r>
    <s v="Abu Dhabi Duty Free"/>
    <s v="Mega Big Ticket_August 2013"/>
    <x v="1"/>
    <s v="Entertainment &amp; Lifestyle Sections - 728x90 - EN - UAE"/>
    <s v="2013-08-23"/>
    <s v="17"/>
    <n v="0"/>
    <n v="0"/>
    <n v="11"/>
    <n v="0"/>
    <n v="11"/>
    <n v="1000"/>
    <n v="0"/>
    <n v="1000"/>
    <n v="0"/>
  </r>
  <r>
    <s v="Abu Dhabi Duty Free"/>
    <s v="Mega Big Ticket_August 2013"/>
    <x v="1"/>
    <s v="Entertainment &amp; Lifestyle Sections - 728x90 - EN - UAE"/>
    <s v="2013-08-23"/>
    <s v="18"/>
    <n v="0"/>
    <n v="0"/>
    <n v="3"/>
    <n v="0"/>
    <n v="3"/>
    <n v="100"/>
    <n v="0"/>
    <n v="100"/>
    <n v="0"/>
  </r>
  <r>
    <s v="Abu Dhabi Duty Free"/>
    <s v="Mega Big Ticket_August 2013"/>
    <x v="1"/>
    <s v="Entertainment &amp; Lifestyle Sections - 728x90 - EN - UAE"/>
    <s v="2013-08-23"/>
    <s v="21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3"/>
    <s v="22"/>
    <n v="0"/>
    <n v="0"/>
    <n v="2"/>
    <n v="0"/>
    <n v="2"/>
    <n v="500"/>
    <n v="0"/>
    <n v="500"/>
    <n v="0"/>
  </r>
  <r>
    <s v="Abu Dhabi Duty Free"/>
    <s v="Mega Big Ticket_August 2013"/>
    <x v="1"/>
    <s v="Entertainment &amp; Lifestyle Sections - 728x90 - EN - UAE"/>
    <s v="2013-08-24"/>
    <s v="06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4"/>
    <s v="07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24"/>
    <s v="08"/>
    <n v="0"/>
    <n v="0"/>
    <n v="3"/>
    <n v="0"/>
    <n v="3"/>
    <n v="0"/>
    <n v="0"/>
    <n v="0"/>
    <n v="0"/>
  </r>
  <r>
    <s v="Abu Dhabi Duty Free"/>
    <s v="Mega Big Ticket_August 2013"/>
    <x v="1"/>
    <s v="Entertainment &amp; Lifestyle Sections - 728x90 - EN - UAE"/>
    <s v="2013-08-24"/>
    <s v="09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4"/>
    <s v="10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4"/>
    <s v="11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24"/>
    <s v="12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4"/>
    <s v="13"/>
    <n v="0"/>
    <n v="0"/>
    <n v="9"/>
    <n v="0"/>
    <n v="9"/>
    <n v="500"/>
    <n v="0"/>
    <n v="500"/>
    <n v="0"/>
  </r>
  <r>
    <s v="Abu Dhabi Duty Free"/>
    <s v="Mega Big Ticket_August 2013"/>
    <x v="1"/>
    <s v="Entertainment &amp; Lifestyle Sections - 728x90 - EN - UAE"/>
    <s v="2013-08-24"/>
    <s v="14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24"/>
    <s v="15"/>
    <n v="0"/>
    <n v="0"/>
    <n v="5"/>
    <n v="0"/>
    <n v="5"/>
    <n v="1000"/>
    <n v="0"/>
    <n v="1000"/>
    <n v="0"/>
  </r>
  <r>
    <s v="Abu Dhabi Duty Free"/>
    <s v="Mega Big Ticket_August 2013"/>
    <x v="1"/>
    <s v="Entertainment &amp; Lifestyle Sections - 728x90 - EN - UAE"/>
    <s v="2013-08-24"/>
    <s v="19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4"/>
    <s v="21"/>
    <n v="0"/>
    <n v="0"/>
    <n v="3"/>
    <n v="0"/>
    <n v="3"/>
    <n v="1000"/>
    <n v="0"/>
    <n v="1000"/>
    <n v="0"/>
  </r>
  <r>
    <s v="Abu Dhabi Duty Free"/>
    <s v="Mega Big Ticket_August 2013"/>
    <x v="1"/>
    <s v="Entertainment &amp; Lifestyle Sections - 728x90 - EN - UAE"/>
    <s v="2013-08-25"/>
    <s v="06"/>
    <n v="0"/>
    <n v="0"/>
    <n v="2"/>
    <n v="0"/>
    <n v="2"/>
    <n v="0"/>
    <n v="0"/>
    <n v="0"/>
    <n v="0"/>
  </r>
  <r>
    <s v="Abu Dhabi Duty Free"/>
    <s v="Mega Big Ticket_August 2013"/>
    <x v="1"/>
    <s v="Entertainment &amp; Lifestyle Sections - 728x90 - EN - UAE"/>
    <s v="2013-08-25"/>
    <s v="07"/>
    <n v="0"/>
    <n v="0"/>
    <n v="1"/>
    <n v="0"/>
    <n v="1"/>
    <n v="0"/>
    <n v="0"/>
    <n v="0"/>
    <n v="0"/>
  </r>
  <r>
    <s v="Abu Dhabi Duty Free"/>
    <s v="Mega Big Ticket_August 2013"/>
    <x v="1"/>
    <s v="Entertainment &amp; Lifestyle Sections - 728x90 - EN - UAE"/>
    <s v="2013-08-25"/>
    <s v="08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25"/>
    <s v="09"/>
    <n v="0"/>
    <n v="0"/>
    <n v="2"/>
    <n v="0"/>
    <n v="2"/>
    <n v="100"/>
    <n v="0"/>
    <n v="100"/>
    <n v="0"/>
  </r>
  <r>
    <s v="Abu Dhabi Duty Free"/>
    <s v="Mega Big Ticket_August 2013"/>
    <x v="1"/>
    <s v="Entertainment &amp; Lifestyle Sections - 728x90 - EN - UAE"/>
    <s v="2013-08-25"/>
    <s v="10"/>
    <n v="0"/>
    <n v="0"/>
    <n v="4"/>
    <n v="0"/>
    <n v="4"/>
    <n v="0"/>
    <n v="0"/>
    <n v="0"/>
    <n v="0"/>
  </r>
  <r>
    <s v="Abu Dhabi Duty Free"/>
    <s v="Mega Big Ticket_August 2013"/>
    <x v="1"/>
    <s v="Entertainment &amp; Lifestyle Sections - 728x90 - EN - UAE"/>
    <s v="2013-08-25"/>
    <s v="11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07"/>
    <s v="15"/>
    <n v="0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08"/>
    <s v="09"/>
    <n v="0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08"/>
    <s v="22"/>
    <n v="0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0"/>
    <s v="21"/>
    <n v="567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0"/>
    <s v="22"/>
    <n v="2789"/>
    <n v="4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0"/>
    <s v="23"/>
    <n v="1365"/>
    <n v="5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0"/>
    <n v="645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1"/>
    <n v="30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2"/>
    <n v="17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3"/>
    <n v="13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4"/>
    <n v="24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5"/>
    <n v="595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6"/>
    <n v="1364"/>
    <n v="3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7"/>
    <n v="4061"/>
    <n v="6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8"/>
    <n v="5551"/>
    <n v="7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09"/>
    <n v="13066"/>
    <n v="28"/>
    <n v="13"/>
    <n v="11"/>
    <n v="2"/>
    <n v="500"/>
    <n v="0"/>
    <n v="500"/>
    <n v="0"/>
  </r>
  <r>
    <s v="Abu Dhabi Duty Free"/>
    <s v="Mega Big Ticket_August 2013"/>
    <x v="2"/>
    <s v="Entertainment &amp; Lifestyle Sections - 300x250 - EN - UAE"/>
    <s v="2013-08-11"/>
    <s v="10"/>
    <n v="19002"/>
    <n v="40"/>
    <n v="25"/>
    <n v="15"/>
    <n v="10"/>
    <n v="1600"/>
    <n v="600"/>
    <n v="1000"/>
    <n v="0"/>
  </r>
  <r>
    <s v="Abu Dhabi Duty Free"/>
    <s v="Mega Big Ticket_August 2013"/>
    <x v="2"/>
    <s v="Entertainment &amp; Lifestyle Sections - 300x250 - EN - UAE"/>
    <s v="2013-08-11"/>
    <s v="11"/>
    <n v="19406"/>
    <n v="33"/>
    <n v="16"/>
    <n v="16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12"/>
    <n v="18566"/>
    <n v="43"/>
    <n v="11"/>
    <n v="10"/>
    <n v="1"/>
    <n v="1000"/>
    <n v="1000"/>
    <n v="0"/>
    <n v="0"/>
  </r>
  <r>
    <s v="Abu Dhabi Duty Free"/>
    <s v="Mega Big Ticket_August 2013"/>
    <x v="2"/>
    <s v="Entertainment &amp; Lifestyle Sections - 300x250 - EN - UAE"/>
    <s v="2013-08-11"/>
    <s v="13"/>
    <n v="19355"/>
    <n v="32"/>
    <n v="14"/>
    <n v="12"/>
    <n v="2"/>
    <n v="140"/>
    <n v="140"/>
    <n v="0"/>
    <n v="0"/>
  </r>
  <r>
    <s v="Abu Dhabi Duty Free"/>
    <s v="Mega Big Ticket_August 2013"/>
    <x v="2"/>
    <s v="Entertainment &amp; Lifestyle Sections - 300x250 - EN - UAE"/>
    <s v="2013-08-11"/>
    <s v="14"/>
    <n v="17978"/>
    <n v="27"/>
    <n v="10"/>
    <n v="8"/>
    <n v="2"/>
    <n v="0"/>
    <n v="0"/>
    <n v="0"/>
    <n v="0"/>
  </r>
  <r>
    <s v="Abu Dhabi Duty Free"/>
    <s v="Mega Big Ticket_August 2013"/>
    <x v="2"/>
    <s v="Entertainment &amp; Lifestyle Sections - 300x250 - EN - UAE"/>
    <s v="2013-08-11"/>
    <s v="15"/>
    <n v="18059"/>
    <n v="31"/>
    <n v="12"/>
    <n v="12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16"/>
    <n v="15110"/>
    <n v="27"/>
    <n v="21"/>
    <n v="20"/>
    <n v="1"/>
    <n v="1000"/>
    <n v="1000"/>
    <n v="0"/>
    <n v="0"/>
  </r>
  <r>
    <s v="Abu Dhabi Duty Free"/>
    <s v="Mega Big Ticket_August 2013"/>
    <x v="2"/>
    <s v="Entertainment &amp; Lifestyle Sections - 300x250 - EN - UAE"/>
    <s v="2013-08-11"/>
    <s v="17"/>
    <n v="10140"/>
    <n v="27"/>
    <n v="8"/>
    <n v="8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18"/>
    <n v="9001"/>
    <n v="13"/>
    <n v="6"/>
    <n v="6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19"/>
    <n v="8643"/>
    <n v="27"/>
    <n v="4"/>
    <n v="4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20"/>
    <n v="7938"/>
    <n v="19"/>
    <n v="3"/>
    <n v="3"/>
    <n v="0"/>
    <n v="0"/>
    <n v="0"/>
    <n v="0"/>
    <n v="0"/>
  </r>
  <r>
    <s v="Abu Dhabi Duty Free"/>
    <s v="Mega Big Ticket_August 2013"/>
    <x v="2"/>
    <s v="Entertainment &amp; Lifestyle Sections - 300x250 - EN - UAE"/>
    <s v="2013-08-11"/>
    <s v="21"/>
    <n v="8078"/>
    <n v="32"/>
    <n v="13"/>
    <n v="13"/>
    <n v="0"/>
    <n v="500"/>
    <n v="500"/>
    <n v="0"/>
    <n v="0"/>
  </r>
  <r>
    <s v="Abu Dhabi Duty Free"/>
    <s v="Mega Big Ticket_August 2013"/>
    <x v="2"/>
    <s v="Entertainment &amp; Lifestyle Sections - 300x250 - EN - UAE"/>
    <s v="2013-08-11"/>
    <s v="22"/>
    <n v="542"/>
    <n v="2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2"/>
    <s v="06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2"/>
    <s v="07"/>
    <n v="0"/>
    <n v="0"/>
    <n v="4"/>
    <n v="3"/>
    <n v="1"/>
    <n v="100"/>
    <n v="100"/>
    <n v="0"/>
    <n v="0"/>
  </r>
  <r>
    <s v="Abu Dhabi Duty Free"/>
    <s v="Mega Big Ticket_August 2013"/>
    <x v="2"/>
    <s v="Entertainment &amp; Lifestyle Sections - 300x250 - EN - UAE"/>
    <s v="2013-08-12"/>
    <s v="09"/>
    <n v="0"/>
    <n v="0"/>
    <n v="3"/>
    <n v="3"/>
    <n v="0"/>
    <n v="100"/>
    <n v="100"/>
    <n v="0"/>
    <n v="0"/>
  </r>
  <r>
    <s v="Abu Dhabi Duty Free"/>
    <s v="Mega Big Ticket_August 2013"/>
    <x v="2"/>
    <s v="Entertainment &amp; Lifestyle Sections - 300x250 - EN - UAE"/>
    <s v="2013-08-12"/>
    <s v="10"/>
    <n v="0"/>
    <n v="0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2"/>
    <s v="11"/>
    <n v="0"/>
    <n v="0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12"/>
    <s v="12"/>
    <n v="0"/>
    <n v="0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2"/>
    <s v="13"/>
    <n v="1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2"/>
    <s v="14"/>
    <n v="121"/>
    <n v="0"/>
    <n v="5"/>
    <n v="0"/>
    <n v="5"/>
    <n v="500"/>
    <n v="0"/>
    <n v="500"/>
    <n v="0"/>
  </r>
  <r>
    <s v="Abu Dhabi Duty Free"/>
    <s v="Mega Big Ticket_August 2013"/>
    <x v="2"/>
    <s v="Entertainment &amp; Lifestyle Sections - 300x250 - EN - UAE"/>
    <s v="2013-08-12"/>
    <s v="15"/>
    <n v="267"/>
    <n v="0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12"/>
    <s v="16"/>
    <n v="271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2"/>
    <s v="17"/>
    <n v="11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2"/>
    <s v="18"/>
    <n v="84"/>
    <n v="4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2"/>
    <s v="19"/>
    <n v="114"/>
    <n v="1"/>
    <n v="2"/>
    <n v="1"/>
    <n v="1"/>
    <n v="500"/>
    <n v="500"/>
    <n v="0"/>
    <n v="0"/>
  </r>
  <r>
    <s v="Abu Dhabi Duty Free"/>
    <s v="Mega Big Ticket_August 2013"/>
    <x v="2"/>
    <s v="Entertainment &amp; Lifestyle Sections - 300x250 - EN - UAE"/>
    <s v="2013-08-12"/>
    <s v="20"/>
    <n v="75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2"/>
    <s v="21"/>
    <n v="69"/>
    <n v="0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2"/>
    <s v="22"/>
    <n v="26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2"/>
    <s v="23"/>
    <n v="172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3"/>
    <s v="00"/>
    <n v="5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02"/>
    <n v="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03"/>
    <n v="1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04"/>
    <n v="8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05"/>
    <n v="19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06"/>
    <n v="83"/>
    <n v="0"/>
    <n v="5"/>
    <n v="0"/>
    <n v="5"/>
    <n v="0"/>
    <n v="0"/>
    <n v="0"/>
    <n v="0"/>
  </r>
  <r>
    <s v="Abu Dhabi Duty Free"/>
    <s v="Mega Big Ticket_August 2013"/>
    <x v="2"/>
    <s v="Entertainment &amp; Lifestyle Sections - 300x250 - EN - UAE"/>
    <s v="2013-08-13"/>
    <s v="07"/>
    <n v="23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08"/>
    <n v="274"/>
    <n v="1"/>
    <n v="1"/>
    <n v="0"/>
    <n v="1"/>
    <n v="100"/>
    <n v="0"/>
    <n v="100"/>
    <n v="0"/>
  </r>
  <r>
    <s v="Abu Dhabi Duty Free"/>
    <s v="Mega Big Ticket_August 2013"/>
    <x v="2"/>
    <s v="Entertainment &amp; Lifestyle Sections - 300x250 - EN - UAE"/>
    <s v="2013-08-13"/>
    <s v="09"/>
    <n v="25"/>
    <n v="0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10"/>
    <n v="7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11"/>
    <n v="370"/>
    <n v="1"/>
    <n v="3"/>
    <n v="1"/>
    <n v="2"/>
    <n v="100"/>
    <n v="0"/>
    <n v="100"/>
    <n v="0"/>
  </r>
  <r>
    <s v="Abu Dhabi Duty Free"/>
    <s v="Mega Big Ticket_August 2013"/>
    <x v="2"/>
    <s v="Entertainment &amp; Lifestyle Sections - 300x250 - EN - UAE"/>
    <s v="2013-08-13"/>
    <s v="12"/>
    <n v="580"/>
    <n v="2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13"/>
    <s v="13"/>
    <n v="64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14"/>
    <n v="208"/>
    <n v="2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15"/>
    <n v="0"/>
    <n v="0"/>
    <n v="7"/>
    <n v="1"/>
    <n v="6"/>
    <n v="0"/>
    <n v="0"/>
    <n v="0"/>
    <n v="0"/>
  </r>
  <r>
    <s v="Abu Dhabi Duty Free"/>
    <s v="Mega Big Ticket_August 2013"/>
    <x v="2"/>
    <s v="Entertainment &amp; Lifestyle Sections - 300x250 - EN - UAE"/>
    <s v="2013-08-13"/>
    <s v="16"/>
    <n v="8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3"/>
    <s v="17"/>
    <n v="4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18"/>
    <n v="18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19"/>
    <n v="492"/>
    <n v="3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20"/>
    <n v="629"/>
    <n v="4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21"/>
    <n v="802"/>
    <n v="1"/>
    <n v="3"/>
    <n v="0"/>
    <n v="3"/>
    <n v="500"/>
    <n v="0"/>
    <n v="500"/>
    <n v="0"/>
  </r>
  <r>
    <s v="Abu Dhabi Duty Free"/>
    <s v="Mega Big Ticket_August 2013"/>
    <x v="2"/>
    <s v="Entertainment &amp; Lifestyle Sections - 300x250 - EN - UAE"/>
    <s v="2013-08-13"/>
    <s v="22"/>
    <n v="399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3"/>
    <s v="23"/>
    <n v="15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00"/>
    <n v="43"/>
    <n v="1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01"/>
    <n v="2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02"/>
    <n v="1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03"/>
    <n v="28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04"/>
    <n v="5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05"/>
    <n v="20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06"/>
    <n v="772"/>
    <n v="4"/>
    <n v="3"/>
    <n v="0"/>
    <n v="3"/>
    <n v="500"/>
    <n v="0"/>
    <n v="500"/>
    <n v="0"/>
  </r>
  <r>
    <s v="Abu Dhabi Duty Free"/>
    <s v="Mega Big Ticket_August 2013"/>
    <x v="2"/>
    <s v="Entertainment &amp; Lifestyle Sections - 300x250 - EN - UAE"/>
    <s v="2013-08-14"/>
    <s v="07"/>
    <n v="1699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4"/>
    <s v="08"/>
    <n v="1477"/>
    <n v="2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14"/>
    <s v="09"/>
    <n v="943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10"/>
    <n v="1059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11"/>
    <n v="129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12"/>
    <n v="3170"/>
    <n v="3"/>
    <n v="5"/>
    <n v="4"/>
    <n v="1"/>
    <n v="500"/>
    <n v="500"/>
    <n v="0"/>
    <n v="0"/>
  </r>
  <r>
    <s v="Abu Dhabi Duty Free"/>
    <s v="Mega Big Ticket_August 2013"/>
    <x v="2"/>
    <s v="Entertainment &amp; Lifestyle Sections - 300x250 - EN - UAE"/>
    <s v="2013-08-14"/>
    <s v="13"/>
    <n v="3413"/>
    <n v="4"/>
    <n v="2"/>
    <n v="1"/>
    <n v="1"/>
    <n v="100"/>
    <n v="0"/>
    <n v="100"/>
    <n v="0"/>
  </r>
  <r>
    <s v="Abu Dhabi Duty Free"/>
    <s v="Mega Big Ticket_August 2013"/>
    <x v="2"/>
    <s v="Entertainment &amp; Lifestyle Sections - 300x250 - EN - UAE"/>
    <s v="2013-08-14"/>
    <s v="14"/>
    <n v="998"/>
    <n v="3"/>
    <n v="16"/>
    <n v="14"/>
    <n v="2"/>
    <n v="500"/>
    <n v="500"/>
    <n v="0"/>
    <n v="0"/>
  </r>
  <r>
    <s v="Abu Dhabi Duty Free"/>
    <s v="Mega Big Ticket_August 2013"/>
    <x v="2"/>
    <s v="Entertainment &amp; Lifestyle Sections - 300x250 - EN - UAE"/>
    <s v="2013-08-14"/>
    <s v="15"/>
    <n v="6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4"/>
    <s v="16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4"/>
    <s v="20"/>
    <n v="1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21"/>
    <n v="5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4"/>
    <s v="22"/>
    <n v="90"/>
    <n v="1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14"/>
    <s v="23"/>
    <n v="182"/>
    <n v="1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0"/>
    <n v="237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1"/>
    <n v="20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2"/>
    <n v="15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3"/>
    <n v="16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4"/>
    <n v="16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5"/>
    <n v="232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6"/>
    <n v="570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7"/>
    <n v="1432"/>
    <n v="2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5"/>
    <s v="08"/>
    <n v="3289"/>
    <n v="5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09"/>
    <n v="1855"/>
    <n v="8"/>
    <n v="9"/>
    <n v="7"/>
    <n v="2"/>
    <n v="1540"/>
    <n v="1540"/>
    <n v="0"/>
    <n v="0"/>
  </r>
  <r>
    <s v="Abu Dhabi Duty Free"/>
    <s v="Mega Big Ticket_August 2013"/>
    <x v="2"/>
    <s v="Entertainment &amp; Lifestyle Sections - 300x250 - EN - UAE"/>
    <s v="2013-08-15"/>
    <s v="10"/>
    <n v="672"/>
    <n v="0"/>
    <n v="4"/>
    <n v="4"/>
    <n v="0"/>
    <n v="40"/>
    <n v="40"/>
    <n v="0"/>
    <n v="0"/>
  </r>
  <r>
    <s v="Abu Dhabi Duty Free"/>
    <s v="Mega Big Ticket_August 2013"/>
    <x v="2"/>
    <s v="Entertainment &amp; Lifestyle Sections - 300x250 - EN - UAE"/>
    <s v="2013-08-15"/>
    <s v="11"/>
    <n v="251"/>
    <n v="1"/>
    <n v="4"/>
    <n v="0"/>
    <n v="4"/>
    <n v="0"/>
    <n v="0"/>
    <n v="0"/>
    <n v="0"/>
  </r>
  <r>
    <s v="Abu Dhabi Duty Free"/>
    <s v="Mega Big Ticket_August 2013"/>
    <x v="2"/>
    <s v="Entertainment &amp; Lifestyle Sections - 300x250 - EN - UAE"/>
    <s v="2013-08-15"/>
    <s v="12"/>
    <n v="9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13"/>
    <n v="9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5"/>
    <s v="14"/>
    <n v="272"/>
    <n v="0"/>
    <n v="7"/>
    <n v="2"/>
    <n v="5"/>
    <n v="740"/>
    <n v="0"/>
    <n v="740"/>
    <n v="0"/>
  </r>
  <r>
    <s v="Abu Dhabi Duty Free"/>
    <s v="Mega Big Ticket_August 2013"/>
    <x v="2"/>
    <s v="Entertainment &amp; Lifestyle Sections - 300x250 - EN - UAE"/>
    <s v="2013-08-15"/>
    <s v="15"/>
    <n v="815"/>
    <n v="1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15"/>
    <s v="16"/>
    <n v="1353"/>
    <n v="2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17"/>
    <n v="1491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18"/>
    <n v="1357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19"/>
    <n v="1148"/>
    <n v="5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20"/>
    <n v="613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21"/>
    <n v="50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22"/>
    <n v="633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5"/>
    <s v="23"/>
    <n v="454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00"/>
    <n v="306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01"/>
    <n v="22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02"/>
    <n v="174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6"/>
    <s v="03"/>
    <n v="14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04"/>
    <n v="142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05"/>
    <n v="402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06"/>
    <n v="762"/>
    <n v="2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6"/>
    <s v="07"/>
    <n v="1028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08"/>
    <n v="1009"/>
    <n v="6"/>
    <n v="4"/>
    <n v="4"/>
    <n v="0"/>
    <n v="100"/>
    <n v="100"/>
    <n v="0"/>
    <n v="0"/>
  </r>
  <r>
    <s v="Abu Dhabi Duty Free"/>
    <s v="Mega Big Ticket_August 2013"/>
    <x v="2"/>
    <s v="Entertainment &amp; Lifestyle Sections - 300x250 - EN - UAE"/>
    <s v="2013-08-16"/>
    <s v="09"/>
    <n v="1371"/>
    <n v="4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10"/>
    <n v="1223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11"/>
    <n v="876"/>
    <n v="3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12"/>
    <n v="607"/>
    <n v="0"/>
    <n v="5"/>
    <n v="0"/>
    <n v="5"/>
    <n v="1000"/>
    <n v="0"/>
    <n v="1000"/>
    <n v="0"/>
  </r>
  <r>
    <s v="Abu Dhabi Duty Free"/>
    <s v="Mega Big Ticket_August 2013"/>
    <x v="2"/>
    <s v="Entertainment &amp; Lifestyle Sections - 300x250 - EN - UAE"/>
    <s v="2013-08-16"/>
    <s v="13"/>
    <n v="380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14"/>
    <n v="648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15"/>
    <n v="919"/>
    <n v="4"/>
    <n v="3"/>
    <n v="3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16"/>
    <n v="1176"/>
    <n v="3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17"/>
    <n v="1403"/>
    <n v="2"/>
    <n v="4"/>
    <n v="1"/>
    <n v="3"/>
    <n v="1000"/>
    <n v="0"/>
    <n v="1000"/>
    <n v="0"/>
  </r>
  <r>
    <s v="Abu Dhabi Duty Free"/>
    <s v="Mega Big Ticket_August 2013"/>
    <x v="2"/>
    <s v="Entertainment &amp; Lifestyle Sections - 300x250 - EN - UAE"/>
    <s v="2013-08-16"/>
    <s v="18"/>
    <n v="1057"/>
    <n v="2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6"/>
    <s v="19"/>
    <n v="803"/>
    <n v="4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20"/>
    <n v="1118"/>
    <n v="2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16"/>
    <s v="21"/>
    <n v="598"/>
    <n v="0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22"/>
    <n v="1022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6"/>
    <s v="23"/>
    <n v="634"/>
    <n v="3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0"/>
    <n v="303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7"/>
    <s v="01"/>
    <n v="108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2"/>
    <n v="4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3"/>
    <n v="2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4"/>
    <n v="2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5"/>
    <n v="99"/>
    <n v="0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6"/>
    <n v="41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7"/>
    <n v="1017"/>
    <n v="2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7"/>
    <s v="08"/>
    <n v="1524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09"/>
    <n v="1733"/>
    <n v="3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10"/>
    <n v="1459"/>
    <n v="1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7"/>
    <s v="11"/>
    <n v="123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12"/>
    <n v="787"/>
    <n v="1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17"/>
    <s v="13"/>
    <n v="576"/>
    <n v="1"/>
    <n v="9"/>
    <n v="3"/>
    <n v="6"/>
    <n v="1500"/>
    <n v="500"/>
    <n v="1000"/>
    <n v="0"/>
  </r>
  <r>
    <s v="Abu Dhabi Duty Free"/>
    <s v="Mega Big Ticket_August 2013"/>
    <x v="2"/>
    <s v="Entertainment &amp; Lifestyle Sections - 300x250 - EN - UAE"/>
    <s v="2013-08-17"/>
    <s v="14"/>
    <n v="470"/>
    <n v="0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15"/>
    <n v="448"/>
    <n v="4"/>
    <n v="3"/>
    <n v="3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16"/>
    <n v="43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17"/>
    <n v="377"/>
    <n v="1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18"/>
    <n v="385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19"/>
    <n v="468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20"/>
    <n v="488"/>
    <n v="3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21"/>
    <n v="503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7"/>
    <s v="22"/>
    <n v="374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7"/>
    <s v="23"/>
    <n v="13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0"/>
    <n v="11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1"/>
    <n v="86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2"/>
    <n v="112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3"/>
    <n v="10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4"/>
    <n v="148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5"/>
    <n v="468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6"/>
    <n v="139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7"/>
    <n v="2346"/>
    <n v="5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08"/>
    <n v="1700"/>
    <n v="4"/>
    <n v="6"/>
    <n v="1"/>
    <n v="5"/>
    <n v="0"/>
    <n v="0"/>
    <n v="0"/>
    <n v="0"/>
  </r>
  <r>
    <s v="Abu Dhabi Duty Free"/>
    <s v="Mega Big Ticket_August 2013"/>
    <x v="2"/>
    <s v="Entertainment &amp; Lifestyle Sections - 300x250 - EN - UAE"/>
    <s v="2013-08-18"/>
    <s v="09"/>
    <n v="1384"/>
    <n v="0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8"/>
    <s v="10"/>
    <n v="1358"/>
    <n v="2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11"/>
    <n v="1398"/>
    <n v="4"/>
    <n v="3"/>
    <n v="1"/>
    <n v="2"/>
    <n v="100"/>
    <n v="100"/>
    <n v="0"/>
    <n v="0"/>
  </r>
  <r>
    <s v="Abu Dhabi Duty Free"/>
    <s v="Mega Big Ticket_August 2013"/>
    <x v="2"/>
    <s v="Entertainment &amp; Lifestyle Sections - 300x250 - EN - UAE"/>
    <s v="2013-08-18"/>
    <s v="12"/>
    <n v="1244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13"/>
    <n v="887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14"/>
    <n v="655"/>
    <n v="2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18"/>
    <s v="15"/>
    <n v="407"/>
    <n v="0"/>
    <n v="5"/>
    <n v="0"/>
    <n v="5"/>
    <n v="0"/>
    <n v="0"/>
    <n v="0"/>
    <n v="0"/>
  </r>
  <r>
    <s v="Abu Dhabi Duty Free"/>
    <s v="Mega Big Ticket_August 2013"/>
    <x v="2"/>
    <s v="Entertainment &amp; Lifestyle Sections - 300x250 - EN - UAE"/>
    <s v="2013-08-18"/>
    <s v="16"/>
    <n v="141"/>
    <n v="0"/>
    <n v="9"/>
    <n v="0"/>
    <n v="9"/>
    <n v="0"/>
    <n v="0"/>
    <n v="0"/>
    <n v="0"/>
  </r>
  <r>
    <s v="Abu Dhabi Duty Free"/>
    <s v="Mega Big Ticket_August 2013"/>
    <x v="2"/>
    <s v="Entertainment &amp; Lifestyle Sections - 300x250 - EN - UAE"/>
    <s v="2013-08-18"/>
    <s v="17"/>
    <n v="1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8"/>
    <s v="18"/>
    <n v="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19"/>
    <n v="3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8"/>
    <s v="20"/>
    <n v="102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8"/>
    <s v="21"/>
    <n v="209"/>
    <n v="3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8"/>
    <s v="22"/>
    <n v="195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8"/>
    <s v="23"/>
    <n v="171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0"/>
    <n v="11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1"/>
    <n v="8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2"/>
    <n v="7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3"/>
    <n v="9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4"/>
    <n v="201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5"/>
    <n v="474"/>
    <n v="2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6"/>
    <n v="1302"/>
    <n v="2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19"/>
    <s v="07"/>
    <n v="4135"/>
    <n v="8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8"/>
    <n v="3238"/>
    <n v="10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09"/>
    <n v="1259"/>
    <n v="3"/>
    <n v="6"/>
    <n v="3"/>
    <n v="3"/>
    <n v="0"/>
    <n v="0"/>
    <n v="0"/>
    <n v="0"/>
  </r>
  <r>
    <s v="Abu Dhabi Duty Free"/>
    <s v="Mega Big Ticket_August 2013"/>
    <x v="2"/>
    <s v="Entertainment &amp; Lifestyle Sections - 300x250 - EN - UAE"/>
    <s v="2013-08-19"/>
    <s v="10"/>
    <n v="534"/>
    <n v="4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11"/>
    <n v="3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9"/>
    <s v="12"/>
    <n v="0"/>
    <n v="0"/>
    <n v="5"/>
    <n v="0"/>
    <n v="5"/>
    <n v="0"/>
    <n v="0"/>
    <n v="0"/>
    <n v="0"/>
  </r>
  <r>
    <s v="Abu Dhabi Duty Free"/>
    <s v="Mega Big Ticket_August 2013"/>
    <x v="2"/>
    <s v="Entertainment &amp; Lifestyle Sections - 300x250 - EN - UAE"/>
    <s v="2013-08-19"/>
    <s v="13"/>
    <n v="0"/>
    <n v="0"/>
    <n v="3"/>
    <n v="1"/>
    <n v="2"/>
    <n v="0"/>
    <n v="0"/>
    <n v="0"/>
    <n v="0"/>
  </r>
  <r>
    <s v="Abu Dhabi Duty Free"/>
    <s v="Mega Big Ticket_August 2013"/>
    <x v="2"/>
    <s v="Entertainment &amp; Lifestyle Sections - 300x250 - EN - UAE"/>
    <s v="2013-08-19"/>
    <s v="14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9"/>
    <s v="16"/>
    <n v="19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19"/>
    <s v="17"/>
    <n v="168"/>
    <n v="1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19"/>
    <s v="18"/>
    <n v="373"/>
    <n v="0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19"/>
    <n v="618"/>
    <n v="4"/>
    <n v="6"/>
    <n v="4"/>
    <n v="2"/>
    <n v="500"/>
    <n v="500"/>
    <n v="0"/>
    <n v="0"/>
  </r>
  <r>
    <s v="Abu Dhabi Duty Free"/>
    <s v="Mega Big Ticket_August 2013"/>
    <x v="2"/>
    <s v="Entertainment &amp; Lifestyle Sections - 300x250 - EN - UAE"/>
    <s v="2013-08-19"/>
    <s v="20"/>
    <n v="930"/>
    <n v="6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21"/>
    <n v="1020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22"/>
    <n v="744"/>
    <n v="3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19"/>
    <s v="23"/>
    <n v="30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0"/>
    <n v="14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1"/>
    <n v="5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2"/>
    <n v="3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3"/>
    <n v="3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4"/>
    <n v="10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5"/>
    <n v="43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6"/>
    <n v="1657"/>
    <n v="1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0"/>
    <s v="07"/>
    <n v="362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08"/>
    <n v="1922"/>
    <n v="2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20"/>
    <s v="09"/>
    <n v="24"/>
    <n v="0"/>
    <n v="2"/>
    <n v="0"/>
    <n v="2"/>
    <n v="500"/>
    <n v="0"/>
    <n v="500"/>
    <n v="0"/>
  </r>
  <r>
    <s v="Abu Dhabi Duty Free"/>
    <s v="Mega Big Ticket_August 2013"/>
    <x v="2"/>
    <s v="Entertainment &amp; Lifestyle Sections - 300x250 - EN - UAE"/>
    <s v="2013-08-20"/>
    <s v="12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0"/>
    <s v="13"/>
    <n v="19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14"/>
    <n v="279"/>
    <n v="1"/>
    <n v="4"/>
    <n v="1"/>
    <n v="3"/>
    <n v="100"/>
    <n v="0"/>
    <n v="100"/>
    <n v="0"/>
  </r>
  <r>
    <s v="Abu Dhabi Duty Free"/>
    <s v="Mega Big Ticket_August 2013"/>
    <x v="2"/>
    <s v="Entertainment &amp; Lifestyle Sections - 300x250 - EN - UAE"/>
    <s v="2013-08-20"/>
    <s v="15"/>
    <n v="844"/>
    <n v="2"/>
    <n v="4"/>
    <n v="0"/>
    <n v="4"/>
    <n v="0"/>
    <n v="0"/>
    <n v="0"/>
    <n v="0"/>
  </r>
  <r>
    <s v="Abu Dhabi Duty Free"/>
    <s v="Mega Big Ticket_August 2013"/>
    <x v="2"/>
    <s v="Entertainment &amp; Lifestyle Sections - 300x250 - EN - UAE"/>
    <s v="2013-08-20"/>
    <s v="16"/>
    <n v="1212"/>
    <n v="2"/>
    <n v="4"/>
    <n v="0"/>
    <n v="4"/>
    <n v="0"/>
    <n v="0"/>
    <n v="0"/>
    <n v="0"/>
  </r>
  <r>
    <s v="Abu Dhabi Duty Free"/>
    <s v="Mega Big Ticket_August 2013"/>
    <x v="2"/>
    <s v="Entertainment &amp; Lifestyle Sections - 300x250 - EN - UAE"/>
    <s v="2013-08-20"/>
    <s v="17"/>
    <n v="1043"/>
    <n v="2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20"/>
    <s v="18"/>
    <n v="1177"/>
    <n v="2"/>
    <n v="3"/>
    <n v="0"/>
    <n v="3"/>
    <n v="100"/>
    <n v="0"/>
    <n v="100"/>
    <n v="0"/>
  </r>
  <r>
    <s v="Abu Dhabi Duty Free"/>
    <s v="Mega Big Ticket_August 2013"/>
    <x v="2"/>
    <s v="Entertainment &amp; Lifestyle Sections - 300x250 - EN - UAE"/>
    <s v="2013-08-20"/>
    <s v="19"/>
    <n v="1090"/>
    <n v="6"/>
    <n v="5"/>
    <n v="2"/>
    <n v="3"/>
    <n v="1000"/>
    <n v="0"/>
    <n v="1000"/>
    <n v="0"/>
  </r>
  <r>
    <s v="Abu Dhabi Duty Free"/>
    <s v="Mega Big Ticket_August 2013"/>
    <x v="2"/>
    <s v="Entertainment &amp; Lifestyle Sections - 300x250 - EN - UAE"/>
    <s v="2013-08-20"/>
    <s v="20"/>
    <n v="849"/>
    <n v="2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0"/>
    <s v="21"/>
    <n v="670"/>
    <n v="4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20"/>
    <s v="22"/>
    <n v="383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0"/>
    <s v="23"/>
    <n v="318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1"/>
    <s v="00"/>
    <n v="201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01"/>
    <n v="13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02"/>
    <n v="115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03"/>
    <n v="152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04"/>
    <n v="42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05"/>
    <n v="1342"/>
    <n v="5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06"/>
    <n v="2994"/>
    <n v="7"/>
    <n v="4"/>
    <n v="2"/>
    <n v="2"/>
    <n v="0"/>
    <n v="0"/>
    <n v="0"/>
    <n v="0"/>
  </r>
  <r>
    <s v="Abu Dhabi Duty Free"/>
    <s v="Mega Big Ticket_August 2013"/>
    <x v="2"/>
    <s v="Entertainment &amp; Lifestyle Sections - 300x250 - EN - UAE"/>
    <s v="2013-08-21"/>
    <s v="07"/>
    <n v="4011"/>
    <n v="5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08"/>
    <n v="538"/>
    <n v="2"/>
    <n v="6"/>
    <n v="0"/>
    <n v="6"/>
    <n v="0"/>
    <n v="0"/>
    <n v="0"/>
    <n v="0"/>
  </r>
  <r>
    <s v="Abu Dhabi Duty Free"/>
    <s v="Mega Big Ticket_August 2013"/>
    <x v="2"/>
    <s v="Entertainment &amp; Lifestyle Sections - 300x250 - EN - UAE"/>
    <s v="2013-08-21"/>
    <s v="09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1"/>
    <s v="10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1"/>
    <s v="11"/>
    <n v="0"/>
    <n v="0"/>
    <n v="4"/>
    <n v="3"/>
    <n v="1"/>
    <n v="500"/>
    <n v="500"/>
    <n v="0"/>
    <n v="0"/>
  </r>
  <r>
    <s v="Abu Dhabi Duty Free"/>
    <s v="Mega Big Ticket_August 2013"/>
    <x v="2"/>
    <s v="Entertainment &amp; Lifestyle Sections - 300x250 - EN - UAE"/>
    <s v="2013-08-21"/>
    <s v="12"/>
    <n v="0"/>
    <n v="0"/>
    <n v="4"/>
    <n v="0"/>
    <n v="4"/>
    <n v="0"/>
    <n v="0"/>
    <n v="0"/>
    <n v="0"/>
  </r>
  <r>
    <s v="Abu Dhabi Duty Free"/>
    <s v="Mega Big Ticket_August 2013"/>
    <x v="2"/>
    <s v="Entertainment &amp; Lifestyle Sections - 300x250 - EN - UAE"/>
    <s v="2013-08-21"/>
    <s v="13"/>
    <n v="0"/>
    <n v="0"/>
    <n v="2"/>
    <n v="0"/>
    <n v="2"/>
    <n v="500"/>
    <n v="0"/>
    <n v="500"/>
    <n v="0"/>
  </r>
  <r>
    <s v="Abu Dhabi Duty Free"/>
    <s v="Mega Big Ticket_August 2013"/>
    <x v="2"/>
    <s v="Entertainment &amp; Lifestyle Sections - 300x250 - EN - UAE"/>
    <s v="2013-08-21"/>
    <s v="14"/>
    <n v="15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1"/>
    <s v="15"/>
    <n v="160"/>
    <n v="0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1"/>
    <s v="16"/>
    <n v="29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17"/>
    <n v="302"/>
    <n v="0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1"/>
    <s v="18"/>
    <n v="582"/>
    <n v="1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1"/>
    <s v="19"/>
    <n v="928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20"/>
    <n v="1299"/>
    <n v="3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21"/>
    <n v="1483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1"/>
    <s v="22"/>
    <n v="1320"/>
    <n v="4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21"/>
    <s v="23"/>
    <n v="822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2"/>
    <s v="00"/>
    <n v="238"/>
    <n v="0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2"/>
    <s v="01"/>
    <n v="4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02"/>
    <n v="1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03"/>
    <n v="1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04"/>
    <n v="2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05"/>
    <n v="100"/>
    <n v="0"/>
    <n v="2"/>
    <n v="0"/>
    <n v="2"/>
    <n v="500"/>
    <n v="0"/>
    <n v="500"/>
    <n v="0"/>
  </r>
  <r>
    <s v="Abu Dhabi Duty Free"/>
    <s v="Mega Big Ticket_August 2013"/>
    <x v="2"/>
    <s v="Entertainment &amp; Lifestyle Sections - 300x250 - EN - UAE"/>
    <s v="2013-08-22"/>
    <s v="06"/>
    <n v="322"/>
    <n v="1"/>
    <n v="4"/>
    <n v="0"/>
    <n v="4"/>
    <n v="1000"/>
    <n v="0"/>
    <n v="1000"/>
    <n v="0"/>
  </r>
  <r>
    <s v="Abu Dhabi Duty Free"/>
    <s v="Mega Big Ticket_August 2013"/>
    <x v="2"/>
    <s v="Entertainment &amp; Lifestyle Sections - 300x250 - EN - UAE"/>
    <s v="2013-08-22"/>
    <s v="07"/>
    <n v="1481"/>
    <n v="4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08"/>
    <n v="2595"/>
    <n v="6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09"/>
    <n v="2614"/>
    <n v="6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10"/>
    <n v="2044"/>
    <n v="1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22"/>
    <s v="11"/>
    <n v="521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2"/>
    <s v="12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2"/>
    <s v="13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2"/>
    <s v="15"/>
    <n v="39"/>
    <n v="0"/>
    <n v="2"/>
    <n v="0"/>
    <n v="2"/>
    <n v="500"/>
    <n v="0"/>
    <n v="500"/>
    <n v="0"/>
  </r>
  <r>
    <s v="Abu Dhabi Duty Free"/>
    <s v="Mega Big Ticket_August 2013"/>
    <x v="2"/>
    <s v="Entertainment &amp; Lifestyle Sections - 300x250 - EN - UAE"/>
    <s v="2013-08-22"/>
    <s v="16"/>
    <n v="16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17"/>
    <n v="308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18"/>
    <n v="501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19"/>
    <n v="670"/>
    <n v="2"/>
    <n v="4"/>
    <n v="3"/>
    <n v="1"/>
    <n v="1000"/>
    <n v="1000"/>
    <n v="0"/>
    <n v="0"/>
  </r>
  <r>
    <s v="Abu Dhabi Duty Free"/>
    <s v="Mega Big Ticket_August 2013"/>
    <x v="2"/>
    <s v="Entertainment &amp; Lifestyle Sections - 300x250 - EN - UAE"/>
    <s v="2013-08-22"/>
    <s v="20"/>
    <n v="700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2"/>
    <s v="21"/>
    <n v="755"/>
    <n v="3"/>
    <n v="4"/>
    <n v="3"/>
    <n v="1"/>
    <n v="500"/>
    <n v="500"/>
    <n v="0"/>
    <n v="0"/>
  </r>
  <r>
    <s v="Abu Dhabi Duty Free"/>
    <s v="Mega Big Ticket_August 2013"/>
    <x v="2"/>
    <s v="Entertainment &amp; Lifestyle Sections - 300x250 - EN - UAE"/>
    <s v="2013-08-22"/>
    <s v="22"/>
    <n v="822"/>
    <n v="2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2"/>
    <s v="23"/>
    <n v="64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00"/>
    <n v="338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01"/>
    <n v="165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02"/>
    <n v="106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03"/>
    <n v="78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04"/>
    <n v="12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05"/>
    <n v="482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3"/>
    <s v="06"/>
    <n v="1164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07"/>
    <n v="1978"/>
    <n v="4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3"/>
    <s v="08"/>
    <n v="2075"/>
    <n v="5"/>
    <n v="2"/>
    <n v="2"/>
    <n v="0"/>
    <n v="500"/>
    <n v="500"/>
    <n v="0"/>
    <n v="0"/>
  </r>
  <r>
    <s v="Abu Dhabi Duty Free"/>
    <s v="Mega Big Ticket_August 2013"/>
    <x v="2"/>
    <s v="Entertainment &amp; Lifestyle Sections - 300x250 - EN - UAE"/>
    <s v="2013-08-23"/>
    <s v="09"/>
    <n v="1385"/>
    <n v="3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10"/>
    <n v="592"/>
    <n v="0"/>
    <n v="4"/>
    <n v="2"/>
    <n v="2"/>
    <n v="1000"/>
    <n v="1000"/>
    <n v="0"/>
    <n v="0"/>
  </r>
  <r>
    <s v="Abu Dhabi Duty Free"/>
    <s v="Mega Big Ticket_August 2013"/>
    <x v="2"/>
    <s v="Entertainment &amp; Lifestyle Sections - 300x250 - EN - UAE"/>
    <s v="2013-08-23"/>
    <s v="11"/>
    <n v="55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12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3"/>
    <s v="14"/>
    <n v="6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15"/>
    <n v="24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16"/>
    <n v="591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17"/>
    <n v="914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18"/>
    <n v="1185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19"/>
    <n v="1446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20"/>
    <n v="1626"/>
    <n v="5"/>
    <n v="11"/>
    <n v="0"/>
    <n v="11"/>
    <n v="100"/>
    <n v="0"/>
    <n v="100"/>
    <n v="0"/>
  </r>
  <r>
    <s v="Abu Dhabi Duty Free"/>
    <s v="Mega Big Ticket_August 2013"/>
    <x v="2"/>
    <s v="Entertainment &amp; Lifestyle Sections - 300x250 - EN - UAE"/>
    <s v="2013-08-23"/>
    <s v="21"/>
    <n v="1604"/>
    <n v="5"/>
    <n v="5"/>
    <n v="1"/>
    <n v="4"/>
    <n v="0"/>
    <n v="0"/>
    <n v="0"/>
    <n v="0"/>
  </r>
  <r>
    <s v="Abu Dhabi Duty Free"/>
    <s v="Mega Big Ticket_August 2013"/>
    <x v="2"/>
    <s v="Entertainment &amp; Lifestyle Sections - 300x250 - EN - UAE"/>
    <s v="2013-08-23"/>
    <s v="22"/>
    <n v="1100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3"/>
    <s v="23"/>
    <n v="792"/>
    <n v="2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00"/>
    <n v="426"/>
    <n v="1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01"/>
    <n v="185"/>
    <n v="0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4"/>
    <s v="02"/>
    <n v="8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03"/>
    <n v="21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04"/>
    <n v="22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05"/>
    <n v="29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06"/>
    <n v="79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4"/>
    <s v="07"/>
    <n v="243"/>
    <n v="1"/>
    <n v="1"/>
    <n v="0"/>
    <n v="1"/>
    <n v="190"/>
    <n v="0"/>
    <n v="190"/>
    <n v="0"/>
  </r>
  <r>
    <s v="Abu Dhabi Duty Free"/>
    <s v="Mega Big Ticket_August 2013"/>
    <x v="2"/>
    <s v="Entertainment &amp; Lifestyle Sections - 300x250 - EN - UAE"/>
    <s v="2013-08-24"/>
    <s v="08"/>
    <n v="378"/>
    <n v="2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4"/>
    <s v="09"/>
    <n v="811"/>
    <n v="5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4"/>
    <s v="10"/>
    <n v="1074"/>
    <n v="2"/>
    <n v="6"/>
    <n v="0"/>
    <n v="6"/>
    <n v="100"/>
    <n v="0"/>
    <n v="100"/>
    <n v="0"/>
  </r>
  <r>
    <s v="Abu Dhabi Duty Free"/>
    <s v="Mega Big Ticket_August 2013"/>
    <x v="2"/>
    <s v="Entertainment &amp; Lifestyle Sections - 300x250 - EN - UAE"/>
    <s v="2013-08-24"/>
    <s v="11"/>
    <n v="1174"/>
    <n v="5"/>
    <n v="3"/>
    <n v="2"/>
    <n v="1"/>
    <n v="0"/>
    <n v="0"/>
    <n v="0"/>
    <n v="0"/>
  </r>
  <r>
    <s v="Abu Dhabi Duty Free"/>
    <s v="Mega Big Ticket_August 2013"/>
    <x v="2"/>
    <s v="Entertainment &amp; Lifestyle Sections - 300x250 - EN - UAE"/>
    <s v="2013-08-24"/>
    <s v="12"/>
    <n v="1289"/>
    <n v="6"/>
    <n v="3"/>
    <n v="3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13"/>
    <n v="1343"/>
    <n v="2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4"/>
    <s v="14"/>
    <n v="936"/>
    <n v="2"/>
    <n v="3"/>
    <n v="0"/>
    <n v="3"/>
    <n v="500"/>
    <n v="0"/>
    <n v="500"/>
    <n v="0"/>
  </r>
  <r>
    <s v="Abu Dhabi Duty Free"/>
    <s v="Mega Big Ticket_August 2013"/>
    <x v="2"/>
    <s v="Entertainment &amp; Lifestyle Sections - 300x250 - EN - UAE"/>
    <s v="2013-08-24"/>
    <s v="15"/>
    <n v="912"/>
    <n v="2"/>
    <n v="2"/>
    <n v="1"/>
    <n v="1"/>
    <n v="0"/>
    <n v="0"/>
    <n v="0"/>
    <n v="0"/>
  </r>
  <r>
    <s v="Abu Dhabi Duty Free"/>
    <s v="Mega Big Ticket_August 2013"/>
    <x v="2"/>
    <s v="Entertainment &amp; Lifestyle Sections - 300x250 - EN - UAE"/>
    <s v="2013-08-24"/>
    <s v="16"/>
    <n v="1051"/>
    <n v="1"/>
    <n v="2"/>
    <n v="0"/>
    <n v="2"/>
    <n v="0"/>
    <n v="0"/>
    <n v="0"/>
    <n v="0"/>
  </r>
  <r>
    <s v="Abu Dhabi Duty Free"/>
    <s v="Mega Big Ticket_August 2013"/>
    <x v="2"/>
    <s v="Entertainment &amp; Lifestyle Sections - 300x250 - EN - UAE"/>
    <s v="2013-08-24"/>
    <s v="17"/>
    <n v="1064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18"/>
    <n v="1203"/>
    <n v="7"/>
    <n v="2"/>
    <n v="2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19"/>
    <n v="1210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20"/>
    <n v="1226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21"/>
    <n v="996"/>
    <n v="1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4"/>
    <s v="22"/>
    <n v="623"/>
    <n v="5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4"/>
    <s v="23"/>
    <n v="408"/>
    <n v="0"/>
    <n v="1"/>
    <n v="0"/>
    <n v="1"/>
    <n v="0"/>
    <n v="0"/>
    <n v="0"/>
    <n v="0"/>
  </r>
  <r>
    <s v="Abu Dhabi Duty Free"/>
    <s v="Mega Big Ticket_August 2013"/>
    <x v="2"/>
    <s v="Entertainment &amp; Lifestyle Sections - 300x250 - EN - UAE"/>
    <s v="2013-08-25"/>
    <s v="00"/>
    <n v="218"/>
    <n v="0"/>
    <n v="6"/>
    <n v="3"/>
    <n v="3"/>
    <n v="1000"/>
    <n v="0"/>
    <n v="1000"/>
    <n v="0"/>
  </r>
  <r>
    <s v="Abu Dhabi Duty Free"/>
    <s v="Mega Big Ticket_August 2013"/>
    <x v="2"/>
    <s v="Entertainment &amp; Lifestyle Sections - 300x250 - EN - UAE"/>
    <s v="2013-08-25"/>
    <s v="01"/>
    <n v="10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02"/>
    <n v="85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03"/>
    <n v="74"/>
    <n v="1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04"/>
    <n v="183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05"/>
    <n v="407"/>
    <n v="0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06"/>
    <n v="1102"/>
    <n v="1"/>
    <n v="3"/>
    <n v="0"/>
    <n v="3"/>
    <n v="0"/>
    <n v="0"/>
    <n v="0"/>
    <n v="0"/>
  </r>
  <r>
    <s v="Abu Dhabi Duty Free"/>
    <s v="Mega Big Ticket_August 2013"/>
    <x v="2"/>
    <s v="Entertainment &amp; Lifestyle Sections - 300x250 - EN - UAE"/>
    <s v="2013-08-25"/>
    <s v="07"/>
    <n v="2544"/>
    <n v="3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08"/>
    <n v="1773"/>
    <n v="3"/>
    <n v="1"/>
    <n v="1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09"/>
    <n v="1364"/>
    <n v="2"/>
    <n v="2"/>
    <n v="0"/>
    <n v="2"/>
    <n v="500"/>
    <n v="0"/>
    <n v="500"/>
    <n v="0"/>
  </r>
  <r>
    <s v="Abu Dhabi Duty Free"/>
    <s v="Mega Big Ticket_August 2013"/>
    <x v="2"/>
    <s v="Entertainment &amp; Lifestyle Sections - 300x250 - EN - UAE"/>
    <s v="2013-08-25"/>
    <s v="10"/>
    <n v="889"/>
    <n v="0"/>
    <n v="3"/>
    <n v="1"/>
    <n v="2"/>
    <n v="0"/>
    <n v="0"/>
    <n v="0"/>
    <n v="0"/>
  </r>
  <r>
    <s v="Abu Dhabi Duty Free"/>
    <s v="Mega Big Ticket_August 2013"/>
    <x v="2"/>
    <s v="Entertainment &amp; Lifestyle Sections - 300x250 - EN - UAE"/>
    <s v="2013-08-25"/>
    <s v="11"/>
    <n v="672"/>
    <n v="1"/>
    <n v="5"/>
    <n v="3"/>
    <n v="2"/>
    <n v="500"/>
    <n v="500"/>
    <n v="0"/>
    <n v="0"/>
  </r>
  <r>
    <s v="Abu Dhabi Duty Free"/>
    <s v="Mega Big Ticket_August 2013"/>
    <x v="2"/>
    <s v="Entertainment &amp; Lifestyle Sections - 300x250 - EN - UAE"/>
    <s v="2013-08-25"/>
    <s v="12"/>
    <n v="625"/>
    <n v="3"/>
    <n v="0"/>
    <n v="0"/>
    <n v="0"/>
    <n v="0"/>
    <n v="0"/>
    <n v="0"/>
    <n v="0"/>
  </r>
  <r>
    <s v="Abu Dhabi Duty Free"/>
    <s v="Mega Big Ticket_August 2013"/>
    <x v="2"/>
    <s v="Entertainment &amp; Lifestyle Sections - 300x250 - EN - UAE"/>
    <s v="2013-08-25"/>
    <s v="13"/>
    <n v="523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7"/>
    <s v="15"/>
    <n v="0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7"/>
    <s v="16"/>
    <n v="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8"/>
    <s v="05"/>
    <n v="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8"/>
    <s v="06"/>
    <n v="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8"/>
    <s v="08"/>
    <n v="6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8"/>
    <s v="09"/>
    <n v="21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8"/>
    <s v="11"/>
    <n v="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08"/>
    <s v="17"/>
    <n v="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0"/>
    <s v="10"/>
    <n v="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0"/>
    <s v="21"/>
    <n v="1886"/>
    <n v="3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10"/>
    <s v="22"/>
    <n v="3258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0"/>
    <s v="23"/>
    <n v="1909"/>
    <n v="5"/>
    <n v="2"/>
    <n v="2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0"/>
    <n v="1190"/>
    <n v="4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1"/>
    <n v="61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2"/>
    <n v="33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3"/>
    <n v="334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4"/>
    <n v="53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5"/>
    <n v="1557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6"/>
    <n v="3917"/>
    <n v="3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7"/>
    <n v="9416"/>
    <n v="6"/>
    <n v="2"/>
    <n v="2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08"/>
    <n v="11420"/>
    <n v="13"/>
    <n v="7"/>
    <n v="4"/>
    <n v="3"/>
    <n v="0"/>
    <n v="0"/>
    <n v="0"/>
    <n v="0"/>
  </r>
  <r>
    <s v="Abu Dhabi Duty Free"/>
    <s v="Mega Big Ticket_August 2013"/>
    <x v="2"/>
    <s v="Entertainment &amp; Lifestyle Sections - 728x90 - EN - UAE"/>
    <s v="2013-08-11"/>
    <s v="09"/>
    <n v="10765"/>
    <n v="6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10"/>
    <n v="11157"/>
    <n v="5"/>
    <n v="3"/>
    <n v="2"/>
    <n v="1"/>
    <n v="0"/>
    <n v="0"/>
    <n v="0"/>
    <n v="0"/>
  </r>
  <r>
    <s v="Abu Dhabi Duty Free"/>
    <s v="Mega Big Ticket_August 2013"/>
    <x v="2"/>
    <s v="Entertainment &amp; Lifestyle Sections - 728x90 - EN - UAE"/>
    <s v="2013-08-11"/>
    <s v="11"/>
    <n v="11384"/>
    <n v="7"/>
    <n v="4"/>
    <n v="4"/>
    <n v="0"/>
    <n v="1000"/>
    <n v="1000"/>
    <n v="0"/>
    <n v="0"/>
  </r>
  <r>
    <s v="Abu Dhabi Duty Free"/>
    <s v="Mega Big Ticket_August 2013"/>
    <x v="2"/>
    <s v="Entertainment &amp; Lifestyle Sections - 728x90 - EN - UAE"/>
    <s v="2013-08-11"/>
    <s v="12"/>
    <n v="10886"/>
    <n v="7"/>
    <n v="7"/>
    <n v="3"/>
    <n v="4"/>
    <n v="0"/>
    <n v="0"/>
    <n v="0"/>
    <n v="0"/>
  </r>
  <r>
    <s v="Abu Dhabi Duty Free"/>
    <s v="Mega Big Ticket_August 2013"/>
    <x v="2"/>
    <s v="Entertainment &amp; Lifestyle Sections - 728x90 - EN - UAE"/>
    <s v="2013-08-11"/>
    <s v="13"/>
    <n v="11028"/>
    <n v="9"/>
    <n v="3"/>
    <n v="3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14"/>
    <n v="9728"/>
    <n v="5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11"/>
    <s v="15"/>
    <n v="9449"/>
    <n v="5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16"/>
    <n v="7910"/>
    <n v="13"/>
    <n v="4"/>
    <n v="3"/>
    <n v="1"/>
    <n v="0"/>
    <n v="0"/>
    <n v="0"/>
    <n v="0"/>
  </r>
  <r>
    <s v="Abu Dhabi Duty Free"/>
    <s v="Mega Big Ticket_August 2013"/>
    <x v="2"/>
    <s v="Entertainment &amp; Lifestyle Sections - 728x90 - EN - UAE"/>
    <s v="2013-08-11"/>
    <s v="17"/>
    <n v="5014"/>
    <n v="5"/>
    <n v="4"/>
    <n v="4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18"/>
    <n v="4757"/>
    <n v="4"/>
    <n v="4"/>
    <n v="3"/>
    <n v="1"/>
    <n v="0"/>
    <n v="0"/>
    <n v="0"/>
    <n v="0"/>
  </r>
  <r>
    <s v="Abu Dhabi Duty Free"/>
    <s v="Mega Big Ticket_August 2013"/>
    <x v="2"/>
    <s v="Entertainment &amp; Lifestyle Sections - 728x90 - EN - UAE"/>
    <s v="2013-08-11"/>
    <s v="19"/>
    <n v="476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20"/>
    <n v="4333"/>
    <n v="4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21"/>
    <n v="4158"/>
    <n v="3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1"/>
    <s v="22"/>
    <n v="407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2"/>
    <s v="09"/>
    <n v="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10"/>
    <n v="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11"/>
    <n v="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12"/>
    <n v="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13"/>
    <n v="34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14"/>
    <n v="1827"/>
    <n v="4"/>
    <n v="2"/>
    <n v="2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15"/>
    <n v="2589"/>
    <n v="2"/>
    <n v="4"/>
    <n v="0"/>
    <n v="4"/>
    <n v="1000"/>
    <n v="0"/>
    <n v="1000"/>
    <n v="0"/>
  </r>
  <r>
    <s v="Abu Dhabi Duty Free"/>
    <s v="Mega Big Ticket_August 2013"/>
    <x v="2"/>
    <s v="Entertainment &amp; Lifestyle Sections - 728x90 - EN - UAE"/>
    <s v="2013-08-12"/>
    <s v="16"/>
    <n v="55"/>
    <n v="0"/>
    <n v="5"/>
    <n v="0"/>
    <n v="5"/>
    <n v="100"/>
    <n v="0"/>
    <n v="100"/>
    <n v="0"/>
  </r>
  <r>
    <s v="Abu Dhabi Duty Free"/>
    <s v="Mega Big Ticket_August 2013"/>
    <x v="2"/>
    <s v="Entertainment &amp; Lifestyle Sections - 728x90 - EN - UAE"/>
    <s v="2013-08-12"/>
    <s v="17"/>
    <n v="5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18"/>
    <n v="35"/>
    <n v="0"/>
    <n v="4"/>
    <n v="0"/>
    <n v="4"/>
    <n v="500"/>
    <n v="0"/>
    <n v="500"/>
    <n v="0"/>
  </r>
  <r>
    <s v="Abu Dhabi Duty Free"/>
    <s v="Mega Big Ticket_August 2013"/>
    <x v="2"/>
    <s v="Entertainment &amp; Lifestyle Sections - 728x90 - EN - UAE"/>
    <s v="2013-08-12"/>
    <s v="19"/>
    <n v="2"/>
    <n v="1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12"/>
    <s v="20"/>
    <n v="6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21"/>
    <n v="2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22"/>
    <n v="5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2"/>
    <s v="23"/>
    <n v="9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0"/>
    <n v="89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1"/>
    <n v="11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2"/>
    <n v="9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3"/>
    <n v="12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4"/>
    <n v="36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5"/>
    <n v="148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6"/>
    <n v="713"/>
    <n v="2"/>
    <n v="4"/>
    <n v="2"/>
    <n v="2"/>
    <n v="0"/>
    <n v="0"/>
    <n v="0"/>
    <n v="0"/>
  </r>
  <r>
    <s v="Abu Dhabi Duty Free"/>
    <s v="Mega Big Ticket_August 2013"/>
    <x v="2"/>
    <s v="Entertainment &amp; Lifestyle Sections - 728x90 - EN - UAE"/>
    <s v="2013-08-13"/>
    <s v="08"/>
    <n v="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09"/>
    <n v="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10"/>
    <n v="4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3"/>
    <s v="11"/>
    <n v="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12"/>
    <n v="179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3"/>
    <s v="13"/>
    <n v="463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3"/>
    <s v="14"/>
    <n v="870"/>
    <n v="1"/>
    <n v="3"/>
    <n v="1"/>
    <n v="2"/>
    <n v="0"/>
    <n v="0"/>
    <n v="0"/>
    <n v="0"/>
  </r>
  <r>
    <s v="Abu Dhabi Duty Free"/>
    <s v="Mega Big Ticket_August 2013"/>
    <x v="2"/>
    <s v="Entertainment &amp; Lifestyle Sections - 728x90 - EN - UAE"/>
    <s v="2013-08-13"/>
    <s v="15"/>
    <n v="1093"/>
    <n v="0"/>
    <n v="3"/>
    <n v="0"/>
    <n v="3"/>
    <n v="500"/>
    <n v="0"/>
    <n v="500"/>
    <n v="0"/>
  </r>
  <r>
    <s v="Abu Dhabi Duty Free"/>
    <s v="Mega Big Ticket_August 2013"/>
    <x v="2"/>
    <s v="Entertainment &amp; Lifestyle Sections - 728x90 - EN - UAE"/>
    <s v="2013-08-13"/>
    <s v="16"/>
    <n v="931"/>
    <n v="1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17"/>
    <n v="42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18"/>
    <n v="188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3"/>
    <s v="19"/>
    <n v="10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20"/>
    <n v="11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21"/>
    <n v="6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22"/>
    <n v="3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3"/>
    <s v="23"/>
    <n v="2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0"/>
    <n v="34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4"/>
    <s v="01"/>
    <n v="50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4"/>
    <s v="02"/>
    <n v="10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3"/>
    <n v="24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4"/>
    <n v="33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5"/>
    <n v="1225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6"/>
    <n v="370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7"/>
    <n v="281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8"/>
    <n v="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09"/>
    <n v="1"/>
    <n v="0"/>
    <n v="2"/>
    <n v="0"/>
    <n v="2"/>
    <n v="500"/>
    <n v="0"/>
    <n v="500"/>
    <n v="0"/>
  </r>
  <r>
    <s v="Abu Dhabi Duty Free"/>
    <s v="Mega Big Ticket_August 2013"/>
    <x v="2"/>
    <s v="Entertainment &amp; Lifestyle Sections - 728x90 - EN - UAE"/>
    <s v="2013-08-14"/>
    <s v="10"/>
    <n v="9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11"/>
    <n v="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12"/>
    <n v="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13"/>
    <n v="3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14"/>
    <n v="28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15"/>
    <n v="701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16"/>
    <n v="117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17"/>
    <n v="1665"/>
    <n v="1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4"/>
    <s v="18"/>
    <n v="2299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4"/>
    <s v="19"/>
    <n v="1253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20"/>
    <n v="14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21"/>
    <n v="606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22"/>
    <n v="99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4"/>
    <s v="23"/>
    <n v="408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0"/>
    <n v="12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1"/>
    <n v="4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2"/>
    <n v="1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3"/>
    <n v="1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4"/>
    <n v="34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5"/>
    <n v="11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6"/>
    <n v="52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7"/>
    <n v="170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08"/>
    <n v="1663"/>
    <n v="2"/>
    <n v="6"/>
    <n v="0"/>
    <n v="6"/>
    <n v="0"/>
    <n v="0"/>
    <n v="0"/>
    <n v="0"/>
  </r>
  <r>
    <s v="Abu Dhabi Duty Free"/>
    <s v="Mega Big Ticket_August 2013"/>
    <x v="2"/>
    <s v="Entertainment &amp; Lifestyle Sections - 728x90 - EN - UAE"/>
    <s v="2013-08-15"/>
    <s v="09"/>
    <n v="652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10"/>
    <n v="126"/>
    <n v="0"/>
    <n v="4"/>
    <n v="0"/>
    <n v="4"/>
    <n v="1000"/>
    <n v="0"/>
    <n v="1000"/>
    <n v="0"/>
  </r>
  <r>
    <s v="Abu Dhabi Duty Free"/>
    <s v="Mega Big Ticket_August 2013"/>
    <x v="2"/>
    <s v="Entertainment &amp; Lifestyle Sections - 728x90 - EN - UAE"/>
    <s v="2013-08-15"/>
    <s v="11"/>
    <n v="36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5"/>
    <s v="12"/>
    <n v="178"/>
    <n v="0"/>
    <n v="3"/>
    <n v="0"/>
    <n v="3"/>
    <n v="1180"/>
    <n v="0"/>
    <n v="1180"/>
    <n v="0"/>
  </r>
  <r>
    <s v="Abu Dhabi Duty Free"/>
    <s v="Mega Big Ticket_August 2013"/>
    <x v="2"/>
    <s v="Entertainment &amp; Lifestyle Sections - 728x90 - EN - UAE"/>
    <s v="2013-08-15"/>
    <s v="13"/>
    <n v="566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14"/>
    <n v="120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15"/>
    <n v="2450"/>
    <n v="3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15"/>
    <s v="16"/>
    <n v="3348"/>
    <n v="3"/>
    <n v="6"/>
    <n v="3"/>
    <n v="3"/>
    <n v="500"/>
    <n v="0"/>
    <n v="500"/>
    <n v="0"/>
  </r>
  <r>
    <s v="Abu Dhabi Duty Free"/>
    <s v="Mega Big Ticket_August 2013"/>
    <x v="2"/>
    <s v="Entertainment &amp; Lifestyle Sections - 728x90 - EN - UAE"/>
    <s v="2013-08-15"/>
    <s v="17"/>
    <n v="997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18"/>
    <n v="15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19"/>
    <n v="146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5"/>
    <s v="20"/>
    <n v="141"/>
    <n v="0"/>
    <n v="8"/>
    <n v="0"/>
    <n v="8"/>
    <n v="1300"/>
    <n v="0"/>
    <n v="1300"/>
    <n v="0"/>
  </r>
  <r>
    <s v="Abu Dhabi Duty Free"/>
    <s v="Mega Big Ticket_August 2013"/>
    <x v="2"/>
    <s v="Entertainment &amp; Lifestyle Sections - 728x90 - EN - UAE"/>
    <s v="2013-08-15"/>
    <s v="21"/>
    <n v="16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22"/>
    <n v="27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5"/>
    <s v="23"/>
    <n v="230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0"/>
    <n v="14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1"/>
    <n v="13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2"/>
    <n v="13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3"/>
    <n v="25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4"/>
    <n v="402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5"/>
    <n v="91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6"/>
    <n v="161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7"/>
    <n v="1560"/>
    <n v="6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8"/>
    <n v="40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09"/>
    <n v="15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10"/>
    <n v="4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11"/>
    <n v="4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12"/>
    <n v="18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13"/>
    <n v="43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14"/>
    <n v="106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15"/>
    <n v="2714"/>
    <n v="1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6"/>
    <s v="16"/>
    <n v="3510"/>
    <n v="3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16"/>
    <s v="17"/>
    <n v="1229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18"/>
    <n v="147"/>
    <n v="1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16"/>
    <s v="19"/>
    <n v="13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20"/>
    <n v="14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6"/>
    <s v="21"/>
    <n v="328"/>
    <n v="2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6"/>
    <s v="22"/>
    <n v="587"/>
    <n v="0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16"/>
    <s v="23"/>
    <n v="424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0"/>
    <n v="31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1"/>
    <n v="18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2"/>
    <n v="11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3"/>
    <n v="9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4"/>
    <n v="13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5"/>
    <n v="64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6"/>
    <n v="159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07"/>
    <n v="2252"/>
    <n v="1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17"/>
    <s v="08"/>
    <n v="1113"/>
    <n v="1"/>
    <n v="3"/>
    <n v="1"/>
    <n v="2"/>
    <n v="500"/>
    <n v="0"/>
    <n v="500"/>
    <n v="0"/>
  </r>
  <r>
    <s v="Abu Dhabi Duty Free"/>
    <s v="Mega Big Ticket_August 2013"/>
    <x v="2"/>
    <s v="Entertainment &amp; Lifestyle Sections - 728x90 - EN - UAE"/>
    <s v="2013-08-17"/>
    <s v="09"/>
    <n v="24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10"/>
    <n v="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12"/>
    <n v="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13"/>
    <n v="54"/>
    <n v="0"/>
    <n v="3"/>
    <n v="0"/>
    <n v="3"/>
    <n v="0"/>
    <n v="0"/>
    <n v="0"/>
    <n v="0"/>
  </r>
  <r>
    <s v="Abu Dhabi Duty Free"/>
    <s v="Mega Big Ticket_August 2013"/>
    <x v="2"/>
    <s v="Entertainment &amp; Lifestyle Sections - 728x90 - EN - UAE"/>
    <s v="2013-08-17"/>
    <s v="14"/>
    <n v="164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7"/>
    <s v="15"/>
    <n v="323"/>
    <n v="1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7"/>
    <s v="16"/>
    <n v="54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17"/>
    <n v="70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18"/>
    <n v="1044"/>
    <n v="1"/>
    <n v="1"/>
    <n v="0"/>
    <n v="1"/>
    <n v="100"/>
    <n v="0"/>
    <n v="100"/>
    <n v="0"/>
  </r>
  <r>
    <s v="Abu Dhabi Duty Free"/>
    <s v="Mega Big Ticket_August 2013"/>
    <x v="2"/>
    <s v="Entertainment &amp; Lifestyle Sections - 728x90 - EN - UAE"/>
    <s v="2013-08-17"/>
    <s v="19"/>
    <n v="154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20"/>
    <n v="1978"/>
    <n v="2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17"/>
    <s v="21"/>
    <n v="2332"/>
    <n v="6"/>
    <n v="3"/>
    <n v="2"/>
    <n v="1"/>
    <n v="0"/>
    <n v="0"/>
    <n v="0"/>
    <n v="0"/>
  </r>
  <r>
    <s v="Abu Dhabi Duty Free"/>
    <s v="Mega Big Ticket_August 2013"/>
    <x v="2"/>
    <s v="Entertainment &amp; Lifestyle Sections - 728x90 - EN - UAE"/>
    <s v="2013-08-17"/>
    <s v="22"/>
    <n v="144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7"/>
    <s v="23"/>
    <n v="30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0"/>
    <n v="10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1"/>
    <n v="3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2"/>
    <n v="2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3"/>
    <n v="1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4"/>
    <n v="3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5"/>
    <n v="9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6"/>
    <n v="40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7"/>
    <n v="1505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8"/>
    <s v="08"/>
    <n v="2706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09"/>
    <n v="147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10"/>
    <n v="610"/>
    <n v="0"/>
    <n v="3"/>
    <n v="0"/>
    <n v="3"/>
    <n v="500"/>
    <n v="0"/>
    <n v="500"/>
    <n v="0"/>
  </r>
  <r>
    <s v="Abu Dhabi Duty Free"/>
    <s v="Mega Big Ticket_August 2013"/>
    <x v="2"/>
    <s v="Entertainment &amp; Lifestyle Sections - 728x90 - EN - UAE"/>
    <s v="2013-08-18"/>
    <s v="11"/>
    <n v="24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12"/>
    <n v="62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8"/>
    <s v="14"/>
    <n v="2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15"/>
    <n v="9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16"/>
    <n v="18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17"/>
    <n v="245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18"/>
    <n v="357"/>
    <n v="6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19"/>
    <n v="485"/>
    <n v="1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18"/>
    <s v="20"/>
    <n v="77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21"/>
    <n v="110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8"/>
    <s v="22"/>
    <n v="1025"/>
    <n v="0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18"/>
    <s v="23"/>
    <n v="781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0"/>
    <n v="42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1"/>
    <n v="18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2"/>
    <n v="12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3"/>
    <n v="12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4"/>
    <n v="24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5"/>
    <n v="64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6"/>
    <n v="1578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7"/>
    <n v="4004"/>
    <n v="4"/>
    <n v="3"/>
    <n v="3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8"/>
    <n v="1808"/>
    <n v="3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09"/>
    <n v="20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9"/>
    <s v="11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9"/>
    <s v="12"/>
    <n v="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13"/>
    <n v="1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14"/>
    <n v="1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15"/>
    <n v="2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16"/>
    <n v="1"/>
    <n v="0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17"/>
    <n v="15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19"/>
    <s v="18"/>
    <n v="6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19"/>
    <n v="125"/>
    <n v="0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19"/>
    <s v="20"/>
    <n v="220"/>
    <n v="0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19"/>
    <s v="21"/>
    <n v="30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22"/>
    <n v="35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19"/>
    <s v="23"/>
    <n v="33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0"/>
    <n v="27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1"/>
    <n v="194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2"/>
    <n v="20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3"/>
    <n v="215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0"/>
    <s v="04"/>
    <n v="35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5"/>
    <n v="97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6"/>
    <n v="2497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7"/>
    <n v="2491"/>
    <n v="2"/>
    <n v="3"/>
    <n v="3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08"/>
    <n v="134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0"/>
    <s v="10"/>
    <n v="11"/>
    <n v="0"/>
    <n v="2"/>
    <n v="2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2"/>
    <n v="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3"/>
    <n v="5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4"/>
    <n v="246"/>
    <n v="2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5"/>
    <n v="423"/>
    <n v="1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6"/>
    <n v="639"/>
    <n v="2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7"/>
    <n v="602"/>
    <n v="1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8"/>
    <n v="958"/>
    <n v="1"/>
    <n v="2"/>
    <n v="2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19"/>
    <n v="1273"/>
    <n v="2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20"/>
    <n v="1605"/>
    <n v="2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20"/>
    <s v="21"/>
    <n v="1857"/>
    <n v="2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22"/>
    <n v="1280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0"/>
    <s v="23"/>
    <n v="61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0"/>
    <n v="22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1"/>
    <n v="9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2"/>
    <n v="4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3"/>
    <n v="2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4"/>
    <n v="2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5"/>
    <n v="8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6"/>
    <n v="29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07"/>
    <n v="657"/>
    <n v="0"/>
    <n v="4"/>
    <n v="0"/>
    <n v="4"/>
    <n v="1500"/>
    <n v="0"/>
    <n v="1500"/>
    <n v="0"/>
  </r>
  <r>
    <s v="Abu Dhabi Duty Free"/>
    <s v="Mega Big Ticket_August 2013"/>
    <x v="2"/>
    <s v="Entertainment &amp; Lifestyle Sections - 728x90 - EN - UAE"/>
    <s v="2013-08-21"/>
    <s v="08"/>
    <n v="763"/>
    <n v="1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1"/>
    <s v="09"/>
    <n v="739"/>
    <n v="1"/>
    <n v="2"/>
    <n v="1"/>
    <n v="1"/>
    <n v="500"/>
    <n v="500"/>
    <n v="0"/>
    <n v="0"/>
  </r>
  <r>
    <s v="Abu Dhabi Duty Free"/>
    <s v="Mega Big Ticket_August 2013"/>
    <x v="2"/>
    <s v="Entertainment &amp; Lifestyle Sections - 728x90 - EN - UAE"/>
    <s v="2013-08-21"/>
    <s v="10"/>
    <n v="832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1"/>
    <s v="11"/>
    <n v="91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12"/>
    <n v="917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13"/>
    <n v="1205"/>
    <n v="2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1"/>
    <s v="14"/>
    <n v="1294"/>
    <n v="3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1"/>
    <s v="15"/>
    <n v="1494"/>
    <n v="0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16"/>
    <n v="1453"/>
    <n v="2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1"/>
    <s v="17"/>
    <n v="119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18"/>
    <n v="145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19"/>
    <n v="148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1"/>
    <s v="20"/>
    <n v="153"/>
    <n v="0"/>
    <n v="2"/>
    <n v="0"/>
    <n v="2"/>
    <n v="0"/>
    <n v="0"/>
    <n v="0"/>
    <n v="0"/>
  </r>
  <r>
    <s v="Abu Dhabi Duty Free"/>
    <s v="Mega Big Ticket_August 2013"/>
    <x v="2"/>
    <s v="Entertainment &amp; Lifestyle Sections - 728x90 - EN - UAE"/>
    <s v="2013-08-21"/>
    <s v="21"/>
    <n v="103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22"/>
    <n v="1369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1"/>
    <s v="23"/>
    <n v="88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00"/>
    <n v="44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01"/>
    <n v="169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02"/>
    <n v="31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03"/>
    <n v="1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04"/>
    <n v="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06"/>
    <n v="0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2"/>
    <s v="08"/>
    <n v="3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09"/>
    <n v="16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10"/>
    <n v="402"/>
    <n v="1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11"/>
    <n v="80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12"/>
    <n v="1702"/>
    <n v="2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2"/>
    <s v="13"/>
    <n v="248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14"/>
    <n v="2554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2"/>
    <s v="15"/>
    <n v="2320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16"/>
    <n v="1633"/>
    <n v="4"/>
    <n v="5"/>
    <n v="5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17"/>
    <n v="319"/>
    <n v="0"/>
    <n v="3"/>
    <n v="1"/>
    <n v="2"/>
    <n v="500"/>
    <n v="500"/>
    <n v="0"/>
    <n v="0"/>
  </r>
  <r>
    <s v="Abu Dhabi Duty Free"/>
    <s v="Mega Big Ticket_August 2013"/>
    <x v="2"/>
    <s v="Entertainment &amp; Lifestyle Sections - 728x90 - EN - UAE"/>
    <s v="2013-08-22"/>
    <s v="18"/>
    <n v="153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19"/>
    <n v="153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20"/>
    <n v="13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21"/>
    <n v="20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22"/>
    <n v="221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2"/>
    <s v="23"/>
    <n v="226"/>
    <n v="0"/>
    <n v="3"/>
    <n v="0"/>
    <n v="3"/>
    <n v="0"/>
    <n v="0"/>
    <n v="0"/>
    <n v="0"/>
  </r>
  <r>
    <s v="Abu Dhabi Duty Free"/>
    <s v="Mega Big Ticket_August 2013"/>
    <x v="2"/>
    <s v="Entertainment &amp; Lifestyle Sections - 728x90 - EN - UAE"/>
    <s v="2013-08-23"/>
    <s v="00"/>
    <n v="21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1"/>
    <n v="13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2"/>
    <n v="10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3"/>
    <n v="8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4"/>
    <n v="21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5"/>
    <n v="854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6"/>
    <n v="1599"/>
    <n v="1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7"/>
    <n v="2759"/>
    <n v="3"/>
    <n v="2"/>
    <n v="2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8"/>
    <n v="1653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09"/>
    <n v="48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10"/>
    <n v="226"/>
    <n v="1"/>
    <n v="3"/>
    <n v="3"/>
    <n v="0"/>
    <n v="1000"/>
    <n v="1000"/>
    <n v="0"/>
    <n v="0"/>
  </r>
  <r>
    <s v="Abu Dhabi Duty Free"/>
    <s v="Mega Big Ticket_August 2013"/>
    <x v="2"/>
    <s v="Entertainment &amp; Lifestyle Sections - 728x90 - EN - UAE"/>
    <s v="2013-08-23"/>
    <s v="11"/>
    <n v="79"/>
    <n v="0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3"/>
    <s v="12"/>
    <n v="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13"/>
    <n v="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14"/>
    <n v="57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3"/>
    <s v="15"/>
    <n v="11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16"/>
    <n v="21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17"/>
    <n v="329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18"/>
    <n v="47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19"/>
    <n v="790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3"/>
    <s v="20"/>
    <n v="1375"/>
    <n v="1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21"/>
    <n v="2279"/>
    <n v="1"/>
    <n v="5"/>
    <n v="1"/>
    <n v="4"/>
    <n v="0"/>
    <n v="0"/>
    <n v="0"/>
    <n v="0"/>
  </r>
  <r>
    <s v="Abu Dhabi Duty Free"/>
    <s v="Mega Big Ticket_August 2013"/>
    <x v="2"/>
    <s v="Entertainment &amp; Lifestyle Sections - 728x90 - EN - UAE"/>
    <s v="2013-08-23"/>
    <s v="22"/>
    <n v="2501"/>
    <n v="2"/>
    <n v="1"/>
    <n v="1"/>
    <n v="0"/>
    <n v="0"/>
    <n v="0"/>
    <n v="0"/>
    <n v="0"/>
  </r>
  <r>
    <s v="Abu Dhabi Duty Free"/>
    <s v="Mega Big Ticket_August 2013"/>
    <x v="2"/>
    <s v="Entertainment &amp; Lifestyle Sections - 728x90 - EN - UAE"/>
    <s v="2013-08-23"/>
    <s v="23"/>
    <n v="1258"/>
    <n v="2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00"/>
    <n v="280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01"/>
    <n v="2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09"/>
    <n v="11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4"/>
    <s v="10"/>
    <n v="99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11"/>
    <n v="32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12"/>
    <n v="58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13"/>
    <n v="962"/>
    <n v="4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4"/>
    <s v="14"/>
    <n v="135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15"/>
    <n v="2180"/>
    <n v="5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16"/>
    <n v="2673"/>
    <n v="5"/>
    <n v="3"/>
    <n v="1"/>
    <n v="2"/>
    <n v="0"/>
    <n v="0"/>
    <n v="0"/>
    <n v="0"/>
  </r>
  <r>
    <s v="Abu Dhabi Duty Free"/>
    <s v="Mega Big Ticket_August 2013"/>
    <x v="2"/>
    <s v="Entertainment &amp; Lifestyle Sections - 728x90 - EN - UAE"/>
    <s v="2013-08-24"/>
    <s v="17"/>
    <n v="2430"/>
    <n v="1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4"/>
    <s v="18"/>
    <n v="54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19"/>
    <n v="151"/>
    <n v="0"/>
    <n v="1"/>
    <n v="0"/>
    <n v="1"/>
    <n v="0"/>
    <n v="0"/>
    <n v="0"/>
    <n v="0"/>
  </r>
  <r>
    <s v="Abu Dhabi Duty Free"/>
    <s v="Mega Big Ticket_August 2013"/>
    <x v="2"/>
    <s v="Entertainment &amp; Lifestyle Sections - 728x90 - EN - UAE"/>
    <s v="2013-08-24"/>
    <s v="20"/>
    <n v="14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21"/>
    <n v="341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22"/>
    <n v="528"/>
    <n v="1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4"/>
    <s v="23"/>
    <n v="480"/>
    <n v="1"/>
    <n v="3"/>
    <n v="0"/>
    <n v="3"/>
    <n v="100"/>
    <n v="0"/>
    <n v="100"/>
    <n v="0"/>
  </r>
  <r>
    <s v="Abu Dhabi Duty Free"/>
    <s v="Mega Big Ticket_August 2013"/>
    <x v="2"/>
    <s v="Entertainment &amp; Lifestyle Sections - 728x90 - EN - UAE"/>
    <s v="2013-08-25"/>
    <s v="00"/>
    <n v="226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5"/>
    <s v="01"/>
    <n v="118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5"/>
    <s v="02"/>
    <n v="10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5"/>
    <s v="03"/>
    <n v="127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5"/>
    <s v="04"/>
    <n v="435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5"/>
    <s v="05"/>
    <n v="1402"/>
    <n v="0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5"/>
    <s v="06"/>
    <n v="3828"/>
    <n v="6"/>
    <n v="0"/>
    <n v="0"/>
    <n v="0"/>
    <n v="0"/>
    <n v="0"/>
    <n v="0"/>
    <n v="0"/>
  </r>
  <r>
    <s v="Abu Dhabi Duty Free"/>
    <s v="Mega Big Ticket_August 2013"/>
    <x v="2"/>
    <s v="Entertainment &amp; Lifestyle Sections - 728x90 - EN - UAE"/>
    <s v="2013-08-25"/>
    <s v="07"/>
    <n v="3743"/>
    <n v="5"/>
    <n v="2"/>
    <n v="1"/>
    <n v="1"/>
    <n v="0"/>
    <n v="0"/>
    <n v="0"/>
    <n v="0"/>
  </r>
  <r>
    <s v="Abu Dhabi Duty Free"/>
    <s v="Mega Big Ticket_August 2013"/>
    <x v="2"/>
    <s v="Entertainment &amp; Lifestyle Sections - 728x90 - EN - UAE"/>
    <s v="2013-08-25"/>
    <s v="08"/>
    <n v="5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PivotTable6" cacheId="5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39:F82" firstHeaderRow="1" firstDataRow="2" firstDataCol="2"/>
  <pivotFields count="10">
    <pivotField name="Site Name" axis="axisRow" showDropDowns="0" compact="0" outline="0" subtotalTop="0" showAll="0" sortType="ascending" defaultSubtotal="0">
      <items count="32">
        <item x="11"/>
        <item x="12"/>
        <item x="13"/>
        <item x="14"/>
        <item x="15"/>
        <item x="16"/>
        <item x="0"/>
        <item x="1"/>
        <item m="1" x="30"/>
        <item x="17"/>
        <item x="18"/>
        <item x="2"/>
        <item m="1" x="29"/>
        <item x="19"/>
        <item x="20"/>
        <item x="3"/>
        <item x="4"/>
        <item m="1" x="27"/>
        <item x="5"/>
        <item x="21"/>
        <item x="22"/>
        <item x="6"/>
        <item m="1" x="25"/>
        <item x="23"/>
        <item x="24"/>
        <item x="7"/>
        <item x="8"/>
        <item x="9"/>
        <item x="10"/>
        <item m="1" x="28"/>
        <item m="1" x="26"/>
        <item m="1" x="31"/>
      </items>
    </pivotField>
    <pivotField showDropDowns="0" compact="0" outline="0" subtotalTop="0" showAll="0" includeNewItemsInFilter="1"/>
    <pivotField name="Ad Unit" axis="axisRow" showDropDowns="0" compact="0" outline="0" subtotalTop="0" showAll="0" includeNewItemsInFilter="1" sortType="ascending">
      <items count="15">
        <item h="1" m="1" x="5"/>
        <item m="1" x="8"/>
        <item m="1" x="6"/>
        <item m="1" x="7"/>
        <item m="1" x="12"/>
        <item m="1" x="10"/>
        <item m="1" x="11"/>
        <item x="3"/>
        <item m="1" x="9"/>
        <item x="0"/>
        <item x="4"/>
        <item x="2"/>
        <item x="1"/>
        <item m="1" x="13"/>
        <item t="default"/>
      </items>
    </pivotField>
    <pivotField compact="0" outline="0" showAll="0" defaultSubtotal="0"/>
    <pivotField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ubtotalTop="0" showAll="0" includeNewItemsInFilter="1"/>
    <pivotField compact="0" numFmtId="10" outline="0" showAll="0" defaultSubtotal="0"/>
    <pivotField showDropDowns="0" compact="0" outline="0" subtotalTop="0" showAll="0" includeNewItemsInFilter="1"/>
    <pivotField dataField="1" showDropDowns="0" compact="0" outline="0" subtotalTop="0" dragToRow="0" dragToCol="0" dragToPage="0" showAll="0" includeNewItemsInFilter="1" defaultSubtotal="0"/>
  </pivotFields>
  <rowFields count="2">
    <field x="0"/>
    <field x="2"/>
  </rowFields>
  <rowItems count="42">
    <i>
      <x/>
      <x v="9"/>
    </i>
    <i r="1">
      <x v="12"/>
    </i>
    <i>
      <x v="1"/>
      <x v="9"/>
    </i>
    <i r="1">
      <x v="12"/>
    </i>
    <i>
      <x v="2"/>
      <x v="9"/>
    </i>
    <i r="1">
      <x v="12"/>
    </i>
    <i>
      <x v="3"/>
      <x v="9"/>
    </i>
    <i r="1">
      <x v="12"/>
    </i>
    <i>
      <x v="4"/>
      <x v="9"/>
    </i>
    <i>
      <x v="5"/>
      <x v="9"/>
    </i>
    <i>
      <x v="6"/>
      <x v="9"/>
    </i>
    <i>
      <x v="7"/>
      <x v="12"/>
    </i>
    <i>
      <x v="9"/>
      <x v="9"/>
    </i>
    <i>
      <x v="10"/>
      <x v="9"/>
    </i>
    <i r="1">
      <x v="12"/>
    </i>
    <i>
      <x v="11"/>
      <x v="9"/>
    </i>
    <i r="1">
      <x v="12"/>
    </i>
    <i>
      <x v="13"/>
      <x v="9"/>
    </i>
    <i r="1">
      <x v="12"/>
    </i>
    <i>
      <x v="14"/>
      <x v="9"/>
    </i>
    <i>
      <x v="15"/>
      <x v="9"/>
    </i>
    <i r="1">
      <x v="12"/>
    </i>
    <i>
      <x v="16"/>
      <x v="12"/>
    </i>
    <i>
      <x v="18"/>
      <x v="9"/>
    </i>
    <i r="1">
      <x v="12"/>
    </i>
    <i>
      <x v="19"/>
      <x v="9"/>
    </i>
    <i r="1">
      <x v="10"/>
    </i>
    <i r="1">
      <x v="12"/>
    </i>
    <i>
      <x v="20"/>
      <x v="9"/>
    </i>
    <i>
      <x v="21"/>
      <x v="9"/>
    </i>
    <i r="1">
      <x v="12"/>
    </i>
    <i>
      <x v="23"/>
      <x v="9"/>
    </i>
    <i r="1">
      <x v="12"/>
    </i>
    <i>
      <x v="24"/>
      <x v="9"/>
    </i>
    <i r="1">
      <x v="12"/>
    </i>
    <i>
      <x v="25"/>
      <x v="12"/>
    </i>
    <i>
      <x v="26"/>
      <x v="9"/>
    </i>
    <i r="1">
      <x v="12"/>
    </i>
    <i>
      <x v="27"/>
      <x v="11"/>
    </i>
    <i>
      <x v="28"/>
      <x v="7"/>
    </i>
    <i r="1"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mpressions Delivered" fld="5" baseField="4" baseItem="3" numFmtId="3"/>
    <dataField name="Clicks Delivered" fld="6" baseField="4" baseItem="3" numFmtId="3"/>
    <dataField name="CTR " fld="9" baseField="4" baseItem="1" numFmtId="10"/>
  </dataFields>
  <formats count="15">
    <format dxfId="12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5">
      <pivotArea outline="0" collapsedLevelsAreSubtotals="1" fieldPosition="0"/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type="all" dataOnly="0" outline="0" fieldPosition="0"/>
    </format>
    <format dxfId="122">
      <pivotArea outline="0" fieldPosition="0">
        <references count="1">
          <reference field="4294967294" count="1">
            <x v="1"/>
          </reference>
        </references>
      </pivotArea>
    </format>
    <format dxfId="121">
      <pivotArea field="2" type="button" dataOnly="0" labelOnly="1" outline="0" axis="axisRow" fieldPosition="1"/>
    </format>
    <format dxfId="120">
      <pivotArea type="all" dataOnly="0" outline="0" fieldPosition="0"/>
    </format>
    <format dxfId="119">
      <pivotArea field="0" type="button" dataOnly="0" labelOnly="1" outline="0" axis="axisRow" fieldPosition="0"/>
    </format>
    <format dxfId="118">
      <pivotArea field="2" type="button" dataOnly="0" labelOnly="1" outline="0" axis="axisRow" fieldPosition="1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field="0" type="button" dataOnly="0" labelOnly="1" outline="0" axis="axisRow" fieldPosition="0"/>
    </format>
    <format dxfId="115">
      <pivotArea dataOnly="0" labelOnly="1" outline="0" fieldPosition="0">
        <references count="1">
          <reference field="0" count="0"/>
        </references>
      </pivotArea>
    </format>
    <format dxfId="114">
      <pivotArea dataOnly="0" labelOnly="1" grandRow="1" outline="0" fieldPosition="0"/>
    </format>
    <format dxfId="113">
      <pivotArea dataOnly="0" labelOnly="1" outline="0" fieldPosition="0">
        <references count="1">
          <reference field="2" count="0"/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Table Style 1" showRowHeaders="0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217:H224" firstHeaderRow="1" firstDataRow="2" firstDataCol="1"/>
  <pivotFields count="18">
    <pivotField compact="0" outline="0" showAll="0" defaultSubtotal="0"/>
    <pivotField compact="0" outline="0" showAll="0" defaultSubtotal="0"/>
    <pivotField name="Site Name" axis="axisRow" showDropDowns="0" compact="0" outline="0" subtotalTop="0" showAll="0" sortType="ascending" defaultSubtotal="0">
      <items count="5">
        <item x="4"/>
        <item x="0"/>
        <item x="1"/>
        <item x="2"/>
        <item x="3"/>
      </items>
    </pivotField>
    <pivotField compact="0" outline="0" showAll="0" defaultSubtotal="0"/>
    <pivotField compact="0" outline="0" showAll="0" defaultSubtotal="0"/>
    <pivotField showDropDowns="0" compact="0" outline="0" subtotalTop="0" showAll="0" includeNewItemsInFilter="1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showDropDowns="0" compact="0" outline="0" subtotalTop="0" dragToRow="0" dragToCol="0" dragToPage="0" showAll="0" includeNewItemsInFilter="1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Impressions " fld="7" baseField="2" baseItem="0"/>
    <dataField name="Clicks " fld="8" baseField="2" baseItem="0"/>
    <dataField name="Expansions " fld="9" baseField="2" baseItem="0"/>
    <dataField name="Expansion Time " fld="10" baseField="2" baseItem="0"/>
    <dataField name="Total Interactions " fld="11" baseField="3" baseItem="0"/>
    <dataField name="Interaction Rate " fld="12" baseField="2" baseItem="0"/>
  </dataFields>
  <formats count="8">
    <format dxfId="135">
      <pivotArea outline="0" collapsedLevelsAreSubtotals="1" fieldPosition="0"/>
    </format>
    <format dxfId="134">
      <pivotArea type="all" dataOnly="0" outline="0" fieldPosition="0"/>
    </format>
    <format dxfId="133">
      <pivotArea type="all" dataOnly="0" outline="0" fieldPosition="0"/>
    </format>
    <format dxfId="132">
      <pivotArea field="2" type="button" dataOnly="0" labelOnly="1" outline="0" axis="axisRow" fieldPosition="0"/>
    </format>
    <format dxfId="131">
      <pivotArea field="2" type="button" dataOnly="0" labelOnly="1" outline="0" axis="axisRow" fieldPosition="0"/>
    </format>
    <format dxfId="130">
      <pivotArea dataOnly="0" labelOnly="1" outline="0" fieldPosition="0">
        <references count="1">
          <reference field="2" count="0"/>
        </references>
      </pivotArea>
    </format>
    <format dxfId="129">
      <pivotArea dataOnly="0" labelOnly="1" grandRow="1" outline="0" fieldPosition="0"/>
    </format>
    <format dxfId="12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Table Style 1" showRowHeaders="0" showColHeaders="1" showRowStripes="1" showColStripes="0" showLastColumn="1"/>
</pivotTableDefinition>
</file>

<file path=xl/pivotTables/pivotTable3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162:H168" firstHeaderRow="1" firstDataRow="2" firstDataCol="2"/>
  <pivotFields count="12">
    <pivotField compact="0" outline="0" showAll="0" defaultSubtotal="0"/>
    <pivotField name="Site Name" axis="axisRow" showDropDowns="0" compact="0" outline="0" subtotalTop="0" showAll="0" sortType="ascending" defaultSubtotal="0">
      <items count="3">
        <item x="0"/>
        <item x="1"/>
        <item x="2"/>
      </items>
    </pivotField>
    <pivotField showDropDowns="0" compact="0" outline="0" subtotalTop="0" showAll="0" includeNewItemsInFilter="1"/>
    <pivotField name="Creative Pixel Size" axis="axisRow" showDropDowns="0" compact="0" outline="0" subtotalTop="0" showAll="0" includeNewItemsInFilter="1" sortType="ascending">
      <items count="3">
        <item x="0"/>
        <item x="1"/>
        <item t="default"/>
      </items>
    </pivotField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showDropDowns="0" compact="0" outline="0" subtotalTop="0" dragToRow="0" dragToCol="0" dragToPage="0" showAll="0" includeNewItemsInFilter="1" defaultSubtotal="0"/>
  </pivotFields>
  <rowFields count="2">
    <field x="1"/>
    <field x="3"/>
  </rowFields>
  <rowItems count="5">
    <i>
      <x/>
      <x/>
    </i>
    <i>
      <x v="1"/>
      <x/>
    </i>
    <i r="1">
      <x v="1"/>
    </i>
    <i>
      <x v="2"/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Video Average View Time (Seconds)" fld="9" baseField="3" baseItem="0"/>
    <dataField name="Video Plays " fld="7" baseField="3" baseItem="0" numFmtId="3"/>
    <dataField name="Video Midpoints " fld="5" baseField="3" baseItem="0" numFmtId="3"/>
    <dataField name="Video Completions " fld="4" baseField="3" baseItem="0" numFmtId="3"/>
    <dataField name="Total Interactions " fld="10" baseField="3" baseItem="0" numFmtId="3"/>
  </dataFields>
  <formats count="21">
    <format dxfId="156">
      <pivotArea outline="0" collapsedLevelsAreSubtotals="1" fieldPosition="0"/>
    </format>
    <format dxfId="155">
      <pivotArea type="all" dataOnly="0" outline="0" fieldPosition="0"/>
    </format>
    <format dxfId="154">
      <pivotArea field="3" type="button" dataOnly="0" labelOnly="1" outline="0" axis="axisRow" fieldPosition="1"/>
    </format>
    <format dxfId="153">
      <pivotArea type="all" dataOnly="0" outline="0" fieldPosition="0"/>
    </format>
    <format dxfId="152">
      <pivotArea field="1" type="button" dataOnly="0" labelOnly="1" outline="0" axis="axisRow" fieldPosition="0"/>
    </format>
    <format dxfId="151">
      <pivotArea field="3" type="button" dataOnly="0" labelOnly="1" outline="0" axis="axisRow" fieldPosition="1"/>
    </format>
    <format dxfId="150">
      <pivotArea field="1" type="button" dataOnly="0" labelOnly="1" outline="0" axis="axisRow" fieldPosition="0"/>
    </format>
    <format dxfId="149">
      <pivotArea dataOnly="0" labelOnly="1" outline="0" fieldPosition="0">
        <references count="1">
          <reference field="1" count="0"/>
        </references>
      </pivotArea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3" count="0"/>
        </references>
      </pivotArea>
    </format>
    <format dxfId="1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4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1">
      <pivotArea outline="0" fieldPosition="0">
        <references count="1">
          <reference field="4294967294" count="1">
            <x v="1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outline="0" fieldPosition="0">
        <references count="1">
          <reference field="4294967294" count="1">
            <x v="3"/>
          </reference>
        </references>
      </pivotArea>
    </format>
    <format dxfId="136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Table Style 1" showRowHeaders="0" showColHeaders="1" showRowStripes="1" showColStripes="0" showLastColumn="1"/>
</pivotTableDefinition>
</file>

<file path=xl/pivotTables/pivotTable4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9:E16" firstHeaderRow="1" firstDataRow="2" firstDataCol="1"/>
  <pivotFields count="10">
    <pivotField name="Site Name" showDropDowns="0" compact="0" outline="0" subtotalTop="0" showAll="0" sortType="ascending" defaultSubtotal="0"/>
    <pivotField showDropDowns="0" compact="0" outline="0" subtotalTop="0" showAll="0" includeNewItemsInFilter="1"/>
    <pivotField name="Ad Unit" axis="axisRow" showDropDowns="0" compact="0" outline="0" subtotalTop="0" showAll="0" includeNewItemsInFilter="1" sortType="ascending">
      <items count="15">
        <item h="1" m="1" x="5"/>
        <item m="1" x="8"/>
        <item m="1" x="6"/>
        <item m="1" x="7"/>
        <item m="1" x="12"/>
        <item m="1" x="10"/>
        <item m="1" x="11"/>
        <item x="3"/>
        <item m="1" x="9"/>
        <item x="0"/>
        <item x="4"/>
        <item x="2"/>
        <item x="1"/>
        <item m="1" x="13"/>
        <item t="default"/>
      </items>
    </pivotField>
    <pivotField compact="0" outline="0" showAll="0" defaultSubtotal="0"/>
    <pivotField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ubtotalTop="0" showAll="0" includeNewItemsInFilter="1"/>
    <pivotField compact="0" numFmtId="10" outline="0" showAll="0" defaultSubtotal="0"/>
    <pivotField showDropDowns="0" compact="0" outline="0" subtotalTop="0" showAll="0" includeNewItemsInFilter="1"/>
    <pivotField dataField="1" showDropDowns="0" compact="0" outline="0" subtotalTop="0" dragToRow="0" dragToCol="0" dragToPage="0" showAll="0" includeNewItemsInFilter="1" defaultSubtotal="0"/>
  </pivotFields>
  <rowFields count="1">
    <field x="2"/>
  </rowFields>
  <rowItems count="6">
    <i>
      <x v="7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mpressions Delivered" fld="5" baseField="4" baseItem="3" numFmtId="3"/>
    <dataField name="Clicks Delivered" fld="6" baseField="4" baseItem="1" numFmtId="3"/>
    <dataField name="CTR " fld="9" baseField="4" baseItem="1" numFmtId="10"/>
  </dataFields>
  <formats count="12">
    <format dxfId="16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6">
      <pivotArea outline="0" collapsedLevelsAreSubtotals="1" fieldPosition="0"/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type="all" dataOnly="0" outline="0" fieldPosition="0"/>
    </format>
    <format dxfId="163">
      <pivotArea outline="0" fieldPosition="0">
        <references count="1">
          <reference field="4294967294" count="1">
            <x v="1"/>
          </reference>
        </references>
      </pivotArea>
    </format>
    <format dxfId="162">
      <pivotArea type="all" dataOnly="0" outline="0" fieldPosition="0"/>
    </format>
    <format dxfId="161">
      <pivotArea field="2" type="button" dataOnly="0" labelOnly="1" outline="0" axis="axisRow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field="2" type="button" dataOnly="0" labelOnly="1" outline="0" axis="axisRow" fieldPosition="0"/>
    </format>
    <format dxfId="158">
      <pivotArea dataOnly="0" labelOnly="1" outline="0" fieldPosition="0">
        <references count="1">
          <reference field="2" count="0"/>
        </references>
      </pivotArea>
    </format>
    <format dxfId="157">
      <pivotArea dataOnly="0" labelOnly="1" grandRow="1" outline="0" fieldPosition="0"/>
    </format>
  </format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Table Style 1" showRowHeaders="0" showColHeaders="1" showRowStripes="1" showColStripes="0" showLastColumn="1"/>
</pivotTableDefinition>
</file>

<file path=xl/pivotTables/pivotTable5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9:E15" firstHeaderRow="1" firstDataRow="2" firstDataCol="1"/>
  <pivotFields count="10">
    <pivotField name="Site Name" showDropDowns="0" compact="0" outline="0" subtotalTop="0" showAll="0" sortType="ascending" defaultSubtotal="0"/>
    <pivotField showDropDowns="0" compact="0" outline="0" subtotalTop="0" showAll="0" includeNewItemsInFilter="1"/>
    <pivotField name="Ad Unit" showDropDowns="0" compact="0" outline="0" subtotalTop="0" showAll="0" includeNewItemsInFilter="1" sortType="ascending">
      <items count="15">
        <item h="1" m="1" x="5"/>
        <item m="1" x="8"/>
        <item m="1" x="6"/>
        <item m="1" x="7"/>
        <item m="1" x="12"/>
        <item m="1" x="10"/>
        <item m="1" x="11"/>
        <item x="3"/>
        <item m="1" x="9"/>
        <item x="0"/>
        <item x="4"/>
        <item x="2"/>
        <item x="1"/>
        <item m="1" x="13"/>
        <item t="default"/>
      </items>
    </pivotField>
    <pivotField compact="0" outline="0" showAll="0" defaultSubtotal="0"/>
    <pivotField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ubtotalTop="0" showAll="0" includeNewItemsInFilter="1"/>
    <pivotField compact="0" numFmtId="10" outline="0" showAll="0" defaultSubtotal="0"/>
    <pivotField axis="axisRow" showDropDowns="0" compact="0" outline="0" subtotalTop="0" showAll="0" includeNewItemsInFilter="1">
      <items count="7">
        <item m="1" x="4"/>
        <item m="1" x="5"/>
        <item x="0"/>
        <item x="1"/>
        <item x="2"/>
        <item x="3"/>
        <item t="default"/>
      </items>
    </pivotField>
    <pivotField dataField="1" showDropDowns="0" compact="0" outline="0" subtotalTop="0" dragToRow="0" dragToCol="0" dragToPage="0" showAll="0" includeNewItemsInFilter="1" defaultSubtotal="0"/>
  </pivotFields>
  <rowFields count="1">
    <field x="8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mpressions Delivered" fld="5" baseField="4" baseItem="3" numFmtId="3"/>
    <dataField name="Clicks Delivered" fld="6" baseField="7" baseItem="1" numFmtId="3"/>
    <dataField name="CTR " fld="9" baseField="4" baseItem="1" numFmtId="10"/>
  </dataFields>
  <formats count="13">
    <format dxfId="9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3">
      <pivotArea outline="0" collapsedLevelsAreSubtotals="1" fieldPosition="0"/>
    </format>
    <format dxfId="92">
      <pivotArea field="2" type="button" dataOnly="0" labelOnly="1" outline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type="all" dataOnly="0" outline="0" fieldPosition="0"/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type="all" dataOnly="0" outline="0" fieldPosition="0"/>
    </format>
    <format dxfId="87">
      <pivotArea field="8" type="button" dataOnly="0" labelOnly="1" outline="0" axis="axisRow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field="8" type="button" dataOnly="0" labelOnly="1" outline="0" axis="axisRow" fieldPosition="0"/>
    </format>
    <format dxfId="84">
      <pivotArea dataOnly="0" labelOnly="1" outline="0" fieldPosition="0">
        <references count="1">
          <reference field="8" count="0"/>
        </references>
      </pivotArea>
    </format>
    <format dxfId="83">
      <pivotArea dataOnly="0" labelOnly="1" grandRow="1" outline="0" fieldPosition="0"/>
    </format>
  </format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Table Style 1" showRowHeaders="0" showColHeaders="1" showRowStripes="1" showColStripes="0" showLastColumn="1"/>
</pivotTableDefinition>
</file>

<file path=xl/pivotTables/pivotTable6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23:F58" firstHeaderRow="1" firstDataRow="2" firstDataCol="2"/>
  <pivotFields count="10">
    <pivotField name="Site Name" axis="axisRow" showDropDowns="0" compact="0" outline="0" subtotalTop="0" showAll="0" sortType="ascending" defaultSubtotal="0">
      <items count="32">
        <item x="11"/>
        <item x="12"/>
        <item x="13"/>
        <item x="14"/>
        <item x="15"/>
        <item x="16"/>
        <item x="0"/>
        <item x="1"/>
        <item m="1" x="30"/>
        <item x="17"/>
        <item x="18"/>
        <item x="2"/>
        <item m="1" x="29"/>
        <item x="19"/>
        <item x="20"/>
        <item x="3"/>
        <item x="4"/>
        <item m="1" x="27"/>
        <item x="5"/>
        <item x="21"/>
        <item x="22"/>
        <item x="6"/>
        <item m="1" x="25"/>
        <item x="23"/>
        <item x="24"/>
        <item x="7"/>
        <item x="8"/>
        <item x="9"/>
        <item x="10"/>
        <item m="1" x="28"/>
        <item m="1" x="26"/>
        <item m="1" x="31"/>
      </items>
    </pivotField>
    <pivotField showDropDowns="0" compact="0" outline="0" subtotalTop="0" showAll="0" includeNewItemsInFilter="1"/>
    <pivotField name="Ad Unit" showDropDowns="0" compact="0" outline="0" subtotalTop="0" showAll="0" includeNewItemsInFilter="1" sortType="ascending">
      <items count="15">
        <item h="1" m="1" x="5"/>
        <item m="1" x="8"/>
        <item m="1" x="6"/>
        <item m="1" x="7"/>
        <item m="1" x="12"/>
        <item m="1" x="10"/>
        <item m="1" x="11"/>
        <item x="3"/>
        <item m="1" x="9"/>
        <item x="0"/>
        <item x="4"/>
        <item x="2"/>
        <item x="1"/>
        <item m="1" x="13"/>
        <item t="default"/>
      </items>
    </pivotField>
    <pivotField compact="0" outline="0" showAll="0" defaultSubtotal="0"/>
    <pivotField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ubtotalTop="0" showAll="0" includeNewItemsInFilter="1"/>
    <pivotField compact="0" numFmtId="10" outline="0" showAll="0" defaultSubtotal="0"/>
    <pivotField axis="axisRow" showDropDowns="0" compact="0" outline="0" subtotalTop="0" showAll="0" includeNewItemsInFilter="1">
      <items count="7">
        <item m="1" x="4"/>
        <item m="1" x="5"/>
        <item x="0"/>
        <item x="1"/>
        <item x="2"/>
        <item x="3"/>
        <item t="default"/>
      </items>
    </pivotField>
    <pivotField dataField="1" showDropDowns="0" compact="0" outline="0" subtotalTop="0" dragToRow="0" dragToCol="0" dragToPage="0" showAll="0" includeNewItemsInFilter="1" defaultSubtotal="0"/>
  </pivotFields>
  <rowFields count="2">
    <field x="0"/>
    <field x="8"/>
  </rowFields>
  <rowItems count="34">
    <i>
      <x/>
      <x v="2"/>
    </i>
    <i r="1">
      <x v="3"/>
    </i>
    <i>
      <x v="1"/>
      <x v="2"/>
    </i>
    <i>
      <x v="2"/>
      <x v="2"/>
    </i>
    <i r="1">
      <x v="3"/>
    </i>
    <i>
      <x v="3"/>
      <x v="2"/>
    </i>
    <i>
      <x v="4"/>
      <x v="2"/>
    </i>
    <i>
      <x v="5"/>
      <x v="2"/>
    </i>
    <i r="1">
      <x v="3"/>
    </i>
    <i>
      <x v="6"/>
      <x v="2"/>
    </i>
    <i>
      <x v="7"/>
      <x v="3"/>
    </i>
    <i>
      <x v="9"/>
      <x v="2"/>
    </i>
    <i>
      <x v="10"/>
      <x v="2"/>
    </i>
    <i r="1">
      <x v="3"/>
    </i>
    <i>
      <x v="11"/>
      <x v="2"/>
    </i>
    <i r="1">
      <x v="3"/>
    </i>
    <i>
      <x v="13"/>
      <x v="2"/>
    </i>
    <i>
      <x v="14"/>
      <x v="2"/>
    </i>
    <i>
      <x v="15"/>
      <x v="2"/>
    </i>
    <i>
      <x v="16"/>
      <x v="2"/>
    </i>
    <i>
      <x v="18"/>
      <x v="2"/>
    </i>
    <i>
      <x v="19"/>
      <x v="2"/>
    </i>
    <i r="1">
      <x v="3"/>
    </i>
    <i>
      <x v="20"/>
      <x v="2"/>
    </i>
    <i r="1">
      <x v="3"/>
    </i>
    <i>
      <x v="21"/>
      <x v="4"/>
    </i>
    <i>
      <x v="23"/>
      <x v="2"/>
    </i>
    <i>
      <x v="24"/>
      <x v="2"/>
    </i>
    <i>
      <x v="25"/>
      <x v="2"/>
    </i>
    <i>
      <x v="26"/>
      <x v="3"/>
    </i>
    <i>
      <x v="27"/>
      <x v="5"/>
    </i>
    <i>
      <x v="28"/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mpressions Delivered" fld="5" baseField="4" baseItem="3" numFmtId="3"/>
    <dataField name="Clicks Delivered" fld="6" baseField="7" baseItem="0" numFmtId="3"/>
    <dataField name="CTR " fld="9" baseField="4" baseItem="1" numFmtId="10"/>
  </dataFields>
  <formats count="17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0">
      <pivotArea outline="0" collapsedLevelsAreSubtotals="1" fieldPosition="0"/>
    </format>
    <format dxfId="109">
      <pivotArea field="2" type="button" dataOnly="0" labelOnly="1" outline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type="all" dataOnly="0" outline="0" fieldPosition="0"/>
    </format>
    <format dxfId="106">
      <pivotArea outline="0" fieldPosition="0">
        <references count="1">
          <reference field="4294967294" count="1">
            <x v="1"/>
          </reference>
        </references>
      </pivotArea>
    </format>
    <format dxfId="105">
      <pivotArea type="all" dataOnly="0" outline="0" fieldPosition="0"/>
    </format>
    <format dxfId="104">
      <pivotArea field="0" type="button" dataOnly="0" labelOnly="1" outline="0" axis="axisRow" fieldPosition="0"/>
    </format>
    <format dxfId="103">
      <pivotArea field="8" type="button" dataOnly="0" labelOnly="1" outline="0" axis="axisRow" fieldPosition="1"/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">
      <pivotArea field="0" type="button" dataOnly="0" labelOnly="1" outline="0" axis="axisRow" fieldPosition="0"/>
    </format>
    <format dxfId="100">
      <pivotArea dataOnly="0" labelOnly="1" outline="0" fieldPosition="0">
        <references count="1">
          <reference field="0" count="0"/>
        </references>
      </pivotArea>
    </format>
    <format dxfId="99">
      <pivotArea dataOnly="0" labelOnly="1" grandRow="1" outline="0" fieldPosition="0"/>
    </format>
    <format dxfId="98">
      <pivotArea field="0" type="button" dataOnly="0" labelOnly="1" outline="0" axis="axisRow" fieldPosition="0"/>
    </format>
    <format dxfId="97">
      <pivotArea field="8" type="button" dataOnly="0" labelOnly="1" outline="0" axis="axisRow" fieldPosition="1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Table Style 1" showRowHeaders="0" showColHeaders="1" showRowStripes="1" showColStripes="0" showLastColumn="1"/>
</pivotTableDefinition>
</file>

<file path=xl/pivotTables/pivotTable7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9:E15" firstHeaderRow="1" firstDataRow="2" firstDataCol="1"/>
  <pivotFields count="4">
    <pivotField axis="axisRow" showDropDowns="0" compact="0" outline="0" showAll="0" defaultSubtotal="0">
      <items count="10">
        <item m="1" x="7"/>
        <item x="2"/>
        <item m="1" x="9"/>
        <item x="3"/>
        <item x="0"/>
        <item x="1"/>
        <item m="1" x="6"/>
        <item m="1" x="5"/>
        <item m="1" x="8"/>
        <item m="1" x="4"/>
      </items>
    </pivotField>
    <pivotField dataField="1"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ubtotalTop="0" dragToRow="0" dragToCol="0" dragToPage="0" showAll="0" includeNewItemsInFilter="1" defaultSubtotal="0"/>
  </pivotFields>
  <rowFields count="1">
    <field x="0"/>
  </rowFields>
  <rowItems count="5">
    <i>
      <x v="1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mpressions " fld="1" baseField="0" baseItem="0" numFmtId="3"/>
    <dataField name="Clicks " fld="2" baseField="0" baseItem="0" numFmtId="3"/>
    <dataField name="CTR " fld="3" baseField="4" baseItem="1" numFmtId="10"/>
  </dataFields>
  <formats count="12">
    <format dxfId="8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0">
      <pivotArea outline="0" collapsedLevelsAreSubtotals="1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type="all" dataOnly="0" outline="0" fieldPosition="0"/>
    </format>
    <format dxfId="77">
      <pivotArea outline="0" fieldPosition="0">
        <references count="1">
          <reference field="4294967294" count="1">
            <x v="1"/>
          </reference>
        </references>
      </pivotArea>
    </format>
    <format dxfId="76">
      <pivotArea type="all" dataOnly="0" outline="0" fieldPosition="0"/>
    </format>
    <format dxfId="75">
      <pivotArea field="0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field="0" type="button" dataOnly="0" labelOnly="1" outline="0" axis="axisRow" fieldPosition="0"/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dataOnly="0" labelOnly="1" grandRow="1" outline="0" fieldPosition="0"/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2"/>
            </reference>
            <reference field="0" count="1" selected="0">
              <x v="1"/>
            </reference>
          </references>
        </pivotArea>
      </pivotAreas>
    </conditionalFormat>
  </conditional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Table Style 1" showRowHeaders="0" showColHeaders="1" showRowStripes="1" showColStripes="0" showLastColumn="1"/>
</pivotTableDefinition>
</file>

<file path=xl/pivotTables/pivotTable8.xml><?xml version="1.0" encoding="utf-8"?>
<pivotTableDefinition xmlns="http://schemas.openxmlformats.org/spreadsheetml/2006/main" name="PivotTable9" cacheId="7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B9:H14" firstHeaderRow="1" firstDataRow="2" firstDataCol="1"/>
  <pivotFields count="17">
    <pivotField showDropDowns="0" compact="0" outline="0" showAll="0" defaultSubtotal="0"/>
    <pivotField showDropDowns="0" compact="0" outline="0" showAll="0" defaultSubtotal="0"/>
    <pivotField axis="axisRow" showDropDowns="0" compact="0" outline="0" showAll="0" defaultSubtotal="0">
      <items count="3">
        <item x="0"/>
        <item x="1"/>
        <item x="2"/>
      </items>
    </pivotField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dataField="1"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howAll="0" defaultSubtotal="0"/>
    <pivotField dataField="1" showDropDowns="0" compact="0" outline="0" showAll="0" defaultSubtotal="0"/>
    <pivotField dataField="1"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compact="0" outline="0" showAll="0" defaultSubtotal="0"/>
    <pivotField showDropDowns="0" compact="0" outline="0" subtotalTop="0" dragToRow="0" dragToCol="0" dragToPage="0" showAll="0" includeNewItemsInFilter="1" defaultSubtotal="0"/>
    <pivotField dataField="1" showDropDowns="0" compact="0" outline="0"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Impressions " fld="6" baseField="0" baseItem="0" numFmtId="3"/>
    <dataField name="Clicks " fld="7" baseField="0" baseItem="0" numFmtId="3"/>
    <dataField name="Conversion Rate" fld="16" baseField="2" baseItem="0" numFmtId="10"/>
    <dataField name="Click-through Conversions " fld="9" baseField="2" baseItem="0" numFmtId="3"/>
    <dataField name="View-through Conversions " fld="10" baseField="2" baseItem="0" numFmtId="3"/>
    <dataField name="Total Conversions " fld="8" baseField="2" baseItem="0" numFmtId="3"/>
  </dataFields>
  <formats count="15">
    <format dxfId="7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8">
      <pivotArea outline="0" collapsedLevelsAreSubtotals="1" fieldPosition="0"/>
    </format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dataOnly="0" labelOnly="1" grandRow="1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0">
      <pivotArea outline="0" fieldPosition="0">
        <references count="1">
          <reference field="4294967294" count="1">
            <x v="4"/>
          </reference>
        </references>
      </pivotArea>
    </format>
    <format dxfId="59">
      <pivotArea outline="0" fieldPosition="0">
        <references count="1">
          <reference field="4294967294" count="1">
            <x v="3"/>
          </reference>
        </references>
      </pivotArea>
    </format>
    <format dxfId="58">
      <pivotArea outline="0" fieldPosition="0">
        <references count="1">
          <reference field="4294967294" count="1">
            <x v="5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0" showColHeaders="1" showRowStripes="1" showColStripes="0" showLastColumn="1"/>
</pivotTableDefinition>
</file>

<file path=xl/pivotTables/pivotTable9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chartFormat="7">
  <location ref="J3:L10" firstHeaderRow="1" firstDataRow="2" firstDataCol="1"/>
  <pivotFields count="10">
    <pivotField compact="0" outline="0" subtotalTop="0" showAll="0" includeNewItemsInFilter="1"/>
    <pivotField compact="0" outline="0" subtotalTop="0" showAll="0" includeNewItemsInFilter="1"/>
    <pivotField name="Ad Unit" axis="axisRow" compact="0" outline="0" subtotalTop="0" showAll="0" includeNewItemsInFilter="1" sortType="descending">
      <items count="15">
        <item m="1" x="13"/>
        <item x="1"/>
        <item x="2"/>
        <item x="4"/>
        <item x="0"/>
        <item m="1" x="9"/>
        <item x="3"/>
        <item m="1" x="11"/>
        <item m="1" x="10"/>
        <item m="1" x="12"/>
        <item m="1" x="7"/>
        <item m="1" x="6"/>
        <item m="1" x="8"/>
        <item h="1" m="1" x="5"/>
        <item t="default"/>
      </items>
    </pivotField>
    <pivotField compact="0" outline="0" showAll="0" defaultSubtotal="0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numFmtId="10" outline="0" showAll="0" defaultSubtotal="0"/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1">
    <field x="2"/>
  </rowFields>
  <rowItems count="6">
    <i>
      <x v="1"/>
    </i>
    <i>
      <x v="2"/>
    </i>
    <i>
      <x v="3"/>
    </i>
    <i>
      <x v="4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Impressions Delivered" fld="5" baseField="4" baseItem="0"/>
    <dataField name="CTR " fld="9" baseField="4" baseItem="1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1" cacheId="7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AK3:AR8" firstHeaderRow="1" firstDataRow="2" firstDataCol="1"/>
  <pivotFields count="17">
    <pivotField showDropDowns="0" compact="0" outline="0" showAll="0" defaultSubtotal="0"/>
    <pivotField showDropDowns="0" compact="0" outline="0" showAll="0" defaultSubtotal="0"/>
    <pivotField axis="axisRow" showDropDowns="0" compact="0" outline="0" showAll="0" defaultSubtotal="0">
      <items count="3">
        <item x="0"/>
        <item x="1"/>
        <item x="2"/>
      </items>
    </pivotField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howAll="0" defaultSubtotal="0"/>
    <pivotField dataField="1" showDropDowns="0" compact="0" outline="0" showAll="0" defaultSubtotal="0"/>
    <pivotField dataField="1" showDropDowns="0" compact="0" outline="0" showAll="0" defaultSubtotal="0"/>
    <pivotField dataField="1" showDropDowns="0" compact="0" outline="0" showAll="0" defaultSubtotal="0"/>
    <pivotField dataField="1" showDropDowns="0" compact="0" outline="0" showAll="0" defaultSubtotal="0"/>
    <pivotField dataField="1" showDropDowns="0" compact="0" outline="0" showAll="0" defaultSubtotal="0"/>
    <pivotField compact="0" outline="0" showAll="0" defaultSubtotal="0"/>
    <pivotField showDropDowns="0" compact="0" outline="0" subtotalTop="0" dragToRow="0" dragToCol="0" dragToPage="0" showAll="0" includeNewItemsInFilter="1" defaultSubtotal="0"/>
    <pivotField showDropDowns="0" compact="0" outline="0"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licks " fld="7" baseField="0" baseItem="0" numFmtId="3"/>
    <dataField name="Total Conversions " fld="8" baseField="2" baseItem="0" numFmtId="3"/>
    <dataField name="Click-through Conversions " fld="9" baseField="2" baseItem="0" numFmtId="3"/>
    <dataField name="View-through Conversions " fld="10" baseField="2" baseItem="0" numFmtId="3"/>
    <dataField name="Sum of Click-through Revenue" fld="12" baseField="0" baseItem="0"/>
    <dataField name="Sum of View-through Revenue" fld="13" baseField="0" baseItem="0"/>
    <dataField name="Sum of Total Revenue" fld="11" baseField="0" baseItem="0"/>
  </dataFields>
  <formats count="12"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">
      <pivotArea type="all" dataOnly="0" outline="0" fieldPosition="0"/>
    </format>
    <format dxfId="25">
      <pivotArea outline="0" fieldPosition="0">
        <references count="1">
          <reference field="4294967294" count="1">
            <x v="0"/>
          </reference>
        </references>
      </pivotArea>
    </format>
    <format dxfId="24">
      <pivotArea type="all" dataOnly="0" outline="0" fieldPosition="0"/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1">
      <pivotArea outline="0" fieldPosition="0">
        <references count="1">
          <reference field="4294967294" count="1">
            <x v="3"/>
          </reference>
        </references>
      </pivotArea>
    </format>
    <format dxfId="20">
      <pivotArea outline="0" fieldPosition="0">
        <references count="1">
          <reference field="4294967294" count="1">
            <x v="2"/>
          </reference>
        </references>
      </pivotArea>
    </format>
    <format dxfId="19">
      <pivotArea outline="0" fieldPosition="0">
        <references count="1">
          <reference field="4294967294" count="1">
            <x v="1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Table Style 1" showRowHeaders="0" showColHeaders="1" showRowStripes="1" showColStripes="0" showLastColumn="1"/>
</pivotTableDefinition>
</file>

<file path=xl/pivotTables/pivotTable11.xml><?xml version="1.0" encoding="utf-8"?>
<pivotTableDefinition xmlns="http://schemas.openxmlformats.org/spreadsheetml/2006/main" name="PivotTable9" cacheId="7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3">
  <location ref="AH3:AI8" firstHeaderRow="2" firstDataRow="2" firstDataCol="1"/>
  <pivotFields count="17">
    <pivotField showDropDowns="0" compact="0" outline="0" showAll="0" defaultSubtotal="0"/>
    <pivotField showDropDowns="0" compact="0" outline="0" showAll="0" defaultSubtotal="0"/>
    <pivotField axis="axisRow" showDropDowns="0" compact="0" outline="0" showAll="0" defaultSubtotal="0">
      <items count="3">
        <item x="0"/>
        <item x="1"/>
        <item x="2"/>
      </items>
    </pivotField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ubtotalTop="0" showAll="0" includeNewItemsInFilter="1"/>
    <pivotField showDropDowns="0" compact="0" outline="0" subtotalTop="0" showAll="0" includeNewItemsInFilter="1"/>
    <pivotField dataField="1"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compact="0" outline="0" showAll="0" defaultSubtotal="0"/>
    <pivotField showDropDowns="0" compact="0" outline="0" subtotalTop="0" dragToRow="0" dragToCol="0" dragToPage="0" showAll="0" includeNewItemsInFilter="1" defaultSubtotal="0"/>
    <pivotField showDropDowns="0" compact="0" outline="0"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Conversions " fld="8" baseField="2" baseItem="0" numFmtId="3"/>
  </dataFields>
  <formats count="7">
    <format dxfId="35">
      <pivotArea outline="0" collapsedLevelsAreSubtotals="1" fieldPosition="0"/>
    </format>
    <format dxfId="34">
      <pivotArea type="all" dataOnly="0" outline="0" fieldPosition="0"/>
    </format>
    <format dxfId="33">
      <pivotArea type="all" dataOnly="0" outline="0" fieldPosition="0"/>
    </format>
    <format dxfId="32">
      <pivotArea dataOnly="0" labelOnly="1" grandRow="1" outline="0" fieldPosition="0"/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0" showColHeaders="1" showRowStripes="1" showColStripes="0" showLastColumn="1"/>
</pivotTableDefinition>
</file>

<file path=xl/pivotTables/pivotTable12.xml><?xml version="1.0" encoding="utf-8"?>
<pivotTableDefinition xmlns="http://schemas.openxmlformats.org/spreadsheetml/2006/main" name="PivotTable4" cacheId="2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chartFormat="6">
  <location ref="N3:O9" firstHeaderRow="2" firstDataRow="2" firstDataCol="1"/>
  <pivotFields count="10">
    <pivotField compact="0" outline="0" subtotalTop="0" showAll="0" includeNewItemsInFilter="1"/>
    <pivotField compact="0" outline="0" subtotalTop="0" showAll="0" includeNewItemsInFilter="1"/>
    <pivotField name="Ad Unit"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0" outline="0" showAll="0" defaultSubtotal="0"/>
    <pivotField axis="axisRow" compact="0" outline="0" subtotalTop="0" showAll="0" includeNewItemsInFilter="1">
      <items count="7">
        <item x="0"/>
        <item x="1"/>
        <item m="1" x="4"/>
        <item m="1" x="5"/>
        <item x="2"/>
        <item x="3"/>
        <item t="default"/>
      </items>
    </pivotField>
    <pivotField dataField="1" compact="0" outline="0" subtotalTop="0" dragToRow="0" dragToCol="0" dragToPage="0" showAll="0" includeNewItemsInFilter="1" defaultSubtotal="0"/>
  </pivotFields>
  <rowFields count="1">
    <field x="8"/>
  </rowFields>
  <rowItems count="5">
    <i>
      <x/>
    </i>
    <i>
      <x v="1"/>
    </i>
    <i>
      <x v="4"/>
    </i>
    <i>
      <x v="5"/>
    </i>
    <i t="grand">
      <x/>
    </i>
  </rowItems>
  <colItems count="1">
    <i/>
  </colItems>
  <dataFields count="1">
    <dataField name="CTR " fld="9" baseField="4" baseItem="1" numFmtId="10"/>
  </dataFields>
  <chartFormats count="6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8" cacheId="7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2">
  <location ref="AD3:AF8" firstHeaderRow="1" firstDataRow="2" firstDataCol="1"/>
  <pivotFields count="17">
    <pivotField showDropDowns="0" compact="0" outline="0" showAll="0" defaultSubtotal="0"/>
    <pivotField showDropDowns="0" compact="0" outline="0" showAll="0" defaultSubtotal="0"/>
    <pivotField axis="axisRow" showDropDowns="0" compact="0" outline="0" showAll="0" defaultSubtotal="0">
      <items count="3">
        <item x="0"/>
        <item x="1"/>
        <item x="2"/>
      </items>
    </pivotField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ubtotalTop="0" showAll="0" includeNewItemsInFilter="1"/>
    <pivotField dataField="1" showDropDowns="0" compact="0" outline="0" subtotalTop="0" showAll="0" includeNewItemsInFilter="1"/>
    <pivotField dataField="1"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compact="0" outline="0" showAll="0" defaultSubtotal="0"/>
    <pivotField showDropDowns="0" compact="0" outline="0" subtotalTop="0" dragToRow="0" dragToCol="0" dragToPage="0" showAll="0" includeNewItemsInFilter="1" defaultSubtotal="0"/>
    <pivotField showDropDowns="0" compact="0" outline="0"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licks " fld="7" baseField="0" baseItem="0" numFmtId="3"/>
    <dataField name="Total Conversions " fld="8" baseField="2" baseItem="0" numFmtId="3"/>
  </dataFields>
  <formats count="9">
    <format dxfId="44">
      <pivotArea outline="0" collapsedLevelsAreSubtotals="1" fieldPosition="0"/>
    </format>
    <format dxfId="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">
      <pivotArea type="all" dataOnly="0" outline="0" fieldPosition="0"/>
    </format>
    <format dxfId="41">
      <pivotArea outline="0" fieldPosition="0">
        <references count="1">
          <reference field="4294967294" count="1">
            <x v="0"/>
          </reference>
        </references>
      </pivotArea>
    </format>
    <format dxfId="40">
      <pivotArea type="all" dataOnly="0" outline="0" fieldPosition="0"/>
    </format>
    <format dxfId="39">
      <pivotArea dataOnly="0" labelOnly="1" grandRow="1" outline="0" fieldPosition="0"/>
    </format>
    <format dxfId="38">
      <pivotArea outline="0" fieldPosition="0">
        <references count="1">
          <reference field="4294967294" count="1">
            <x v="1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" showRowHeaders="0" showColHeaders="1" showRowStripes="1" showColStripes="0" showLastColumn="1"/>
</pivotTableDefinition>
</file>

<file path=xl/pivotTables/pivotTable14.xml><?xml version="1.0" encoding="utf-8"?>
<pivotTableDefinition xmlns="http://schemas.openxmlformats.org/spreadsheetml/2006/main" name="PivotTable6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W2:X7" firstHeaderRow="1" firstDataRow="1" firstDataCol="1"/>
  <pivotFields count="4">
    <pivotField axis="axisRow" showAll="0">
      <items count="11">
        <item m="1" x="7"/>
        <item x="2"/>
        <item m="1" x="9"/>
        <item x="3"/>
        <item x="0"/>
        <item x="1"/>
        <item m="1" x="6"/>
        <item m="1" x="5"/>
        <item m="1" x="8"/>
        <item m="1" x="4"/>
        <item t="default"/>
      </items>
    </pivotField>
    <pivotField numFmtId="3" showAll="0"/>
    <pivotField showAll="0"/>
    <pivotField dataField="1" dragToRow="0" dragToCol="0" dragToPage="0" showAll="0" defaultSubtotal="0"/>
  </pivotFields>
  <rowFields count="1">
    <field x="0"/>
  </rowFields>
  <rowItems count="5">
    <i>
      <x v="1"/>
    </i>
    <i>
      <x v="3"/>
    </i>
    <i>
      <x v="4"/>
    </i>
    <i>
      <x v="5"/>
    </i>
    <i t="grand">
      <x/>
    </i>
  </rowItems>
  <colItems count="1">
    <i/>
  </colItems>
  <dataFields count="1">
    <dataField name="Sum of CTR" fld="3" baseField="0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PivotTable1" cacheId="3" dataPosition="0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chartFormat="4">
  <location ref="A3:C15" firstHeaderRow="1" firstDataRow="2" firstDataCol="1"/>
  <pivotFields count="10"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23">
        <item m="1" x="17"/>
        <item x="1"/>
        <item x="2"/>
        <item x="3"/>
        <item m="1" x="21"/>
        <item m="1" x="10"/>
        <item m="1" x="19"/>
        <item m="1" x="11"/>
        <item m="1" x="14"/>
        <item m="1" x="20"/>
        <item m="1" x="13"/>
        <item m="1" x="18"/>
        <item m="1" x="15"/>
        <item m="1" x="12"/>
        <item m="1" x="16"/>
        <item x="0"/>
        <item x="4"/>
        <item x="5"/>
        <item x="6"/>
        <item x="7"/>
        <item x="8"/>
        <item x="9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dataField="1" compact="0" outline="0" subtotalTop="0" dragToRow="0" dragToCol="0" dragToPage="0" showAll="0" includeNewItemsInFilter="1" defaultSubtotal="0"/>
  </pivotFields>
  <rowFields count="1">
    <field x="2"/>
  </rowFields>
  <rowItems count="11">
    <i>
      <x v="1"/>
    </i>
    <i>
      <x v="2"/>
    </i>
    <i>
      <x v="3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2">
    <i>
      <x/>
    </i>
    <i i="1">
      <x v="1"/>
    </i>
  </colItems>
  <dataFields count="2">
    <dataField name="Delivered Impressions" fld="5" baseField="2" baseItem="0"/>
    <dataField name="CTR " fld="9" baseField="2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16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chartFormat="1">
  <location ref="Q3:U46" firstHeaderRow="1" firstDataRow="2" firstDataCol="2"/>
  <pivotFields count="10">
    <pivotField axis="axisRow" compact="0" outline="0" subtotalTop="0" showAll="0" includeNewItemsInFilter="1" defaultSubtotal="0">
      <items count="32">
        <item m="1" x="30"/>
        <item x="3"/>
        <item m="1" x="27"/>
        <item m="1" x="26"/>
        <item m="1" x="25"/>
        <item m="1" x="29"/>
        <item m="1" x="28"/>
        <item m="1" x="31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ubtotalTop="0" showAll="0" includeNewItemsInFilter="1"/>
    <pivotField name="Ad Unit" axis="axisRow" compact="0" outline="0" subtotalTop="0" showAll="0" includeNewItemsInFilter="1" sortType="descending">
      <items count="15">
        <item m="1" x="13"/>
        <item x="1"/>
        <item x="2"/>
        <item x="4"/>
        <item x="0"/>
        <item m="1" x="9"/>
        <item x="3"/>
        <item m="1" x="11"/>
        <item m="1" x="10"/>
        <item m="1" x="12"/>
        <item m="1" x="7"/>
        <item m="1" x="6"/>
        <item m="1" x="8"/>
        <item h="1" m="1" x="5"/>
        <item t="default"/>
      </items>
    </pivotField>
    <pivotField compact="0" outline="0" showAll="0" defaultSubtotal="0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numFmtId="10" outline="0" showAll="0" defaultSubtotal="0"/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2">
    <field x="0"/>
    <field x="2"/>
  </rowFields>
  <rowItems count="42">
    <i>
      <x v="1"/>
      <x v="1"/>
    </i>
    <i r="1">
      <x v="4"/>
    </i>
    <i>
      <x v="8"/>
      <x v="4"/>
    </i>
    <i>
      <x v="9"/>
      <x v="1"/>
    </i>
    <i>
      <x v="10"/>
      <x v="1"/>
    </i>
    <i r="1">
      <x v="4"/>
    </i>
    <i>
      <x v="11"/>
      <x v="1"/>
    </i>
    <i>
      <x v="12"/>
      <x v="1"/>
    </i>
    <i r="1">
      <x v="4"/>
    </i>
    <i>
      <x v="13"/>
      <x v="1"/>
    </i>
    <i r="1">
      <x v="4"/>
    </i>
    <i>
      <x v="14"/>
      <x v="1"/>
    </i>
    <i>
      <x v="15"/>
      <x v="1"/>
    </i>
    <i r="1">
      <x v="4"/>
    </i>
    <i>
      <x v="16"/>
      <x v="2"/>
    </i>
    <i>
      <x v="17"/>
      <x v="1"/>
    </i>
    <i r="1">
      <x v="6"/>
    </i>
    <i>
      <x v="18"/>
      <x v="1"/>
    </i>
    <i r="1">
      <x v="4"/>
    </i>
    <i>
      <x v="19"/>
      <x v="1"/>
    </i>
    <i r="1">
      <x v="4"/>
    </i>
    <i>
      <x v="20"/>
      <x v="1"/>
    </i>
    <i r="1">
      <x v="4"/>
    </i>
    <i>
      <x v="21"/>
      <x v="1"/>
    </i>
    <i r="1">
      <x v="4"/>
    </i>
    <i>
      <x v="22"/>
      <x v="4"/>
    </i>
    <i>
      <x v="23"/>
      <x v="4"/>
    </i>
    <i>
      <x v="24"/>
      <x v="4"/>
    </i>
    <i>
      <x v="25"/>
      <x v="1"/>
    </i>
    <i r="1">
      <x v="4"/>
    </i>
    <i>
      <x v="26"/>
      <x v="1"/>
    </i>
    <i r="1">
      <x v="4"/>
    </i>
    <i>
      <x v="27"/>
      <x v="4"/>
    </i>
    <i>
      <x v="28"/>
      <x v="1"/>
    </i>
    <i r="1">
      <x v="3"/>
    </i>
    <i r="1">
      <x v="4"/>
    </i>
    <i>
      <x v="29"/>
      <x v="4"/>
    </i>
    <i>
      <x v="30"/>
      <x v="1"/>
    </i>
    <i r="1">
      <x v="4"/>
    </i>
    <i>
      <x v="31"/>
      <x v="1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mpressions Delivered" fld="5" baseField="4" baseItem="0"/>
    <dataField name="Sum of Clicks" fld="6" baseField="0" baseItem="0"/>
    <dataField name="CTR " fld="9" baseField="4" baseItem="1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17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2">
  <location ref="Z3:AB8" firstHeaderRow="1" firstDataRow="2" firstDataCol="1"/>
  <pivotFields count="12">
    <pivotField compact="0" outline="0" showAll="0" defaultSubtotal="0"/>
    <pivotField name="Site Name" axis="axisRow" showDropDowns="0" compact="0" outline="0" subtotalTop="0" showAll="0" sortType="ascending" defaultSubtotal="0">
      <items count="3">
        <item x="0"/>
        <item x="1"/>
        <item x="2"/>
      </items>
    </pivotField>
    <pivotField showDropDowns="0" compact="0" outline="0" subtotalTop="0" showAll="0" includeNewItemsInFilter="1"/>
    <pivotField name="Creative Pixel Size" showDropDowns="0" compact="0" outline="0" subtotalTop="0" showAll="0" includeNewItemsInFilter="1" sortType="ascending">
      <items count="3">
        <item x="0"/>
        <item x="1"/>
        <item t="default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showDropDowns="0" compact="0" outline="0" subtotalTop="0" dragToRow="0" dragToCol="0" dragToPage="0" showAll="0" includeNewItemsInFilter="1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Video Plays " fld="7" baseField="3" baseItem="0"/>
    <dataField name="Video Completions " fld="4" baseField="3" baseItem="0"/>
  </dataFields>
  <formats count="11">
    <format dxfId="55">
      <pivotArea outline="0" collapsedLevelsAreSubtotals="1" fieldPosition="0"/>
    </format>
    <format dxfId="54">
      <pivotArea type="all" dataOnly="0" outline="0" fieldPosition="0"/>
    </format>
    <format dxfId="53">
      <pivotArea field="3" type="button" dataOnly="0" labelOnly="1" outline="0"/>
    </format>
    <format dxfId="52">
      <pivotArea type="all" dataOnly="0" outline="0" fieldPosition="0"/>
    </format>
    <format dxfId="51">
      <pivotArea field="1" type="button" dataOnly="0" labelOnly="1" outline="0" axis="axisRow" fieldPosition="0"/>
    </format>
    <format dxfId="50">
      <pivotArea field="3" type="button" dataOnly="0" labelOnly="1" outline="0"/>
    </format>
    <format dxfId="49">
      <pivotArea field="1" type="button" dataOnly="0" labelOnly="1" outline="0" axis="axisRow" fieldPosition="0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" showRowHeaders="0" showColHeaders="1" showRowStripes="1" showColStripes="0" showLastColumn="1"/>
</pivotTableDefinition>
</file>

<file path=xl/pivotTables/pivotTable18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chartFormat="3">
  <location ref="E3:G15" firstHeaderRow="1" firstDataRow="2" firstDataCol="1"/>
  <pivotFields count="10"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23">
        <item m="1" x="17"/>
        <item x="1"/>
        <item x="2"/>
        <item x="3"/>
        <item m="1" x="21"/>
        <item m="1" x="10"/>
        <item m="1" x="19"/>
        <item m="1" x="11"/>
        <item m="1" x="14"/>
        <item m="1" x="20"/>
        <item m="1" x="13"/>
        <item m="1" x="18"/>
        <item m="1" x="15"/>
        <item m="1" x="12"/>
        <item m="1" x="16"/>
        <item x="0"/>
        <item x="4"/>
        <item x="5"/>
        <item x="6"/>
        <item x="7"/>
        <item x="8"/>
        <item x="9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dragToRow="0" dragToCol="0" dragToPage="0" showAll="0" includeNewItemsInFilter="1" defaultSubtotal="0"/>
  </pivotFields>
  <rowFields count="1">
    <field x="2"/>
  </rowFields>
  <rowItems count="11">
    <i>
      <x v="1"/>
    </i>
    <i>
      <x v="2"/>
    </i>
    <i>
      <x v="3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2">
    <i>
      <x/>
    </i>
    <i i="1">
      <x v="1"/>
    </i>
  </colItems>
  <dataFields count="2">
    <dataField name="Delivered Impressions" fld="5" baseField="2" baseItem="0"/>
    <dataField name="Unique Impressions" fld="3" baseField="2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19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Data" updatedVersion="4" minRefreshableVersion="3" showDataDropDown="0" showDrill="0" showMemberPropertyTips="0" showDataTips="0" itemPrintTitles="1" createdVersion="4" indent="0" compact="0" compactData="0" gridDropZones="1" chartFormat="1">
  <location ref="AJ3:AP6" firstHeaderRow="1" firstDataRow="2" firstDataCol="1" rowPageCount="1" colPageCount="1"/>
  <pivotFields count="17">
    <pivotField showDropDowns="0" compact="0" outline="0" showAll="0" defaultSubtotal="0"/>
    <pivotField axis="axisPage" showDropDowns="0" compact="0" outline="0" subtotalTop="0" showAll="0" includeNewItemsInFilter="1">
      <items count="6">
        <item x="2"/>
        <item x="3"/>
        <item x="4"/>
        <item x="1"/>
        <item x="0"/>
        <item t="default"/>
      </items>
    </pivotField>
    <pivotField name="Site Name" axis="axisRow" showDropDowns="0" compact="0" outline="0" subtotalTop="0" showAll="0" sortType="ascending" defaultSubtotal="0">
      <items count="14">
        <item m="1" x="11"/>
        <item m="1" x="10"/>
        <item m="1" x="12"/>
        <item m="1" x="13"/>
        <item x="7"/>
        <item x="0"/>
        <item x="6"/>
        <item x="8"/>
        <item x="1"/>
        <item x="4"/>
        <item x="2"/>
        <item x="9"/>
        <item x="3"/>
        <item x="5"/>
      </items>
    </pivotField>
    <pivotField showDropDowns="0" compact="0" outline="0" showAll="0" defaultSubtotal="0"/>
    <pivotField showDropDowns="0" compact="0" outline="0" showAll="0" defaultSubtotal="0"/>
    <pivotField dataField="1" showDropDowns="0" compact="0" outline="0" subtotalTop="0" showAll="0" includeNewItemsInFilter="1"/>
    <pivotField showDropDowns="0" compact="0" outline="0" subtotalTop="0" showAll="0" includeNewItemsInFilter="1"/>
    <pivotField dataField="1" showDropDowns="0" compact="0" outline="0" showAll="0" defaultSubtotal="0"/>
    <pivotField dataField="1" showDropDowns="0" compact="0" outline="0" showAll="0" defaultSubtotal="0"/>
    <pivotField showDropDowns="0" compact="0" outline="0" subtotalTop="0" dragToRow="0" dragToCol="0" dragToPage="0" showAll="0" includeNewItemsInFilter="1" defaultSubtotal="0"/>
    <pivotField showDropDowns="0" compact="0" outline="0" dragToRow="0" dragToCol="0" dragToPage="0" showAll="0" defaultSubtotal="0"/>
    <pivotField showDropDowns="0" compact="0" outline="0" dragToRow="0" dragToCol="0" dragToPage="0" showAll="0" defaultSubtotal="0"/>
    <pivotField dataField="1" showDropDowns="0" compact="0" outline="0" dragToRow="0" dragToCol="0" dragToPage="0" showAll="0" defaultSubtotal="0"/>
    <pivotField showDropDowns="0" compact="0" outline="0" dragToRow="0" dragToCol="0" dragToPage="0" showAll="0" defaultSubtotal="0"/>
    <pivotField dataField="1" showDropDowns="0" compact="0" outline="0" dragToRow="0" dragToCol="0" dragToPage="0" showAll="0" defaultSubtotal="0"/>
    <pivotField dataField="1" showDropDowns="0" compact="0" outline="0" dragToRow="0" dragToCol="0" dragToPage="0" showAll="0" defaultSubtotal="0"/>
    <pivotField compact="0" outline="0" dragToRow="0" dragToCol="0" dragToPage="0" showAll="0" defaultSubtotal="0"/>
  </pivotFields>
  <rowFields count="1">
    <field x="2"/>
  </rowFields>
  <rowItems count="2">
    <i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1" item="2" hier="-1"/>
  </pageFields>
  <dataFields count="6">
    <dataField name="Booked Clicks" fld="7" baseField="2" baseItem="11" numFmtId="3"/>
    <dataField name="Delivered Clicks" fld="5" baseField="2" baseItem="11" numFmtId="3"/>
    <dataField name="Original CPC " fld="15" baseField="2" baseItem="11"/>
    <dataField name="eCPC " fld="14" baseField="2" baseItem="11" numFmtId="164"/>
    <dataField name="Amount Spend " fld="12" baseField="2" baseItem="4" numFmtId="164"/>
    <dataField name="Total Amount " fld="8" baseField="2" baseItem="4" numFmtId="164"/>
  </dataFields>
  <formats count="17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fieldPosition="0">
        <references count="1">
          <reference field="4294967294" count="1">
            <x v="1"/>
          </reference>
        </references>
      </pivotArea>
    </format>
    <format dxfId="13">
      <pivotArea outline="0" fieldPosition="0">
        <references count="1">
          <reference field="4294967294" count="1">
            <x v="0"/>
          </reference>
        </references>
      </pivotArea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type="all" dataOnly="0" outline="0" fieldPosition="0"/>
    </format>
    <format dxfId="10">
      <pivotArea field="2" type="button" dataOnly="0" labelOnly="1" outline="0" axis="axisRow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grandRow="1" outline="0" fieldPosition="0"/>
    </format>
    <format dxfId="7">
      <pivotArea field="2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outline="0" fieldPosition="0">
        <references count="1">
          <reference field="4294967294" count="1">
            <x v="5"/>
          </reference>
        </references>
      </pivotArea>
    </format>
    <format dxfId="4">
      <pivotArea outline="0" fieldPosition="0">
        <references count="1">
          <reference field="4294967294" count="1">
            <x v="4"/>
          </reference>
        </references>
      </pivotArea>
    </format>
    <format dxfId="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Table Style 1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6.xml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3.xml"/><Relationship Id="rId10" Type="http://schemas.openxmlformats.org/officeDocument/2006/relationships/pivotTable" Target="../pivotTables/pivotTable18.xml"/><Relationship Id="rId4" Type="http://schemas.openxmlformats.org/officeDocument/2006/relationships/pivotTable" Target="../pivotTables/pivotTable12.xml"/><Relationship Id="rId9" Type="http://schemas.openxmlformats.org/officeDocument/2006/relationships/pivotTable" Target="../pivotTables/pivot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35"/>
  <sheetViews>
    <sheetView showGridLines="0" tabSelected="1" zoomScaleNormal="100" workbookViewId="0">
      <selection activeCell="M13" sqref="M13"/>
    </sheetView>
  </sheetViews>
  <sheetFormatPr defaultColWidth="9.109375" defaultRowHeight="14.4" x14ac:dyDescent="0.3"/>
  <cols>
    <col min="1" max="1" width="4.5546875" style="9" customWidth="1"/>
    <col min="2" max="2" width="21.6640625" style="9" customWidth="1"/>
    <col min="3" max="3" width="19.109375" style="9" customWidth="1"/>
    <col min="4" max="4" width="16.33203125" style="9" customWidth="1"/>
    <col min="5" max="5" width="12.33203125" style="9" customWidth="1"/>
    <col min="6" max="6" width="15.88671875" style="9" customWidth="1"/>
    <col min="7" max="7" width="19.44140625" style="9" customWidth="1"/>
    <col min="8" max="8" width="17.5546875" style="9" customWidth="1"/>
    <col min="9" max="9" width="17.33203125" style="9" customWidth="1"/>
    <col min="10" max="10" width="16.33203125" style="9" customWidth="1"/>
    <col min="11" max="11" width="14.6640625" style="9" customWidth="1"/>
    <col min="12" max="12" width="12.109375" style="9" customWidth="1"/>
    <col min="13" max="16384" width="9.109375" style="9"/>
  </cols>
  <sheetData>
    <row r="1" spans="2:12" x14ac:dyDescent="0.3">
      <c r="B1" s="171"/>
    </row>
    <row r="2" spans="2:12" x14ac:dyDescent="0.3">
      <c r="B2" s="171"/>
    </row>
    <row r="4" spans="2:12" ht="18" customHeight="1" x14ac:dyDescent="0.25">
      <c r="B4" s="1" t="s">
        <v>60</v>
      </c>
      <c r="C4" s="2"/>
      <c r="D4" s="2"/>
      <c r="E4" s="2"/>
      <c r="F4" s="2"/>
      <c r="G4" s="2"/>
      <c r="H4" s="2"/>
      <c r="I4" s="2"/>
      <c r="J4" s="3"/>
      <c r="K4" s="3" t="s">
        <v>548</v>
      </c>
      <c r="L4" s="7"/>
    </row>
    <row r="5" spans="2:12" ht="18" customHeight="1" x14ac:dyDescent="0.25">
      <c r="B5" s="4" t="s">
        <v>549</v>
      </c>
      <c r="C5" s="5"/>
      <c r="D5" s="5"/>
      <c r="E5" s="5"/>
      <c r="F5" s="5"/>
      <c r="G5" s="5"/>
      <c r="H5" s="5"/>
      <c r="I5" s="5"/>
      <c r="J5" s="6"/>
      <c r="K5" s="6" t="s">
        <v>550</v>
      </c>
      <c r="L5" s="8"/>
    </row>
    <row r="6" spans="2:12" ht="16.2" customHeight="1" x14ac:dyDescent="0.25">
      <c r="E6" s="9" t="s">
        <v>57</v>
      </c>
    </row>
    <row r="7" spans="2:12" ht="16.2" customHeight="1" x14ac:dyDescent="0.25">
      <c r="B7" s="100" t="s">
        <v>546</v>
      </c>
      <c r="C7" s="13" t="s">
        <v>9</v>
      </c>
      <c r="D7" s="100" t="s">
        <v>0</v>
      </c>
      <c r="E7" s="172" t="s">
        <v>10</v>
      </c>
      <c r="F7" s="173"/>
      <c r="G7" s="13" t="s">
        <v>11</v>
      </c>
      <c r="H7" s="13" t="s">
        <v>547</v>
      </c>
      <c r="I7" s="13" t="s">
        <v>12</v>
      </c>
      <c r="J7" s="14" t="s">
        <v>16</v>
      </c>
      <c r="K7" s="14" t="s">
        <v>5</v>
      </c>
      <c r="L7" s="14" t="s">
        <v>17</v>
      </c>
    </row>
    <row r="8" spans="2:12" s="21" customFormat="1" ht="18" customHeight="1" x14ac:dyDescent="0.25">
      <c r="B8" s="17">
        <f>'Top level Summary'!C39</f>
        <v>15635638.557851862</v>
      </c>
      <c r="C8" s="17">
        <f>'Top level Summary'!D39</f>
        <v>6446177</v>
      </c>
      <c r="D8" s="24">
        <f>'Top level Summary'!E39</f>
        <v>13301</v>
      </c>
      <c r="E8" s="174" t="str">
        <f>(L5-L4) + 1&amp;" Days"</f>
        <v>1 Days</v>
      </c>
      <c r="F8" s="175"/>
      <c r="G8" s="18">
        <f>TCTR</f>
        <v>2.0633935431807102E-3</v>
      </c>
      <c r="H8" s="121">
        <f>'Top level Summary'!K39</f>
        <v>0.7677569532793127</v>
      </c>
      <c r="I8" s="19">
        <f>C8/B8</f>
        <v>0.41227462352427408</v>
      </c>
      <c r="J8" s="17">
        <f>'Top level Summary'!G39</f>
        <v>1035181</v>
      </c>
      <c r="K8" s="17">
        <f>'Top level Summary'!H39</f>
        <v>4613</v>
      </c>
      <c r="L8" s="20">
        <f>'Top level Summary'!I39</f>
        <v>4.4562255296416763E-3</v>
      </c>
    </row>
    <row r="9" spans="2:12" ht="18.75" x14ac:dyDescent="0.3">
      <c r="B9" s="10"/>
      <c r="C9" s="10"/>
      <c r="D9" s="10"/>
      <c r="E9" s="10"/>
      <c r="F9" s="11"/>
      <c r="G9" s="15"/>
      <c r="H9" s="16"/>
      <c r="I9" s="16"/>
    </row>
    <row r="10" spans="2:12" ht="18.75" x14ac:dyDescent="0.25">
      <c r="B10" s="176" t="s">
        <v>13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</row>
    <row r="16" spans="2:12" ht="12.75" customHeight="1" x14ac:dyDescent="0.35">
      <c r="B16" s="10"/>
      <c r="C16" s="11"/>
      <c r="D16" s="10"/>
      <c r="E16" s="10"/>
      <c r="F16" s="10"/>
      <c r="G16" s="10"/>
    </row>
    <row r="17" spans="9:9" ht="12.75" customHeight="1" x14ac:dyDescent="0.3">
      <c r="I17" s="12"/>
    </row>
    <row r="35" ht="13.5" customHeight="1" x14ac:dyDescent="0.3"/>
  </sheetData>
  <mergeCells count="4">
    <mergeCell ref="B1:B2"/>
    <mergeCell ref="E7:F7"/>
    <mergeCell ref="E8:F8"/>
    <mergeCell ref="B10:L10"/>
  </mergeCells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67"/>
  <sheetViews>
    <sheetView showGridLines="0" zoomScaleNormal="100" workbookViewId="0">
      <selection activeCell="D11" sqref="D11"/>
    </sheetView>
  </sheetViews>
  <sheetFormatPr defaultColWidth="9.109375" defaultRowHeight="14.4" x14ac:dyDescent="0.3"/>
  <cols>
    <col min="1" max="1" width="4.5546875" style="76" customWidth="1"/>
    <col min="2" max="2" width="19.33203125" style="9" customWidth="1"/>
    <col min="3" max="3" width="17.6640625" style="9" customWidth="1"/>
    <col min="4" max="4" width="19.88671875" style="9" customWidth="1"/>
    <col min="5" max="5" width="17.6640625" style="9" customWidth="1"/>
    <col min="6" max="6" width="11.44140625" style="9" customWidth="1"/>
    <col min="7" max="11" width="17.6640625" style="9" customWidth="1"/>
    <col min="12" max="12" width="14.6640625" style="9" customWidth="1"/>
    <col min="13" max="13" width="14.5546875" style="9" customWidth="1"/>
    <col min="14" max="14" width="15.33203125" style="9" customWidth="1"/>
    <col min="15" max="15" width="17.6640625" style="9" customWidth="1"/>
    <col min="16" max="16384" width="9.109375" style="9"/>
  </cols>
  <sheetData>
    <row r="1" spans="1:14" x14ac:dyDescent="0.3">
      <c r="A1" s="76">
        <f ca="1">SUM(IF(FREQUENCY(MATCH(Site,Site,0),MATCH(Site,Site,0))&gt;0,1))</f>
        <v>11</v>
      </c>
      <c r="B1" s="177"/>
      <c r="C1" s="75">
        <f ca="1">A1+10</f>
        <v>21</v>
      </c>
      <c r="D1" s="76" t="e">
        <f ca="1">MATCH("B",A:A,0)</f>
        <v>#N/A</v>
      </c>
    </row>
    <row r="2" spans="1:14" x14ac:dyDescent="0.3">
      <c r="B2" s="177"/>
      <c r="C2" s="76"/>
      <c r="D2" s="76"/>
    </row>
    <row r="4" spans="1:14" ht="18" customHeight="1" x14ac:dyDescent="0.25">
      <c r="B4" s="1" t="s">
        <v>27</v>
      </c>
      <c r="C4" s="2"/>
      <c r="D4" s="2"/>
      <c r="E4" s="2"/>
      <c r="F4" s="2"/>
      <c r="G4" s="3"/>
      <c r="H4" s="3"/>
      <c r="I4" s="83" t="s">
        <v>25</v>
      </c>
      <c r="J4" s="84">
        <f>'Campaign Summary'!J4</f>
        <v>0</v>
      </c>
      <c r="K4" s="7"/>
    </row>
    <row r="5" spans="1:14" ht="18" customHeight="1" x14ac:dyDescent="0.25">
      <c r="B5" s="4" t="s">
        <v>24</v>
      </c>
      <c r="C5" s="5"/>
      <c r="D5" s="5"/>
      <c r="E5" s="5"/>
      <c r="F5" s="5"/>
      <c r="G5" s="6"/>
      <c r="H5" s="6"/>
      <c r="I5" s="85" t="s">
        <v>26</v>
      </c>
      <c r="J5" s="86">
        <f>'Campaign Summary'!J5</f>
        <v>0</v>
      </c>
      <c r="K5" s="8"/>
    </row>
    <row r="6" spans="1:14" ht="16.2" customHeight="1" x14ac:dyDescent="0.25"/>
    <row r="7" spans="1:14" ht="17.100000000000001" customHeight="1" x14ac:dyDescent="0.25">
      <c r="B7" s="22" t="s">
        <v>18</v>
      </c>
    </row>
    <row r="8" spans="1:14" ht="17.100000000000001" customHeight="1" x14ac:dyDescent="0.25">
      <c r="B8" s="9" t="s">
        <v>58</v>
      </c>
      <c r="C8" s="9" t="s">
        <v>59</v>
      </c>
      <c r="D8" s="9" t="s">
        <v>53</v>
      </c>
      <c r="E8" s="9" t="s">
        <v>54</v>
      </c>
      <c r="G8" s="9" t="s">
        <v>55</v>
      </c>
      <c r="H8" s="9" t="s">
        <v>56</v>
      </c>
    </row>
    <row r="9" spans="1:14" s="26" customFormat="1" ht="12.75" hidden="1" x14ac:dyDescent="0.2">
      <c r="A9" s="75"/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</row>
    <row r="10" spans="1:14" s="26" customFormat="1" ht="17.25" x14ac:dyDescent="0.3">
      <c r="A10" s="96"/>
      <c r="B10" s="163" t="s">
        <v>3</v>
      </c>
      <c r="C10" s="148" t="s">
        <v>74</v>
      </c>
      <c r="D10" s="148" t="s">
        <v>14</v>
      </c>
      <c r="E10" s="148" t="s">
        <v>70</v>
      </c>
      <c r="F10" s="148" t="s">
        <v>66</v>
      </c>
      <c r="G10" s="148" t="s">
        <v>4</v>
      </c>
      <c r="H10" s="148" t="s">
        <v>5</v>
      </c>
      <c r="I10" s="148" t="s">
        <v>75</v>
      </c>
      <c r="J10" s="148" t="s">
        <v>93</v>
      </c>
      <c r="K10" s="148" t="s">
        <v>95</v>
      </c>
      <c r="L10" s="148" t="s">
        <v>94</v>
      </c>
      <c r="M10" s="148" t="s">
        <v>92</v>
      </c>
      <c r="N10" s="148" t="s">
        <v>96</v>
      </c>
    </row>
    <row r="11" spans="1:14" s="26" customFormat="1" ht="17.25" x14ac:dyDescent="0.3">
      <c r="A11" s="95"/>
      <c r="B11" s="149" t="str">
        <f>'Top Level Summary Pivots'!A4</f>
        <v>Arabian Business</v>
      </c>
      <c r="C11" s="150">
        <f>'Top Level Summary Pivots'!B4</f>
        <v>500000</v>
      </c>
      <c r="D11" s="150">
        <f>'Top Level Summary Pivots'!C4</f>
        <v>98988</v>
      </c>
      <c r="E11" s="150">
        <f>'Top Level Summary Pivots'!D4</f>
        <v>989</v>
      </c>
      <c r="F11" s="151">
        <f>'Top Level Summary Pivots'!E4</f>
        <v>9.9911100335394187E-3</v>
      </c>
      <c r="G11" s="150">
        <f>'Top Level Summary Pivots'!F4</f>
        <v>0</v>
      </c>
      <c r="H11" s="150">
        <f>'Top Level Summary Pivots'!G4</f>
        <v>0</v>
      </c>
      <c r="I11" s="151">
        <f>IFERROR(H11/G11,0)</f>
        <v>0</v>
      </c>
      <c r="J11" s="152">
        <f>IFERROR((M11/C11)*1000,0)</f>
        <v>24.008740443505786</v>
      </c>
      <c r="K11" s="152">
        <f>IFERROR(L11/D11*1000,0)</f>
        <v>24.008740443505783</v>
      </c>
      <c r="L11" s="152">
        <f>IFERROR(M11/(C11/1000)*(D11/1000),0)</f>
        <v>2376.5771990217504</v>
      </c>
      <c r="M11" s="152">
        <v>12004.370221752892</v>
      </c>
      <c r="N11" s="152">
        <f>IFERROR(L11/E11,0)</f>
        <v>2.4030103124587971</v>
      </c>
    </row>
    <row r="12" spans="1:14" s="26" customFormat="1" ht="17.25" x14ac:dyDescent="0.3">
      <c r="A12" s="95"/>
      <c r="B12" s="153" t="str">
        <f>'Top Level Summary Pivots'!A5</f>
        <v>DotMena.com</v>
      </c>
      <c r="C12" s="154">
        <f>'Top Level Summary Pivots'!B5</f>
        <v>1745781.414994719</v>
      </c>
      <c r="D12" s="154">
        <f>'Top Level Summary Pivots'!C5</f>
        <v>801012</v>
      </c>
      <c r="E12" s="154">
        <f>'Top Level Summary Pivots'!D5</f>
        <v>1220</v>
      </c>
      <c r="F12" s="155">
        <f>'Top Level Summary Pivots'!E5</f>
        <v>1.5230733122599911E-3</v>
      </c>
      <c r="G12" s="154">
        <f>'Top Level Summary Pivots'!F5</f>
        <v>140471</v>
      </c>
      <c r="H12" s="154">
        <f>'Top Level Summary Pivots'!G5</f>
        <v>862</v>
      </c>
      <c r="I12" s="155">
        <f t="shared" ref="I12:I39" si="0">IFERROR(H12/G12,0)</f>
        <v>6.1364979248385784E-3</v>
      </c>
      <c r="J12" s="156">
        <f t="shared" ref="J12:J39" si="1">IFERROR((M12/C12)*1000,0)</f>
        <v>6.8762160707210906</v>
      </c>
      <c r="K12" s="156">
        <f t="shared" ref="K12:K39" si="2">IFERROR(L12/D12*1000,0)</f>
        <v>6.8762160707210906</v>
      </c>
      <c r="L12" s="156">
        <f t="shared" ref="L12:L39" si="3">IFERROR(M12/(C12/1000)*(D12/1000),0)</f>
        <v>5507.9315872404422</v>
      </c>
      <c r="M12" s="156">
        <v>12004.370221752892</v>
      </c>
      <c r="N12" s="156">
        <f t="shared" ref="N12:N39" si="4">IFERROR(L12/E12,0)</f>
        <v>4.5146980223282309</v>
      </c>
    </row>
    <row r="13" spans="1:14" s="26" customFormat="1" ht="17.25" x14ac:dyDescent="0.3">
      <c r="A13" s="95"/>
      <c r="B13" s="149" t="str">
        <f>'Top Level Summary Pivots'!A6</f>
        <v>EmailCiti</v>
      </c>
      <c r="C13" s="150">
        <f>'Top Level Summary Pivots'!B6</f>
        <v>500000</v>
      </c>
      <c r="D13" s="150">
        <f>'Top Level Summary Pivots'!C6</f>
        <v>787878</v>
      </c>
      <c r="E13" s="150">
        <f>'Top Level Summary Pivots'!D6</f>
        <v>977</v>
      </c>
      <c r="F13" s="151">
        <f>'Top Level Summary Pivots'!E6</f>
        <v>1.240039701578163E-3</v>
      </c>
      <c r="G13" s="150">
        <f>'Top Level Summary Pivots'!F6</f>
        <v>0</v>
      </c>
      <c r="H13" s="150">
        <f>'Top Level Summary Pivots'!G6</f>
        <v>0</v>
      </c>
      <c r="I13" s="151">
        <f t="shared" si="0"/>
        <v>0</v>
      </c>
      <c r="J13" s="152">
        <f t="shared" si="1"/>
        <v>24.008740443505786</v>
      </c>
      <c r="K13" s="152">
        <f t="shared" si="2"/>
        <v>24.008740443505786</v>
      </c>
      <c r="L13" s="152">
        <f t="shared" si="3"/>
        <v>18915.958403148452</v>
      </c>
      <c r="M13" s="152">
        <v>12004.370221752892</v>
      </c>
      <c r="N13" s="152">
        <f t="shared" si="4"/>
        <v>19.361267556958499</v>
      </c>
    </row>
    <row r="14" spans="1:14" s="26" customFormat="1" ht="17.25" x14ac:dyDescent="0.3">
      <c r="A14" s="95"/>
      <c r="B14" s="153" t="str">
        <f>'Top Level Summary Pivots'!A7</f>
        <v>Google Display Network</v>
      </c>
      <c r="C14" s="154">
        <f>'Top Level Summary Pivots'!B7</f>
        <v>500000</v>
      </c>
      <c r="D14" s="154">
        <f>'Top Level Summary Pivots'!C7</f>
        <v>98988</v>
      </c>
      <c r="E14" s="154">
        <f>'Top Level Summary Pivots'!D7</f>
        <v>989</v>
      </c>
      <c r="F14" s="155">
        <f>'Top Level Summary Pivots'!E7</f>
        <v>9.9911100335394187E-3</v>
      </c>
      <c r="G14" s="154">
        <f>'Top Level Summary Pivots'!F7</f>
        <v>0</v>
      </c>
      <c r="H14" s="154">
        <f>'Top Level Summary Pivots'!G7</f>
        <v>0</v>
      </c>
      <c r="I14" s="155">
        <f t="shared" si="0"/>
        <v>0</v>
      </c>
      <c r="J14" s="156">
        <f t="shared" si="1"/>
        <v>24.008740443505786</v>
      </c>
      <c r="K14" s="156">
        <f t="shared" si="2"/>
        <v>24.008740443505783</v>
      </c>
      <c r="L14" s="156">
        <f t="shared" si="3"/>
        <v>2376.5771990217504</v>
      </c>
      <c r="M14" s="156">
        <v>12004.370221752892</v>
      </c>
      <c r="N14" s="156">
        <f t="shared" si="4"/>
        <v>2.4030103124587971</v>
      </c>
    </row>
    <row r="15" spans="1:14" ht="17.25" x14ac:dyDescent="0.3">
      <c r="A15" s="95"/>
      <c r="B15" s="149" t="str">
        <f>'Top Level Summary Pivots'!A8</f>
        <v>IKOO Network</v>
      </c>
      <c r="C15" s="150">
        <f>'Top Level Summary Pivots'!B8</f>
        <v>1000000</v>
      </c>
      <c r="D15" s="150">
        <f>'Top Level Summary Pivots'!C8</f>
        <v>2281933</v>
      </c>
      <c r="E15" s="150">
        <f>'Top Level Summary Pivots'!D8</f>
        <v>2146</v>
      </c>
      <c r="F15" s="151">
        <f>'Top Level Summary Pivots'!E8</f>
        <v>9.4043076637219413E-4</v>
      </c>
      <c r="G15" s="150">
        <f>'Top Level Summary Pivots'!F8</f>
        <v>432914</v>
      </c>
      <c r="H15" s="150">
        <f>'Top Level Summary Pivots'!G8</f>
        <v>1814</v>
      </c>
      <c r="I15" s="151">
        <f t="shared" si="0"/>
        <v>4.1902086788600046E-3</v>
      </c>
      <c r="J15" s="152">
        <f t="shared" si="1"/>
        <v>12.004370221752893</v>
      </c>
      <c r="K15" s="152">
        <f t="shared" si="2"/>
        <v>12.004370221752893</v>
      </c>
      <c r="L15" s="152">
        <f t="shared" si="3"/>
        <v>27393.168553235242</v>
      </c>
      <c r="M15" s="152">
        <v>12004.370221752892</v>
      </c>
      <c r="N15" s="152">
        <f t="shared" si="4"/>
        <v>12.7647570145551</v>
      </c>
    </row>
    <row r="16" spans="1:14" ht="17.25" x14ac:dyDescent="0.3">
      <c r="A16" s="95"/>
      <c r="B16" s="153" t="str">
        <f>'Top Level Summary Pivots'!A9</f>
        <v>InMobi</v>
      </c>
      <c r="C16" s="154">
        <f>'Top Level Summary Pivots'!B9</f>
        <v>5337000</v>
      </c>
      <c r="D16" s="154">
        <f>'Top Level Summary Pivots'!C9</f>
        <v>563865</v>
      </c>
      <c r="E16" s="154">
        <f>'Top Level Summary Pivots'!D9</f>
        <v>1898</v>
      </c>
      <c r="F16" s="155">
        <f>'Top Level Summary Pivots'!E9</f>
        <v>3.3660539313488157E-3</v>
      </c>
      <c r="G16" s="154">
        <f>'Top Level Summary Pivots'!F9</f>
        <v>0</v>
      </c>
      <c r="H16" s="154">
        <f>'Top Level Summary Pivots'!G9</f>
        <v>0</v>
      </c>
      <c r="I16" s="155">
        <f t="shared" si="0"/>
        <v>0</v>
      </c>
      <c r="J16" s="156">
        <f t="shared" si="1"/>
        <v>2.2492730413627307</v>
      </c>
      <c r="K16" s="156">
        <f t="shared" si="2"/>
        <v>2.2492730413627307</v>
      </c>
      <c r="L16" s="156">
        <f t="shared" si="3"/>
        <v>1268.2863434679959</v>
      </c>
      <c r="M16" s="156">
        <v>12004.370221752892</v>
      </c>
      <c r="N16" s="156">
        <f t="shared" si="4"/>
        <v>0.66822252026764806</v>
      </c>
    </row>
    <row r="17" spans="1:14" ht="17.25" x14ac:dyDescent="0.3">
      <c r="A17" s="95"/>
      <c r="B17" s="149" t="str">
        <f>'Top Level Summary Pivots'!A10</f>
        <v>Kooora</v>
      </c>
      <c r="C17" s="150">
        <f>'Top Level Summary Pivots'!B10</f>
        <v>2350000</v>
      </c>
      <c r="D17" s="150">
        <f>'Top Level Summary Pivots'!C10</f>
        <v>586795</v>
      </c>
      <c r="E17" s="150">
        <f>'Top Level Summary Pivots'!D10</f>
        <v>297</v>
      </c>
      <c r="F17" s="151">
        <f>'Top Level Summary Pivots'!E10</f>
        <v>5.0613928203205544E-4</v>
      </c>
      <c r="G17" s="150">
        <f>'Top Level Summary Pivots'!F10</f>
        <v>174130</v>
      </c>
      <c r="H17" s="150">
        <f>'Top Level Summary Pivots'!G10</f>
        <v>260</v>
      </c>
      <c r="I17" s="151">
        <f t="shared" si="0"/>
        <v>1.4931373112042727E-3</v>
      </c>
      <c r="J17" s="152">
        <f t="shared" si="1"/>
        <v>5.1082426475544223</v>
      </c>
      <c r="K17" s="152">
        <f t="shared" si="2"/>
        <v>5.1082426475544223</v>
      </c>
      <c r="L17" s="152">
        <f t="shared" si="3"/>
        <v>2997.4912443716971</v>
      </c>
      <c r="M17" s="152">
        <v>12004.370221752892</v>
      </c>
      <c r="N17" s="152">
        <f t="shared" si="4"/>
        <v>10.092563112362617</v>
      </c>
    </row>
    <row r="18" spans="1:14" ht="17.25" x14ac:dyDescent="0.3">
      <c r="A18" s="95"/>
      <c r="B18" s="153" t="str">
        <f>'Top Level Summary Pivots'!A11</f>
        <v>Search</v>
      </c>
      <c r="C18" s="154">
        <f>'Top Level Summary Pivots'!B11</f>
        <v>500000</v>
      </c>
      <c r="D18" s="154">
        <f>'Top Level Summary Pivots'!C11</f>
        <v>98988</v>
      </c>
      <c r="E18" s="154">
        <f>'Top Level Summary Pivots'!D11</f>
        <v>989</v>
      </c>
      <c r="F18" s="155">
        <f>'Top Level Summary Pivots'!E11</f>
        <v>9.9911100335394187E-3</v>
      </c>
      <c r="G18" s="154">
        <f>'Top Level Summary Pivots'!F11</f>
        <v>0</v>
      </c>
      <c r="H18" s="154">
        <f>'Top Level Summary Pivots'!G11</f>
        <v>0</v>
      </c>
      <c r="I18" s="155">
        <f t="shared" si="0"/>
        <v>0</v>
      </c>
      <c r="J18" s="156">
        <f t="shared" si="1"/>
        <v>24.008740443505786</v>
      </c>
      <c r="K18" s="156">
        <f t="shared" si="2"/>
        <v>24.008740443505783</v>
      </c>
      <c r="L18" s="156">
        <f t="shared" si="3"/>
        <v>2376.5771990217504</v>
      </c>
      <c r="M18" s="156">
        <v>12004.370221752892</v>
      </c>
      <c r="N18" s="156">
        <f t="shared" si="4"/>
        <v>2.4030103124587971</v>
      </c>
    </row>
    <row r="19" spans="1:14" ht="17.25" x14ac:dyDescent="0.3">
      <c r="A19" s="95"/>
      <c r="B19" s="149" t="str">
        <f>'Top Level Summary Pivots'!A12</f>
        <v>Yahoo Maktoob!</v>
      </c>
      <c r="C19" s="150">
        <f>'Top Level Summary Pivots'!B12</f>
        <v>2702857.1428571427</v>
      </c>
      <c r="D19" s="150">
        <f>'Top Level Summary Pivots'!C12</f>
        <v>563865</v>
      </c>
      <c r="E19" s="150">
        <f>'Top Level Summary Pivots'!D12</f>
        <v>1898</v>
      </c>
      <c r="F19" s="151">
        <f>'Top Level Summary Pivots'!E12</f>
        <v>3.3660539313488157E-3</v>
      </c>
      <c r="G19" s="150">
        <f>'Top Level Summary Pivots'!F12</f>
        <v>287666</v>
      </c>
      <c r="H19" s="150">
        <f>'Top Level Summary Pivots'!G12</f>
        <v>1677</v>
      </c>
      <c r="I19" s="151">
        <f t="shared" si="0"/>
        <v>5.8296774731807022E-3</v>
      </c>
      <c r="J19" s="152">
        <f t="shared" si="1"/>
        <v>4.4413631898662924</v>
      </c>
      <c r="K19" s="152">
        <f t="shared" si="2"/>
        <v>4.4413631898662933</v>
      </c>
      <c r="L19" s="152">
        <f t="shared" si="3"/>
        <v>2504.3292550539572</v>
      </c>
      <c r="M19" s="152">
        <v>12004.370221752892</v>
      </c>
      <c r="N19" s="152">
        <f t="shared" si="4"/>
        <v>1.3194569310084074</v>
      </c>
    </row>
    <row r="20" spans="1:14" ht="17.25" x14ac:dyDescent="0.3">
      <c r="A20" s="95"/>
      <c r="B20" s="153" t="str">
        <f>'Top Level Summary Pivots'!A13</f>
        <v>Yahoo Mobile</v>
      </c>
      <c r="C20" s="154">
        <f>'Top Level Summary Pivots'!B13</f>
        <v>500000</v>
      </c>
      <c r="D20" s="154">
        <f>'Top Level Summary Pivots'!C13</f>
        <v>563865</v>
      </c>
      <c r="E20" s="154">
        <f>'Top Level Summary Pivots'!D13</f>
        <v>1898</v>
      </c>
      <c r="F20" s="155">
        <f>'Top Level Summary Pivots'!E13</f>
        <v>3.3660539313488157E-3</v>
      </c>
      <c r="G20" s="154">
        <f>'Top Level Summary Pivots'!F13</f>
        <v>0</v>
      </c>
      <c r="H20" s="154">
        <f>'Top Level Summary Pivots'!G13</f>
        <v>0</v>
      </c>
      <c r="I20" s="155">
        <f t="shared" si="0"/>
        <v>0</v>
      </c>
      <c r="J20" s="156">
        <f t="shared" si="1"/>
        <v>24.008740443505786</v>
      </c>
      <c r="K20" s="156">
        <f t="shared" si="2"/>
        <v>24.008740443505783</v>
      </c>
      <c r="L20" s="156">
        <f t="shared" si="3"/>
        <v>13537.688430177388</v>
      </c>
      <c r="M20" s="156">
        <v>12004.370221752892</v>
      </c>
      <c r="N20" s="156">
        <f t="shared" si="4"/>
        <v>7.1326071813368745</v>
      </c>
    </row>
    <row r="21" spans="1:14" ht="17.25" hidden="1" x14ac:dyDescent="0.3">
      <c r="A21" s="95"/>
      <c r="B21" s="149" t="str">
        <f>'Top Level Summary Pivots'!A14</f>
        <v>Grand Total</v>
      </c>
      <c r="C21" s="150">
        <f>'Top Level Summary Pivots'!B14</f>
        <v>15635638.557851862</v>
      </c>
      <c r="D21" s="150">
        <f>'Top Level Summary Pivots'!C14</f>
        <v>6446177</v>
      </c>
      <c r="E21" s="150">
        <f>'Top Level Summary Pivots'!D14</f>
        <v>13301</v>
      </c>
      <c r="F21" s="151">
        <f>'Top Level Summary Pivots'!E14</f>
        <v>2.0633935431807102E-3</v>
      </c>
      <c r="G21" s="150">
        <f>'Top Level Summary Pivots'!F14</f>
        <v>1035181</v>
      </c>
      <c r="H21" s="150">
        <f>'Top Level Summary Pivots'!G14</f>
        <v>4613</v>
      </c>
      <c r="I21" s="151">
        <f t="shared" si="0"/>
        <v>4.4562255296416763E-3</v>
      </c>
      <c r="J21" s="152">
        <f t="shared" si="1"/>
        <v>0.7677569532793127</v>
      </c>
      <c r="K21" s="152">
        <f t="shared" si="2"/>
        <v>0.7677569532793127</v>
      </c>
      <c r="L21" s="152">
        <f t="shared" si="3"/>
        <v>4949.0972138191801</v>
      </c>
      <c r="M21" s="152">
        <v>12004.370221752892</v>
      </c>
      <c r="N21" s="152">
        <f t="shared" si="4"/>
        <v>0.37208459618218032</v>
      </c>
    </row>
    <row r="22" spans="1:14" ht="17.25" hidden="1" x14ac:dyDescent="0.3">
      <c r="A22" s="95"/>
      <c r="B22" s="153">
        <f>'Top Level Summary Pivots'!A15</f>
        <v>0</v>
      </c>
      <c r="C22" s="154">
        <f>'Top Level Summary Pivots'!B15</f>
        <v>0</v>
      </c>
      <c r="D22" s="154">
        <f>'Top Level Summary Pivots'!C15</f>
        <v>0</v>
      </c>
      <c r="E22" s="154">
        <f>'Top Level Summary Pivots'!D15</f>
        <v>0</v>
      </c>
      <c r="F22" s="155">
        <f>'Top Level Summary Pivots'!E15</f>
        <v>0</v>
      </c>
      <c r="G22" s="154">
        <f>'Top Level Summary Pivots'!F15</f>
        <v>0</v>
      </c>
      <c r="H22" s="154">
        <f>'Top Level Summary Pivots'!G15</f>
        <v>0</v>
      </c>
      <c r="I22" s="155">
        <f t="shared" si="0"/>
        <v>0</v>
      </c>
      <c r="J22" s="156">
        <f t="shared" si="1"/>
        <v>0</v>
      </c>
      <c r="K22" s="156">
        <f t="shared" si="2"/>
        <v>0</v>
      </c>
      <c r="L22" s="156">
        <f t="shared" si="3"/>
        <v>0</v>
      </c>
      <c r="M22" s="156">
        <v>12004.370221752892</v>
      </c>
      <c r="N22" s="156">
        <f t="shared" si="4"/>
        <v>0</v>
      </c>
    </row>
    <row r="23" spans="1:14" ht="17.25" hidden="1" x14ac:dyDescent="0.3">
      <c r="A23" s="95"/>
      <c r="B23" s="149">
        <f>'Top Level Summary Pivots'!A16</f>
        <v>0</v>
      </c>
      <c r="C23" s="150">
        <f>'Top Level Summary Pivots'!B16</f>
        <v>0</v>
      </c>
      <c r="D23" s="150">
        <f>'Top Level Summary Pivots'!C16</f>
        <v>0</v>
      </c>
      <c r="E23" s="150">
        <f>'Top Level Summary Pivots'!D16</f>
        <v>0</v>
      </c>
      <c r="F23" s="151">
        <f>'Top Level Summary Pivots'!E16</f>
        <v>0</v>
      </c>
      <c r="G23" s="150">
        <f>'Top Level Summary Pivots'!F16</f>
        <v>0</v>
      </c>
      <c r="H23" s="150">
        <f>'Top Level Summary Pivots'!G16</f>
        <v>0</v>
      </c>
      <c r="I23" s="151">
        <f t="shared" si="0"/>
        <v>0</v>
      </c>
      <c r="J23" s="152">
        <f t="shared" si="1"/>
        <v>0</v>
      </c>
      <c r="K23" s="152">
        <f t="shared" si="2"/>
        <v>0</v>
      </c>
      <c r="L23" s="152">
        <f t="shared" si="3"/>
        <v>0</v>
      </c>
      <c r="M23" s="152">
        <v>12004.370221752892</v>
      </c>
      <c r="N23" s="152">
        <f t="shared" si="4"/>
        <v>0</v>
      </c>
    </row>
    <row r="24" spans="1:14" ht="17.25" hidden="1" x14ac:dyDescent="0.3">
      <c r="A24" s="95"/>
      <c r="B24" s="153">
        <f>'Top Level Summary Pivots'!A17</f>
        <v>0</v>
      </c>
      <c r="C24" s="154">
        <f>'Top Level Summary Pivots'!B17</f>
        <v>0</v>
      </c>
      <c r="D24" s="154">
        <f>'Top Level Summary Pivots'!C17</f>
        <v>0</v>
      </c>
      <c r="E24" s="154">
        <f>'Top Level Summary Pivots'!D17</f>
        <v>0</v>
      </c>
      <c r="F24" s="155">
        <f>'Top Level Summary Pivots'!E17</f>
        <v>0</v>
      </c>
      <c r="G24" s="154">
        <f>'Top Level Summary Pivots'!F17</f>
        <v>0</v>
      </c>
      <c r="H24" s="154">
        <f>'Top Level Summary Pivots'!G17</f>
        <v>0</v>
      </c>
      <c r="I24" s="155">
        <f t="shared" si="0"/>
        <v>0</v>
      </c>
      <c r="J24" s="156">
        <f t="shared" si="1"/>
        <v>0</v>
      </c>
      <c r="K24" s="156">
        <f t="shared" si="2"/>
        <v>0</v>
      </c>
      <c r="L24" s="156">
        <f t="shared" si="3"/>
        <v>0</v>
      </c>
      <c r="M24" s="156">
        <v>12004.370221752892</v>
      </c>
      <c r="N24" s="156">
        <f t="shared" si="4"/>
        <v>0</v>
      </c>
    </row>
    <row r="25" spans="1:14" ht="17.25" hidden="1" x14ac:dyDescent="0.3">
      <c r="A25" s="95"/>
      <c r="B25" s="149">
        <f>'Top Level Summary Pivots'!A18</f>
        <v>0</v>
      </c>
      <c r="C25" s="150">
        <f>'Top Level Summary Pivots'!B18</f>
        <v>0</v>
      </c>
      <c r="D25" s="150">
        <f>'Top Level Summary Pivots'!C18</f>
        <v>0</v>
      </c>
      <c r="E25" s="150">
        <f>'Top Level Summary Pivots'!D18</f>
        <v>0</v>
      </c>
      <c r="F25" s="151">
        <f>'Top Level Summary Pivots'!E18</f>
        <v>0</v>
      </c>
      <c r="G25" s="150">
        <f>'Top Level Summary Pivots'!F18</f>
        <v>0</v>
      </c>
      <c r="H25" s="150">
        <f>'Top Level Summary Pivots'!G18</f>
        <v>0</v>
      </c>
      <c r="I25" s="151">
        <f t="shared" si="0"/>
        <v>0</v>
      </c>
      <c r="J25" s="152">
        <f t="shared" si="1"/>
        <v>0</v>
      </c>
      <c r="K25" s="152">
        <f t="shared" si="2"/>
        <v>0</v>
      </c>
      <c r="L25" s="152">
        <f t="shared" si="3"/>
        <v>0</v>
      </c>
      <c r="M25" s="152">
        <v>12004.370221752892</v>
      </c>
      <c r="N25" s="152">
        <f t="shared" si="4"/>
        <v>0</v>
      </c>
    </row>
    <row r="26" spans="1:14" ht="17.25" hidden="1" x14ac:dyDescent="0.3">
      <c r="A26" s="95"/>
      <c r="B26" s="153">
        <f>'Top Level Summary Pivots'!A19</f>
        <v>0</v>
      </c>
      <c r="C26" s="154">
        <f>'Top Level Summary Pivots'!B19</f>
        <v>0</v>
      </c>
      <c r="D26" s="154">
        <f>'Top Level Summary Pivots'!C19</f>
        <v>0</v>
      </c>
      <c r="E26" s="154">
        <f>'Top Level Summary Pivots'!D19</f>
        <v>0</v>
      </c>
      <c r="F26" s="155">
        <f>'Top Level Summary Pivots'!E19</f>
        <v>0</v>
      </c>
      <c r="G26" s="154">
        <f>'Top Level Summary Pivots'!F19</f>
        <v>0</v>
      </c>
      <c r="H26" s="154">
        <f>'Top Level Summary Pivots'!G19</f>
        <v>0</v>
      </c>
      <c r="I26" s="155">
        <f t="shared" si="0"/>
        <v>0</v>
      </c>
      <c r="J26" s="156">
        <f t="shared" si="1"/>
        <v>0</v>
      </c>
      <c r="K26" s="156">
        <f t="shared" si="2"/>
        <v>0</v>
      </c>
      <c r="L26" s="156">
        <f t="shared" si="3"/>
        <v>0</v>
      </c>
      <c r="M26" s="156">
        <v>12004.370221752892</v>
      </c>
      <c r="N26" s="156">
        <f t="shared" si="4"/>
        <v>0</v>
      </c>
    </row>
    <row r="27" spans="1:14" ht="17.25" hidden="1" x14ac:dyDescent="0.3">
      <c r="A27" s="95"/>
      <c r="B27" s="149">
        <f>'Top Level Summary Pivots'!A20</f>
        <v>0</v>
      </c>
      <c r="C27" s="150">
        <f>'Top Level Summary Pivots'!B20</f>
        <v>0</v>
      </c>
      <c r="D27" s="150">
        <f>'Top Level Summary Pivots'!C20</f>
        <v>0</v>
      </c>
      <c r="E27" s="150">
        <f>'Top Level Summary Pivots'!D20</f>
        <v>0</v>
      </c>
      <c r="F27" s="151">
        <f>'Top Level Summary Pivots'!E20</f>
        <v>0</v>
      </c>
      <c r="G27" s="150">
        <f>'Top Level Summary Pivots'!F20</f>
        <v>0</v>
      </c>
      <c r="H27" s="150">
        <f>'Top Level Summary Pivots'!G20</f>
        <v>0</v>
      </c>
      <c r="I27" s="151">
        <f t="shared" si="0"/>
        <v>0</v>
      </c>
      <c r="J27" s="152">
        <f t="shared" si="1"/>
        <v>0</v>
      </c>
      <c r="K27" s="152">
        <f t="shared" si="2"/>
        <v>0</v>
      </c>
      <c r="L27" s="152">
        <f t="shared" si="3"/>
        <v>0</v>
      </c>
      <c r="M27" s="152">
        <v>12004.370221752892</v>
      </c>
      <c r="N27" s="152">
        <f t="shared" si="4"/>
        <v>0</v>
      </c>
    </row>
    <row r="28" spans="1:14" ht="17.25" hidden="1" x14ac:dyDescent="0.3">
      <c r="A28" s="95"/>
      <c r="B28" s="153">
        <f>'Top Level Summary Pivots'!A21</f>
        <v>0</v>
      </c>
      <c r="C28" s="154">
        <f>'Top Level Summary Pivots'!B21</f>
        <v>0</v>
      </c>
      <c r="D28" s="154">
        <f>'Top Level Summary Pivots'!C21</f>
        <v>0</v>
      </c>
      <c r="E28" s="154">
        <f>'Top Level Summary Pivots'!D21</f>
        <v>0</v>
      </c>
      <c r="F28" s="155">
        <f>'Top Level Summary Pivots'!E21</f>
        <v>0</v>
      </c>
      <c r="G28" s="154">
        <f>'Top Level Summary Pivots'!F21</f>
        <v>0</v>
      </c>
      <c r="H28" s="154">
        <f>'Top Level Summary Pivots'!G21</f>
        <v>0</v>
      </c>
      <c r="I28" s="155">
        <f t="shared" si="0"/>
        <v>0</v>
      </c>
      <c r="J28" s="156">
        <f t="shared" si="1"/>
        <v>0</v>
      </c>
      <c r="K28" s="156">
        <f t="shared" si="2"/>
        <v>0</v>
      </c>
      <c r="L28" s="156">
        <f t="shared" si="3"/>
        <v>0</v>
      </c>
      <c r="M28" s="156">
        <v>12004.370221752892</v>
      </c>
      <c r="N28" s="156">
        <f t="shared" si="4"/>
        <v>0</v>
      </c>
    </row>
    <row r="29" spans="1:14" ht="17.25" hidden="1" x14ac:dyDescent="0.3">
      <c r="A29" s="95"/>
      <c r="B29" s="149">
        <f>'Top Level Summary Pivots'!A22</f>
        <v>0</v>
      </c>
      <c r="C29" s="150">
        <f>'Top Level Summary Pivots'!B22</f>
        <v>0</v>
      </c>
      <c r="D29" s="150">
        <f>'Top Level Summary Pivots'!C22</f>
        <v>0</v>
      </c>
      <c r="E29" s="150">
        <f>'Top Level Summary Pivots'!D22</f>
        <v>0</v>
      </c>
      <c r="F29" s="151">
        <f>'Top Level Summary Pivots'!E22</f>
        <v>0</v>
      </c>
      <c r="G29" s="150">
        <f>'Top Level Summary Pivots'!F22</f>
        <v>0</v>
      </c>
      <c r="H29" s="150">
        <f>'Top Level Summary Pivots'!G22</f>
        <v>0</v>
      </c>
      <c r="I29" s="151">
        <f t="shared" si="0"/>
        <v>0</v>
      </c>
      <c r="J29" s="152">
        <f t="shared" si="1"/>
        <v>0</v>
      </c>
      <c r="K29" s="152">
        <f t="shared" si="2"/>
        <v>0</v>
      </c>
      <c r="L29" s="152">
        <f t="shared" si="3"/>
        <v>0</v>
      </c>
      <c r="M29" s="152">
        <v>12004.370221752892</v>
      </c>
      <c r="N29" s="152">
        <f t="shared" si="4"/>
        <v>0</v>
      </c>
    </row>
    <row r="30" spans="1:14" ht="17.25" hidden="1" x14ac:dyDescent="0.3">
      <c r="A30" s="95"/>
      <c r="B30" s="153">
        <f>'Top Level Summary Pivots'!A23</f>
        <v>0</v>
      </c>
      <c r="C30" s="154">
        <f>'Top Level Summary Pivots'!B23</f>
        <v>0</v>
      </c>
      <c r="D30" s="154">
        <f>'Top Level Summary Pivots'!C23</f>
        <v>0</v>
      </c>
      <c r="E30" s="154">
        <f>'Top Level Summary Pivots'!D23</f>
        <v>0</v>
      </c>
      <c r="F30" s="155">
        <f>'Top Level Summary Pivots'!E23</f>
        <v>0</v>
      </c>
      <c r="G30" s="154">
        <f>'Top Level Summary Pivots'!F23</f>
        <v>0</v>
      </c>
      <c r="H30" s="154">
        <f>'Top Level Summary Pivots'!G23</f>
        <v>0</v>
      </c>
      <c r="I30" s="155">
        <f t="shared" si="0"/>
        <v>0</v>
      </c>
      <c r="J30" s="156">
        <f t="shared" si="1"/>
        <v>0</v>
      </c>
      <c r="K30" s="156">
        <f t="shared" si="2"/>
        <v>0</v>
      </c>
      <c r="L30" s="156">
        <f t="shared" si="3"/>
        <v>0</v>
      </c>
      <c r="M30" s="156">
        <v>12004.370221752892</v>
      </c>
      <c r="N30" s="156">
        <f t="shared" si="4"/>
        <v>0</v>
      </c>
    </row>
    <row r="31" spans="1:14" ht="17.25" hidden="1" x14ac:dyDescent="0.3">
      <c r="A31" s="95"/>
      <c r="B31" s="149">
        <f>'Top Level Summary Pivots'!A24</f>
        <v>0</v>
      </c>
      <c r="C31" s="150">
        <f>'Top Level Summary Pivots'!B24</f>
        <v>0</v>
      </c>
      <c r="D31" s="150">
        <f>'Top Level Summary Pivots'!C24</f>
        <v>0</v>
      </c>
      <c r="E31" s="150">
        <f>'Top Level Summary Pivots'!D24</f>
        <v>0</v>
      </c>
      <c r="F31" s="151">
        <f>'Top Level Summary Pivots'!E24</f>
        <v>0</v>
      </c>
      <c r="G31" s="150">
        <f>'Top Level Summary Pivots'!F24</f>
        <v>0</v>
      </c>
      <c r="H31" s="150">
        <f>'Top Level Summary Pivots'!G24</f>
        <v>0</v>
      </c>
      <c r="I31" s="151">
        <f t="shared" si="0"/>
        <v>0</v>
      </c>
      <c r="J31" s="152">
        <f t="shared" si="1"/>
        <v>0</v>
      </c>
      <c r="K31" s="152">
        <f t="shared" si="2"/>
        <v>0</v>
      </c>
      <c r="L31" s="152">
        <f t="shared" si="3"/>
        <v>0</v>
      </c>
      <c r="M31" s="152">
        <v>12004.370221752892</v>
      </c>
      <c r="N31" s="152">
        <f t="shared" si="4"/>
        <v>0</v>
      </c>
    </row>
    <row r="32" spans="1:14" ht="17.25" hidden="1" x14ac:dyDescent="0.3">
      <c r="A32" s="95"/>
      <c r="B32" s="153">
        <f>'Top Level Summary Pivots'!A25</f>
        <v>0</v>
      </c>
      <c r="C32" s="154">
        <f>'Top Level Summary Pivots'!B25</f>
        <v>0</v>
      </c>
      <c r="D32" s="154">
        <f>'Top Level Summary Pivots'!C25</f>
        <v>0</v>
      </c>
      <c r="E32" s="154">
        <f>'Top Level Summary Pivots'!D25</f>
        <v>0</v>
      </c>
      <c r="F32" s="155">
        <f>'Top Level Summary Pivots'!E25</f>
        <v>0</v>
      </c>
      <c r="G32" s="154">
        <f>'Top Level Summary Pivots'!F25</f>
        <v>0</v>
      </c>
      <c r="H32" s="154">
        <f>'Top Level Summary Pivots'!G25</f>
        <v>0</v>
      </c>
      <c r="I32" s="155">
        <f t="shared" si="0"/>
        <v>0</v>
      </c>
      <c r="J32" s="156">
        <f t="shared" si="1"/>
        <v>0</v>
      </c>
      <c r="K32" s="156">
        <f t="shared" si="2"/>
        <v>0</v>
      </c>
      <c r="L32" s="156">
        <f t="shared" si="3"/>
        <v>0</v>
      </c>
      <c r="M32" s="156">
        <v>12004.370221752892</v>
      </c>
      <c r="N32" s="156">
        <f t="shared" si="4"/>
        <v>0</v>
      </c>
    </row>
    <row r="33" spans="1:14" ht="17.25" hidden="1" x14ac:dyDescent="0.3">
      <c r="A33" s="95"/>
      <c r="B33" s="149">
        <f>'Top Level Summary Pivots'!A26</f>
        <v>0</v>
      </c>
      <c r="C33" s="150">
        <f>'Top Level Summary Pivots'!B26</f>
        <v>0</v>
      </c>
      <c r="D33" s="150">
        <f>'Top Level Summary Pivots'!C26</f>
        <v>0</v>
      </c>
      <c r="E33" s="150">
        <f>'Top Level Summary Pivots'!D26</f>
        <v>0</v>
      </c>
      <c r="F33" s="151">
        <f>'Top Level Summary Pivots'!E26</f>
        <v>0</v>
      </c>
      <c r="G33" s="150">
        <f>'Top Level Summary Pivots'!F26</f>
        <v>0</v>
      </c>
      <c r="H33" s="150">
        <f>'Top Level Summary Pivots'!G26</f>
        <v>0</v>
      </c>
      <c r="I33" s="151">
        <f t="shared" si="0"/>
        <v>0</v>
      </c>
      <c r="J33" s="152">
        <f t="shared" si="1"/>
        <v>0</v>
      </c>
      <c r="K33" s="152">
        <f t="shared" si="2"/>
        <v>0</v>
      </c>
      <c r="L33" s="152">
        <f t="shared" si="3"/>
        <v>0</v>
      </c>
      <c r="M33" s="152">
        <v>12004.370221752892</v>
      </c>
      <c r="N33" s="152">
        <f t="shared" si="4"/>
        <v>0</v>
      </c>
    </row>
    <row r="34" spans="1:14" ht="17.25" hidden="1" x14ac:dyDescent="0.3">
      <c r="A34" s="95"/>
      <c r="B34" s="153">
        <f>'Top Level Summary Pivots'!A27</f>
        <v>0</v>
      </c>
      <c r="C34" s="154">
        <f>'Top Level Summary Pivots'!B27</f>
        <v>0</v>
      </c>
      <c r="D34" s="154">
        <f>'Top Level Summary Pivots'!C27</f>
        <v>0</v>
      </c>
      <c r="E34" s="154">
        <f>'Top Level Summary Pivots'!D27</f>
        <v>0</v>
      </c>
      <c r="F34" s="155">
        <f>'Top Level Summary Pivots'!E27</f>
        <v>0</v>
      </c>
      <c r="G34" s="154">
        <f>'Top Level Summary Pivots'!F27</f>
        <v>0</v>
      </c>
      <c r="H34" s="154">
        <f>'Top Level Summary Pivots'!G27</f>
        <v>0</v>
      </c>
      <c r="I34" s="155">
        <f t="shared" si="0"/>
        <v>0</v>
      </c>
      <c r="J34" s="156">
        <f t="shared" si="1"/>
        <v>0</v>
      </c>
      <c r="K34" s="156">
        <f t="shared" si="2"/>
        <v>0</v>
      </c>
      <c r="L34" s="156">
        <f t="shared" si="3"/>
        <v>0</v>
      </c>
      <c r="M34" s="156">
        <v>12004.370221752892</v>
      </c>
      <c r="N34" s="156">
        <f t="shared" si="4"/>
        <v>0</v>
      </c>
    </row>
    <row r="35" spans="1:14" ht="17.25" hidden="1" x14ac:dyDescent="0.3">
      <c r="A35" s="95"/>
      <c r="B35" s="149">
        <f>'Top Level Summary Pivots'!A28</f>
        <v>0</v>
      </c>
      <c r="C35" s="150">
        <f>'Top Level Summary Pivots'!B28</f>
        <v>0</v>
      </c>
      <c r="D35" s="150">
        <f>'Top Level Summary Pivots'!C28</f>
        <v>0</v>
      </c>
      <c r="E35" s="150">
        <f>'Top Level Summary Pivots'!D28</f>
        <v>0</v>
      </c>
      <c r="F35" s="151">
        <f>'Top Level Summary Pivots'!E28</f>
        <v>0</v>
      </c>
      <c r="G35" s="150">
        <f>'Top Level Summary Pivots'!F28</f>
        <v>0</v>
      </c>
      <c r="H35" s="150">
        <f>'Top Level Summary Pivots'!G28</f>
        <v>0</v>
      </c>
      <c r="I35" s="151">
        <f t="shared" si="0"/>
        <v>0</v>
      </c>
      <c r="J35" s="152">
        <f t="shared" si="1"/>
        <v>0</v>
      </c>
      <c r="K35" s="152">
        <f t="shared" si="2"/>
        <v>0</v>
      </c>
      <c r="L35" s="152">
        <f t="shared" si="3"/>
        <v>0</v>
      </c>
      <c r="M35" s="152">
        <v>12004.370221752892</v>
      </c>
      <c r="N35" s="152">
        <f t="shared" si="4"/>
        <v>0</v>
      </c>
    </row>
    <row r="36" spans="1:14" ht="17.25" hidden="1" x14ac:dyDescent="0.3">
      <c r="A36" s="95"/>
      <c r="B36" s="153">
        <f>'Top Level Summary Pivots'!A29</f>
        <v>0</v>
      </c>
      <c r="C36" s="154">
        <f>'Top Level Summary Pivots'!B29</f>
        <v>0</v>
      </c>
      <c r="D36" s="154">
        <f>'Top Level Summary Pivots'!C29</f>
        <v>0</v>
      </c>
      <c r="E36" s="154">
        <f>'Top Level Summary Pivots'!D29</f>
        <v>0</v>
      </c>
      <c r="F36" s="155">
        <f>'Top Level Summary Pivots'!E29</f>
        <v>0</v>
      </c>
      <c r="G36" s="154">
        <f>'Top Level Summary Pivots'!F29</f>
        <v>0</v>
      </c>
      <c r="H36" s="154">
        <f>'Top Level Summary Pivots'!G29</f>
        <v>0</v>
      </c>
      <c r="I36" s="155">
        <f t="shared" si="0"/>
        <v>0</v>
      </c>
      <c r="J36" s="156">
        <f t="shared" si="1"/>
        <v>0</v>
      </c>
      <c r="K36" s="156">
        <f t="shared" si="2"/>
        <v>0</v>
      </c>
      <c r="L36" s="156">
        <f t="shared" si="3"/>
        <v>0</v>
      </c>
      <c r="M36" s="156">
        <v>12004.370221752892</v>
      </c>
      <c r="N36" s="156">
        <f t="shared" si="4"/>
        <v>0</v>
      </c>
    </row>
    <row r="37" spans="1:14" ht="17.25" hidden="1" x14ac:dyDescent="0.3">
      <c r="A37" s="95"/>
      <c r="B37" s="149">
        <f>'Top Level Summary Pivots'!A30</f>
        <v>0</v>
      </c>
      <c r="C37" s="150">
        <f>'Top Level Summary Pivots'!B30</f>
        <v>0</v>
      </c>
      <c r="D37" s="150">
        <f>'Top Level Summary Pivots'!C30</f>
        <v>0</v>
      </c>
      <c r="E37" s="150">
        <f>'Top Level Summary Pivots'!D30</f>
        <v>0</v>
      </c>
      <c r="F37" s="151">
        <f>'Top Level Summary Pivots'!E30</f>
        <v>0</v>
      </c>
      <c r="G37" s="150">
        <f>'Top Level Summary Pivots'!F30</f>
        <v>0</v>
      </c>
      <c r="H37" s="150">
        <f>'Top Level Summary Pivots'!G30</f>
        <v>0</v>
      </c>
      <c r="I37" s="151">
        <f t="shared" si="0"/>
        <v>0</v>
      </c>
      <c r="J37" s="152">
        <f t="shared" si="1"/>
        <v>0</v>
      </c>
      <c r="K37" s="152">
        <f t="shared" si="2"/>
        <v>0</v>
      </c>
      <c r="L37" s="152">
        <f t="shared" si="3"/>
        <v>0</v>
      </c>
      <c r="M37" s="152">
        <v>12004.370221752892</v>
      </c>
      <c r="N37" s="152">
        <f t="shared" si="4"/>
        <v>0</v>
      </c>
    </row>
    <row r="38" spans="1:14" ht="17.25" hidden="1" x14ac:dyDescent="0.3">
      <c r="A38" s="95"/>
      <c r="B38" s="153">
        <f>'Top Level Summary Pivots'!A31</f>
        <v>0</v>
      </c>
      <c r="C38" s="154">
        <f>'Top Level Summary Pivots'!B31</f>
        <v>0</v>
      </c>
      <c r="D38" s="154">
        <f>'Top Level Summary Pivots'!C31</f>
        <v>0</v>
      </c>
      <c r="E38" s="154">
        <f>'Top Level Summary Pivots'!D31</f>
        <v>0</v>
      </c>
      <c r="F38" s="155">
        <f>'Top Level Summary Pivots'!E31</f>
        <v>0</v>
      </c>
      <c r="G38" s="154">
        <f>'Top Level Summary Pivots'!F31</f>
        <v>0</v>
      </c>
      <c r="H38" s="154">
        <f>'Top Level Summary Pivots'!G31</f>
        <v>0</v>
      </c>
      <c r="I38" s="155">
        <f t="shared" si="0"/>
        <v>0</v>
      </c>
      <c r="J38" s="156">
        <f t="shared" si="1"/>
        <v>0</v>
      </c>
      <c r="K38" s="156">
        <f t="shared" si="2"/>
        <v>0</v>
      </c>
      <c r="L38" s="156">
        <f t="shared" si="3"/>
        <v>0</v>
      </c>
      <c r="M38" s="156">
        <v>12004.370221752892</v>
      </c>
      <c r="N38" s="156">
        <f t="shared" si="4"/>
        <v>0</v>
      </c>
    </row>
    <row r="39" spans="1:14" ht="17.25" x14ac:dyDescent="0.3">
      <c r="A39" s="95"/>
      <c r="B39" s="157" t="s">
        <v>1</v>
      </c>
      <c r="C39" s="158">
        <f>SUM(C11:C38)/2</f>
        <v>15635638.557851862</v>
      </c>
      <c r="D39" s="158">
        <f>SUM(D11:D38)/2</f>
        <v>6446177</v>
      </c>
      <c r="E39" s="158">
        <f>SUM(E11:E38)/2</f>
        <v>13301</v>
      </c>
      <c r="F39" s="159">
        <f>E39/D39</f>
        <v>2.0633935431807102E-3</v>
      </c>
      <c r="G39" s="158">
        <f>SUM(G11:G38)/2</f>
        <v>1035181</v>
      </c>
      <c r="H39" s="158">
        <f>SUM(H11:H38)/2</f>
        <v>4613</v>
      </c>
      <c r="I39" s="159">
        <f t="shared" si="0"/>
        <v>4.4562255296416763E-3</v>
      </c>
      <c r="J39" s="160">
        <f t="shared" si="1"/>
        <v>0.7677569532793127</v>
      </c>
      <c r="K39" s="160">
        <f t="shared" si="2"/>
        <v>0.7677569532793127</v>
      </c>
      <c r="L39" s="160">
        <f t="shared" si="3"/>
        <v>4949.0972138191801</v>
      </c>
      <c r="M39" s="160">
        <v>12004.370221752892</v>
      </c>
      <c r="N39" s="160">
        <f t="shared" si="4"/>
        <v>0.37208459618218032</v>
      </c>
    </row>
    <row r="40" spans="1:14" ht="17.25" x14ac:dyDescent="0.3">
      <c r="A40" s="95"/>
    </row>
    <row r="41" spans="1:14" ht="17.25" x14ac:dyDescent="0.3">
      <c r="A41" s="95"/>
    </row>
    <row r="42" spans="1:14" ht="17.100000000000001" customHeight="1" x14ac:dyDescent="0.3">
      <c r="A42" s="95"/>
      <c r="F42" s="74" t="s">
        <v>23</v>
      </c>
      <c r="G42" s="73"/>
      <c r="M42" s="23"/>
    </row>
    <row r="43" spans="1:14" ht="17.100000000000001" customHeight="1" x14ac:dyDescent="0.35">
      <c r="A43" s="95"/>
      <c r="F43" s="179">
        <f>TCTR</f>
        <v>2.0633935431807102E-3</v>
      </c>
      <c r="G43" s="179"/>
      <c r="M43" s="78"/>
    </row>
    <row r="44" spans="1:14" ht="17.100000000000001" customHeight="1" x14ac:dyDescent="0.35">
      <c r="A44" s="95"/>
      <c r="F44" s="179"/>
      <c r="G44" s="179"/>
      <c r="M44" s="78"/>
    </row>
    <row r="45" spans="1:14" ht="17.100000000000001" customHeight="1" x14ac:dyDescent="0.35">
      <c r="A45" s="95"/>
      <c r="F45" s="179"/>
      <c r="G45" s="179"/>
      <c r="M45" s="78"/>
    </row>
    <row r="46" spans="1:14" ht="17.100000000000001" customHeight="1" x14ac:dyDescent="0.35">
      <c r="A46" s="95"/>
      <c r="F46" s="179"/>
      <c r="G46" s="179"/>
      <c r="M46" s="78"/>
    </row>
    <row r="47" spans="1:14" ht="17.100000000000001" customHeight="1" x14ac:dyDescent="0.35">
      <c r="A47" s="95"/>
      <c r="F47" s="179"/>
      <c r="G47" s="179"/>
      <c r="M47" s="78"/>
    </row>
    <row r="48" spans="1:14" ht="17.100000000000001" customHeight="1" x14ac:dyDescent="0.35">
      <c r="A48" s="95"/>
      <c r="F48" s="178" t="s">
        <v>21</v>
      </c>
      <c r="G48" s="178"/>
      <c r="M48" s="25"/>
    </row>
    <row r="49" spans="1:14" ht="17.100000000000001" customHeight="1" x14ac:dyDescent="0.35">
      <c r="A49" s="95"/>
      <c r="F49" s="178"/>
      <c r="G49" s="178"/>
      <c r="M49" s="25"/>
    </row>
    <row r="50" spans="1:14" ht="17.100000000000001" customHeight="1" x14ac:dyDescent="0.35">
      <c r="A50" s="95"/>
      <c r="N50" s="25"/>
    </row>
    <row r="51" spans="1:14" ht="17.100000000000001" customHeight="1" x14ac:dyDescent="0.35">
      <c r="A51" s="95"/>
    </row>
    <row r="52" spans="1:14" ht="17.100000000000001" customHeight="1" x14ac:dyDescent="0.35">
      <c r="A52" s="95"/>
    </row>
    <row r="53" spans="1:14" ht="17.100000000000001" customHeight="1" x14ac:dyDescent="0.35">
      <c r="A53" s="95"/>
    </row>
    <row r="54" spans="1:14" ht="16.8" x14ac:dyDescent="0.35">
      <c r="A54" s="95"/>
      <c r="B54" s="22" t="s">
        <v>97</v>
      </c>
    </row>
    <row r="55" spans="1:14" ht="16.8" x14ac:dyDescent="0.35">
      <c r="A55" s="95"/>
      <c r="F55" s="9" t="s">
        <v>98</v>
      </c>
      <c r="G55" s="9" t="s">
        <v>98</v>
      </c>
      <c r="H55" s="9" t="s">
        <v>98</v>
      </c>
      <c r="I55" s="9" t="s">
        <v>98</v>
      </c>
      <c r="J55" s="9" t="s">
        <v>99</v>
      </c>
    </row>
    <row r="56" spans="1:14" ht="17.25" hidden="1" x14ac:dyDescent="0.3">
      <c r="A56" s="95"/>
      <c r="B56" s="135"/>
      <c r="C56" s="135"/>
      <c r="D56"/>
      <c r="E56"/>
      <c r="F56"/>
      <c r="G56"/>
      <c r="H56"/>
      <c r="I56"/>
      <c r="J56"/>
    </row>
    <row r="57" spans="1:14" ht="17.25" hidden="1" x14ac:dyDescent="0.3">
      <c r="A57" s="95"/>
      <c r="B57"/>
      <c r="C57"/>
      <c r="D57"/>
      <c r="E57"/>
      <c r="F57"/>
      <c r="G57"/>
      <c r="H57"/>
      <c r="I57"/>
      <c r="J57"/>
    </row>
    <row r="58" spans="1:14" ht="17.25" hidden="1" x14ac:dyDescent="0.3">
      <c r="A58" s="95"/>
      <c r="B58" s="135"/>
      <c r="C58" s="135"/>
      <c r="D58" s="135"/>
      <c r="E58" s="135"/>
      <c r="F58" s="135"/>
      <c r="G58" s="135"/>
      <c r="H58" s="135"/>
      <c r="I58" s="135"/>
      <c r="J58" s="135"/>
    </row>
    <row r="59" spans="1:14" ht="16.8" x14ac:dyDescent="0.35">
      <c r="A59" s="95"/>
      <c r="B59" s="163" t="s">
        <v>3</v>
      </c>
      <c r="C59" s="148" t="s">
        <v>74</v>
      </c>
      <c r="D59" s="148" t="s">
        <v>14</v>
      </c>
      <c r="E59" s="148" t="s">
        <v>70</v>
      </c>
      <c r="F59" s="148" t="s">
        <v>66</v>
      </c>
      <c r="G59" s="148" t="s">
        <v>93</v>
      </c>
      <c r="H59" s="148" t="s">
        <v>95</v>
      </c>
      <c r="I59" s="148" t="s">
        <v>94</v>
      </c>
      <c r="J59" s="148" t="s">
        <v>92</v>
      </c>
    </row>
    <row r="60" spans="1:14" s="26" customFormat="1" ht="16.8" x14ac:dyDescent="0.35">
      <c r="A60" s="95"/>
      <c r="B60" s="149" t="str">
        <f>'Top Level Summary Pivots'!M4</f>
        <v>InMobi</v>
      </c>
      <c r="C60" s="150">
        <f>'Top Level Summary Pivots'!N4</f>
        <v>5337000</v>
      </c>
      <c r="D60" s="150">
        <f>'Top Level Summary Pivots'!O4</f>
        <v>563865</v>
      </c>
      <c r="E60" s="150">
        <f>'Top Level Summary Pivots'!P4</f>
        <v>1898</v>
      </c>
      <c r="F60" s="151">
        <f>'Top Level Summary Pivots'!Q4</f>
        <v>3.3660539313488157E-3</v>
      </c>
      <c r="G60" s="152">
        <f>(J60/C60)*1000</f>
        <v>6.7164538665381839</v>
      </c>
      <c r="H60" s="152">
        <f>I60/D60*1000</f>
        <v>6.7164538665381848</v>
      </c>
      <c r="I60" s="152">
        <f>J60/(C60/1000)*(D60/1000)</f>
        <v>3787.1732594555538</v>
      </c>
      <c r="J60" s="152">
        <v>35845.71428571429</v>
      </c>
    </row>
    <row r="61" spans="1:14" s="26" customFormat="1" ht="16.8" x14ac:dyDescent="0.35">
      <c r="A61" s="95"/>
      <c r="B61" s="153" t="str">
        <f>'Top Level Summary Pivots'!M5</f>
        <v>Yahoo Mobile</v>
      </c>
      <c r="C61" s="154">
        <f>'Top Level Summary Pivots'!N5</f>
        <v>500000</v>
      </c>
      <c r="D61" s="154">
        <f>'Top Level Summary Pivots'!O5</f>
        <v>563865</v>
      </c>
      <c r="E61" s="154">
        <f>'Top Level Summary Pivots'!P5</f>
        <v>1898</v>
      </c>
      <c r="F61" s="155">
        <f>'Top Level Summary Pivots'!Q5</f>
        <v>3.3660539313488157E-3</v>
      </c>
      <c r="G61" s="156">
        <f t="shared" ref="G61:G77" si="5">(J61/C61)*1000</f>
        <v>71.691428571428588</v>
      </c>
      <c r="H61" s="156">
        <f t="shared" ref="H61:H77" si="6">I61/D61*1000</f>
        <v>71.691428571428574</v>
      </c>
      <c r="I61" s="156">
        <f t="shared" ref="I61:I77" si="7">J61/(C61/1000)*(D61/1000)</f>
        <v>40424.287371428574</v>
      </c>
      <c r="J61" s="156">
        <v>35845.71428571429</v>
      </c>
    </row>
    <row r="62" spans="1:14" s="26" customFormat="1" ht="17.25" hidden="1" x14ac:dyDescent="0.3">
      <c r="A62" s="95"/>
      <c r="B62" s="149" t="str">
        <f>'Top Level Summary Pivots'!M6</f>
        <v>Grand Total</v>
      </c>
      <c r="C62" s="150">
        <f>'Top Level Summary Pivots'!N6</f>
        <v>5837000</v>
      </c>
      <c r="D62" s="150">
        <f>'Top Level Summary Pivots'!O6</f>
        <v>1127730</v>
      </c>
      <c r="E62" s="150">
        <f>'Top Level Summary Pivots'!P6</f>
        <v>3796</v>
      </c>
      <c r="F62" s="151">
        <f>'Top Level Summary Pivots'!Q6</f>
        <v>3.3660539313488157E-3</v>
      </c>
      <c r="G62" s="152">
        <f t="shared" si="5"/>
        <v>6.1411194596049841</v>
      </c>
      <c r="H62" s="152">
        <f t="shared" si="6"/>
        <v>6.1411194596049841</v>
      </c>
      <c r="I62" s="152">
        <f t="shared" si="7"/>
        <v>6925.5246481803288</v>
      </c>
      <c r="J62" s="152">
        <v>35845.71428571429</v>
      </c>
    </row>
    <row r="63" spans="1:14" s="26" customFormat="1" ht="17.25" hidden="1" x14ac:dyDescent="0.3">
      <c r="A63" s="95"/>
      <c r="B63" s="153">
        <f>'Top Level Summary Pivots'!M7</f>
        <v>0</v>
      </c>
      <c r="C63" s="154">
        <f>'Top Level Summary Pivots'!N7</f>
        <v>0</v>
      </c>
      <c r="D63" s="154">
        <f>'Top Level Summary Pivots'!O7</f>
        <v>0</v>
      </c>
      <c r="E63" s="154">
        <f>'Top Level Summary Pivots'!P7</f>
        <v>0</v>
      </c>
      <c r="F63" s="155">
        <f>'Top Level Summary Pivots'!Q7</f>
        <v>0</v>
      </c>
      <c r="G63" s="156" t="e">
        <f t="shared" si="5"/>
        <v>#DIV/0!</v>
      </c>
      <c r="H63" s="156" t="e">
        <f t="shared" si="6"/>
        <v>#DIV/0!</v>
      </c>
      <c r="I63" s="156" t="e">
        <f t="shared" si="7"/>
        <v>#DIV/0!</v>
      </c>
      <c r="J63" s="156">
        <v>35845.71428571429</v>
      </c>
    </row>
    <row r="64" spans="1:14" s="26" customFormat="1" ht="17.25" hidden="1" x14ac:dyDescent="0.3">
      <c r="A64" s="95"/>
      <c r="B64" s="149">
        <f>'Top Level Summary Pivots'!M8</f>
        <v>0</v>
      </c>
      <c r="C64" s="150">
        <f>'Top Level Summary Pivots'!N8</f>
        <v>0</v>
      </c>
      <c r="D64" s="150">
        <f>'Top Level Summary Pivots'!O8</f>
        <v>0</v>
      </c>
      <c r="E64" s="150">
        <f>'Top Level Summary Pivots'!P8</f>
        <v>0</v>
      </c>
      <c r="F64" s="151">
        <f>'Top Level Summary Pivots'!Q8</f>
        <v>0</v>
      </c>
      <c r="G64" s="152" t="e">
        <f t="shared" si="5"/>
        <v>#DIV/0!</v>
      </c>
      <c r="H64" s="152" t="e">
        <f t="shared" si="6"/>
        <v>#DIV/0!</v>
      </c>
      <c r="I64" s="152" t="e">
        <f t="shared" si="7"/>
        <v>#DIV/0!</v>
      </c>
      <c r="J64" s="152">
        <v>35845.71428571429</v>
      </c>
    </row>
    <row r="65" spans="1:10" s="26" customFormat="1" ht="17.25" hidden="1" x14ac:dyDescent="0.3">
      <c r="A65" s="95"/>
      <c r="B65" s="153">
        <f>'Top Level Summary Pivots'!M9</f>
        <v>0</v>
      </c>
      <c r="C65" s="154">
        <f>'Top Level Summary Pivots'!N9</f>
        <v>0</v>
      </c>
      <c r="D65" s="154">
        <f>'Top Level Summary Pivots'!O9</f>
        <v>0</v>
      </c>
      <c r="E65" s="154">
        <f>'Top Level Summary Pivots'!P9</f>
        <v>0</v>
      </c>
      <c r="F65" s="155">
        <f>'Top Level Summary Pivots'!Q9</f>
        <v>0</v>
      </c>
      <c r="G65" s="156" t="e">
        <f t="shared" si="5"/>
        <v>#DIV/0!</v>
      </c>
      <c r="H65" s="156" t="e">
        <f t="shared" si="6"/>
        <v>#DIV/0!</v>
      </c>
      <c r="I65" s="156" t="e">
        <f t="shared" si="7"/>
        <v>#DIV/0!</v>
      </c>
      <c r="J65" s="156">
        <v>35845.71428571429</v>
      </c>
    </row>
    <row r="66" spans="1:10" s="26" customFormat="1" ht="17.25" hidden="1" x14ac:dyDescent="0.3">
      <c r="A66" s="95"/>
      <c r="B66" s="149">
        <f>'Top Level Summary Pivots'!M10</f>
        <v>0</v>
      </c>
      <c r="C66" s="150">
        <f>'Top Level Summary Pivots'!N10</f>
        <v>0</v>
      </c>
      <c r="D66" s="150">
        <f>'Top Level Summary Pivots'!O10</f>
        <v>0</v>
      </c>
      <c r="E66" s="150">
        <f>'Top Level Summary Pivots'!P10</f>
        <v>0</v>
      </c>
      <c r="F66" s="151">
        <f>'Top Level Summary Pivots'!Q10</f>
        <v>0</v>
      </c>
      <c r="G66" s="152" t="e">
        <f t="shared" si="5"/>
        <v>#DIV/0!</v>
      </c>
      <c r="H66" s="152" t="e">
        <f t="shared" si="6"/>
        <v>#DIV/0!</v>
      </c>
      <c r="I66" s="152" t="e">
        <f t="shared" si="7"/>
        <v>#DIV/0!</v>
      </c>
      <c r="J66" s="152">
        <v>35845.71428571429</v>
      </c>
    </row>
    <row r="67" spans="1:10" s="26" customFormat="1" ht="17.25" hidden="1" x14ac:dyDescent="0.3">
      <c r="A67" s="95"/>
      <c r="B67" s="153">
        <f>'Top Level Summary Pivots'!M11</f>
        <v>0</v>
      </c>
      <c r="C67" s="154">
        <f>'Top Level Summary Pivots'!N11</f>
        <v>0</v>
      </c>
      <c r="D67" s="154">
        <f>'Top Level Summary Pivots'!O11</f>
        <v>0</v>
      </c>
      <c r="E67" s="154">
        <f>'Top Level Summary Pivots'!P11</f>
        <v>0</v>
      </c>
      <c r="F67" s="155">
        <f>'Top Level Summary Pivots'!Q11</f>
        <v>0</v>
      </c>
      <c r="G67" s="156" t="e">
        <f t="shared" si="5"/>
        <v>#DIV/0!</v>
      </c>
      <c r="H67" s="156" t="e">
        <f t="shared" si="6"/>
        <v>#DIV/0!</v>
      </c>
      <c r="I67" s="156" t="e">
        <f t="shared" si="7"/>
        <v>#DIV/0!</v>
      </c>
      <c r="J67" s="156">
        <v>35845.71428571429</v>
      </c>
    </row>
    <row r="68" spans="1:10" s="26" customFormat="1" ht="17.25" hidden="1" x14ac:dyDescent="0.3">
      <c r="A68" s="95"/>
      <c r="B68" s="149">
        <f>'Top Level Summary Pivots'!M12</f>
        <v>0</v>
      </c>
      <c r="C68" s="150">
        <f>'Top Level Summary Pivots'!N12</f>
        <v>0</v>
      </c>
      <c r="D68" s="150">
        <f>'Top Level Summary Pivots'!O12</f>
        <v>0</v>
      </c>
      <c r="E68" s="150">
        <f>'Top Level Summary Pivots'!P12</f>
        <v>0</v>
      </c>
      <c r="F68" s="151">
        <f>'Top Level Summary Pivots'!Q12</f>
        <v>0</v>
      </c>
      <c r="G68" s="152" t="e">
        <f t="shared" si="5"/>
        <v>#DIV/0!</v>
      </c>
      <c r="H68" s="152" t="e">
        <f t="shared" si="6"/>
        <v>#DIV/0!</v>
      </c>
      <c r="I68" s="152" t="e">
        <f t="shared" si="7"/>
        <v>#DIV/0!</v>
      </c>
      <c r="J68" s="152">
        <v>35845.71428571429</v>
      </c>
    </row>
    <row r="69" spans="1:10" s="26" customFormat="1" ht="17.25" hidden="1" x14ac:dyDescent="0.3">
      <c r="A69" s="95"/>
      <c r="B69" s="153">
        <f>'Top Level Summary Pivots'!M13</f>
        <v>0</v>
      </c>
      <c r="C69" s="154">
        <f>'Top Level Summary Pivots'!N13</f>
        <v>0</v>
      </c>
      <c r="D69" s="154">
        <f>'Top Level Summary Pivots'!O13</f>
        <v>0</v>
      </c>
      <c r="E69" s="154">
        <f>'Top Level Summary Pivots'!P13</f>
        <v>0</v>
      </c>
      <c r="F69" s="155">
        <f>'Top Level Summary Pivots'!Q13</f>
        <v>0</v>
      </c>
      <c r="G69" s="156" t="e">
        <f t="shared" si="5"/>
        <v>#DIV/0!</v>
      </c>
      <c r="H69" s="156" t="e">
        <f t="shared" si="6"/>
        <v>#DIV/0!</v>
      </c>
      <c r="I69" s="156" t="e">
        <f t="shared" si="7"/>
        <v>#DIV/0!</v>
      </c>
      <c r="J69" s="156">
        <v>35845.71428571429</v>
      </c>
    </row>
    <row r="70" spans="1:10" s="26" customFormat="1" ht="17.25" hidden="1" x14ac:dyDescent="0.3">
      <c r="A70" s="95"/>
      <c r="B70" s="149">
        <f>'Top Level Summary Pivots'!M14</f>
        <v>0</v>
      </c>
      <c r="C70" s="150">
        <f>'Top Level Summary Pivots'!N14</f>
        <v>0</v>
      </c>
      <c r="D70" s="150">
        <f>'Top Level Summary Pivots'!O14</f>
        <v>0</v>
      </c>
      <c r="E70" s="150">
        <f>'Top Level Summary Pivots'!P14</f>
        <v>0</v>
      </c>
      <c r="F70" s="151">
        <f>'Top Level Summary Pivots'!Q14</f>
        <v>0</v>
      </c>
      <c r="G70" s="152" t="e">
        <f t="shared" si="5"/>
        <v>#DIV/0!</v>
      </c>
      <c r="H70" s="152" t="e">
        <f t="shared" si="6"/>
        <v>#DIV/0!</v>
      </c>
      <c r="I70" s="152" t="e">
        <f t="shared" si="7"/>
        <v>#DIV/0!</v>
      </c>
      <c r="J70" s="152">
        <v>35845.71428571429</v>
      </c>
    </row>
    <row r="71" spans="1:10" s="26" customFormat="1" ht="17.25" hidden="1" x14ac:dyDescent="0.3">
      <c r="A71" s="95"/>
      <c r="B71" s="153">
        <f>'Top Level Summary Pivots'!M15</f>
        <v>0</v>
      </c>
      <c r="C71" s="154">
        <f>'Top Level Summary Pivots'!N15</f>
        <v>0</v>
      </c>
      <c r="D71" s="154">
        <f>'Top Level Summary Pivots'!O15</f>
        <v>0</v>
      </c>
      <c r="E71" s="154">
        <f>'Top Level Summary Pivots'!P15</f>
        <v>0</v>
      </c>
      <c r="F71" s="155">
        <f>'Top Level Summary Pivots'!Q15</f>
        <v>0</v>
      </c>
      <c r="G71" s="156" t="e">
        <f t="shared" si="5"/>
        <v>#DIV/0!</v>
      </c>
      <c r="H71" s="156" t="e">
        <f t="shared" si="6"/>
        <v>#DIV/0!</v>
      </c>
      <c r="I71" s="156" t="e">
        <f t="shared" si="7"/>
        <v>#DIV/0!</v>
      </c>
      <c r="J71" s="156">
        <v>35845.71428571429</v>
      </c>
    </row>
    <row r="72" spans="1:10" s="26" customFormat="1" ht="17.25" hidden="1" x14ac:dyDescent="0.3">
      <c r="A72" s="95"/>
      <c r="B72" s="149">
        <f>'Top Level Summary Pivots'!M16</f>
        <v>0</v>
      </c>
      <c r="C72" s="150">
        <f>'Top Level Summary Pivots'!N16</f>
        <v>0</v>
      </c>
      <c r="D72" s="150">
        <f>'Top Level Summary Pivots'!O16</f>
        <v>0</v>
      </c>
      <c r="E72" s="150">
        <f>'Top Level Summary Pivots'!P16</f>
        <v>0</v>
      </c>
      <c r="F72" s="151">
        <f>'Top Level Summary Pivots'!Q16</f>
        <v>0</v>
      </c>
      <c r="G72" s="152" t="e">
        <f t="shared" si="5"/>
        <v>#DIV/0!</v>
      </c>
      <c r="H72" s="152" t="e">
        <f t="shared" si="6"/>
        <v>#DIV/0!</v>
      </c>
      <c r="I72" s="152" t="e">
        <f t="shared" si="7"/>
        <v>#DIV/0!</v>
      </c>
      <c r="J72" s="152">
        <v>35845.71428571429</v>
      </c>
    </row>
    <row r="73" spans="1:10" s="26" customFormat="1" ht="17.25" hidden="1" x14ac:dyDescent="0.3">
      <c r="A73" s="95"/>
      <c r="B73" s="153">
        <f>'Top Level Summary Pivots'!M17</f>
        <v>0</v>
      </c>
      <c r="C73" s="154">
        <f>'Top Level Summary Pivots'!N17</f>
        <v>0</v>
      </c>
      <c r="D73" s="154">
        <f>'Top Level Summary Pivots'!O17</f>
        <v>0</v>
      </c>
      <c r="E73" s="154">
        <f>'Top Level Summary Pivots'!P17</f>
        <v>0</v>
      </c>
      <c r="F73" s="155">
        <f>'Top Level Summary Pivots'!Q17</f>
        <v>0</v>
      </c>
      <c r="G73" s="156" t="e">
        <f t="shared" si="5"/>
        <v>#DIV/0!</v>
      </c>
      <c r="H73" s="156" t="e">
        <f t="shared" si="6"/>
        <v>#DIV/0!</v>
      </c>
      <c r="I73" s="156" t="e">
        <f t="shared" si="7"/>
        <v>#DIV/0!</v>
      </c>
      <c r="J73" s="156">
        <v>35845.71428571429</v>
      </c>
    </row>
    <row r="74" spans="1:10" s="26" customFormat="1" ht="17.25" hidden="1" x14ac:dyDescent="0.3">
      <c r="A74" s="95"/>
      <c r="B74" s="149">
        <f>'Top Level Summary Pivots'!M18</f>
        <v>0</v>
      </c>
      <c r="C74" s="150">
        <f>'Top Level Summary Pivots'!N18</f>
        <v>0</v>
      </c>
      <c r="D74" s="150">
        <f>'Top Level Summary Pivots'!O18</f>
        <v>0</v>
      </c>
      <c r="E74" s="150">
        <f>'Top Level Summary Pivots'!P18</f>
        <v>0</v>
      </c>
      <c r="F74" s="151">
        <f>'Top Level Summary Pivots'!Q18</f>
        <v>0</v>
      </c>
      <c r="G74" s="152" t="e">
        <f t="shared" si="5"/>
        <v>#DIV/0!</v>
      </c>
      <c r="H74" s="152" t="e">
        <f t="shared" si="6"/>
        <v>#DIV/0!</v>
      </c>
      <c r="I74" s="152" t="e">
        <f t="shared" si="7"/>
        <v>#DIV/0!</v>
      </c>
      <c r="J74" s="152">
        <v>35845.71428571429</v>
      </c>
    </row>
    <row r="75" spans="1:10" s="26" customFormat="1" ht="17.25" hidden="1" x14ac:dyDescent="0.3">
      <c r="A75" s="95"/>
      <c r="B75" s="153">
        <f>'Top Level Summary Pivots'!M19</f>
        <v>0</v>
      </c>
      <c r="C75" s="154">
        <f>'Top Level Summary Pivots'!N19</f>
        <v>0</v>
      </c>
      <c r="D75" s="154">
        <f>'Top Level Summary Pivots'!O19</f>
        <v>0</v>
      </c>
      <c r="E75" s="154">
        <f>'Top Level Summary Pivots'!P19</f>
        <v>0</v>
      </c>
      <c r="F75" s="155">
        <f>'Top Level Summary Pivots'!Q19</f>
        <v>0</v>
      </c>
      <c r="G75" s="156" t="e">
        <f t="shared" si="5"/>
        <v>#DIV/0!</v>
      </c>
      <c r="H75" s="156" t="e">
        <f t="shared" si="6"/>
        <v>#DIV/0!</v>
      </c>
      <c r="I75" s="156" t="e">
        <f t="shared" si="7"/>
        <v>#DIV/0!</v>
      </c>
      <c r="J75" s="156">
        <v>35845.71428571429</v>
      </c>
    </row>
    <row r="76" spans="1:10" s="26" customFormat="1" ht="17.25" hidden="1" x14ac:dyDescent="0.3">
      <c r="A76" s="95"/>
      <c r="B76" s="149">
        <f>'Top Level Summary Pivots'!M20</f>
        <v>0</v>
      </c>
      <c r="C76" s="150">
        <f>'Top Level Summary Pivots'!N20</f>
        <v>0</v>
      </c>
      <c r="D76" s="150">
        <f>'Top Level Summary Pivots'!O20</f>
        <v>0</v>
      </c>
      <c r="E76" s="150">
        <f>'Top Level Summary Pivots'!P20</f>
        <v>0</v>
      </c>
      <c r="F76" s="151">
        <f>'Top Level Summary Pivots'!Q20</f>
        <v>0</v>
      </c>
      <c r="G76" s="152" t="e">
        <f t="shared" si="5"/>
        <v>#DIV/0!</v>
      </c>
      <c r="H76" s="152" t="e">
        <f t="shared" si="6"/>
        <v>#DIV/0!</v>
      </c>
      <c r="I76" s="152" t="e">
        <f t="shared" si="7"/>
        <v>#DIV/0!</v>
      </c>
      <c r="J76" s="152">
        <v>35845.71428571429</v>
      </c>
    </row>
    <row r="77" spans="1:10" s="26" customFormat="1" ht="17.25" hidden="1" x14ac:dyDescent="0.3">
      <c r="A77" s="95"/>
      <c r="B77" s="153">
        <f>'Top Level Summary Pivots'!M21</f>
        <v>0</v>
      </c>
      <c r="C77" s="154">
        <f>'Top Level Summary Pivots'!N21</f>
        <v>0</v>
      </c>
      <c r="D77" s="154">
        <f>'Top Level Summary Pivots'!O21</f>
        <v>0</v>
      </c>
      <c r="E77" s="154">
        <f>'Top Level Summary Pivots'!P21</f>
        <v>0</v>
      </c>
      <c r="F77" s="155">
        <f>'Top Level Summary Pivots'!Q21</f>
        <v>0</v>
      </c>
      <c r="G77" s="156" t="e">
        <f t="shared" si="5"/>
        <v>#DIV/0!</v>
      </c>
      <c r="H77" s="156" t="e">
        <f t="shared" si="6"/>
        <v>#DIV/0!</v>
      </c>
      <c r="I77" s="156" t="e">
        <f t="shared" si="7"/>
        <v>#DIV/0!</v>
      </c>
      <c r="J77" s="156">
        <v>35845.71428571429</v>
      </c>
    </row>
    <row r="78" spans="1:10" s="26" customFormat="1" ht="16.8" x14ac:dyDescent="0.35">
      <c r="A78" s="95"/>
      <c r="B78" s="157" t="s">
        <v>1</v>
      </c>
      <c r="C78" s="158">
        <f>SUM(C60:C77)/2</f>
        <v>5837000</v>
      </c>
      <c r="D78" s="158">
        <f t="shared" ref="D78:E78" si="8">SUM(D60:D77)/2</f>
        <v>1127730</v>
      </c>
      <c r="E78" s="158">
        <f t="shared" si="8"/>
        <v>3796</v>
      </c>
      <c r="F78" s="159">
        <f>E78/D78</f>
        <v>3.3660539313488157E-3</v>
      </c>
      <c r="G78" s="160">
        <f t="shared" ref="G78" si="9">(J78/C78)*1000</f>
        <v>34.264176803152303</v>
      </c>
      <c r="H78" s="160">
        <f t="shared" ref="H78" si="10">I78/D78*1000</f>
        <v>34.264176803152303</v>
      </c>
      <c r="I78" s="160">
        <f t="shared" ref="I78" si="11">J78/(C78/1000)*(D78/1000)</f>
        <v>38640.740106218946</v>
      </c>
      <c r="J78" s="160">
        <v>200000</v>
      </c>
    </row>
    <row r="79" spans="1:10" ht="16.8" x14ac:dyDescent="0.35">
      <c r="A79" s="95"/>
    </row>
    <row r="80" spans="1:10" ht="16.8" x14ac:dyDescent="0.35">
      <c r="A80" s="95"/>
      <c r="B80" s="22" t="s">
        <v>100</v>
      </c>
    </row>
    <row r="81" spans="1:10" ht="16.8" x14ac:dyDescent="0.35">
      <c r="A81" s="95"/>
      <c r="F81" s="9" t="s">
        <v>98</v>
      </c>
    </row>
    <row r="82" spans="1:10" ht="17.25" hidden="1" x14ac:dyDescent="0.3">
      <c r="A82" s="95"/>
      <c r="B82" s="135"/>
      <c r="C82" s="135"/>
      <c r="D82"/>
      <c r="E82"/>
      <c r="F82"/>
      <c r="G82"/>
      <c r="H82"/>
      <c r="I82"/>
      <c r="J82"/>
    </row>
    <row r="83" spans="1:10" ht="17.25" hidden="1" x14ac:dyDescent="0.3">
      <c r="A83" s="95"/>
      <c r="B83"/>
      <c r="C83"/>
      <c r="D83"/>
      <c r="E83"/>
      <c r="F83"/>
      <c r="G83"/>
      <c r="H83"/>
      <c r="I83"/>
      <c r="J83"/>
    </row>
    <row r="84" spans="1:10" ht="17.25" hidden="1" x14ac:dyDescent="0.3">
      <c r="A84" s="95"/>
      <c r="B84" s="135"/>
      <c r="C84" s="135"/>
      <c r="D84" s="135"/>
      <c r="E84" s="135"/>
      <c r="F84" s="135"/>
      <c r="G84" s="135"/>
      <c r="H84"/>
      <c r="I84"/>
      <c r="J84"/>
    </row>
    <row r="85" spans="1:10" ht="16.8" x14ac:dyDescent="0.35">
      <c r="A85" s="95"/>
      <c r="B85" s="163" t="s">
        <v>3</v>
      </c>
      <c r="C85" s="148" t="s">
        <v>74</v>
      </c>
      <c r="D85" s="167" t="s">
        <v>106</v>
      </c>
      <c r="E85" s="148" t="s">
        <v>70</v>
      </c>
      <c r="F85" s="167" t="s">
        <v>107</v>
      </c>
      <c r="G85" s="148" t="s">
        <v>66</v>
      </c>
      <c r="H85"/>
    </row>
    <row r="86" spans="1:10" ht="16.8" x14ac:dyDescent="0.35">
      <c r="A86" s="95"/>
      <c r="B86" s="149" t="str">
        <f>'Top Level Summary Pivots'!W4</f>
        <v>Arabian Business</v>
      </c>
      <c r="C86" s="150">
        <f>'Top Level Summary Pivots'!X4</f>
        <v>500000</v>
      </c>
      <c r="D86" s="150">
        <f>'Top Level Summary Pivots'!Y4</f>
        <v>98988</v>
      </c>
      <c r="E86" s="150">
        <f>'Top Level Summary Pivots'!Z4</f>
        <v>989</v>
      </c>
      <c r="F86" s="151">
        <f>'Top Level Summary Pivots'!AA4</f>
        <v>0.19797600000000001</v>
      </c>
      <c r="G86" s="151">
        <f>'Top Level Summary Pivots'!AB4</f>
        <v>9.9911100335394187E-3</v>
      </c>
      <c r="H86"/>
    </row>
    <row r="87" spans="1:10" ht="16.8" x14ac:dyDescent="0.35">
      <c r="A87" s="95"/>
      <c r="B87" s="153" t="str">
        <f>'Top Level Summary Pivots'!W5</f>
        <v>EmailCiti</v>
      </c>
      <c r="C87" s="154">
        <f>'Top Level Summary Pivots'!X5</f>
        <v>500000</v>
      </c>
      <c r="D87" s="154">
        <f>'Top Level Summary Pivots'!Y5</f>
        <v>787878</v>
      </c>
      <c r="E87" s="154">
        <f>'Top Level Summary Pivots'!Z5</f>
        <v>977</v>
      </c>
      <c r="F87" s="155">
        <f>'Top Level Summary Pivots'!AA5</f>
        <v>1.5757559999999999</v>
      </c>
      <c r="G87" s="155">
        <f>'Top Level Summary Pivots'!AB5</f>
        <v>1.240039701578163E-3</v>
      </c>
      <c r="H87"/>
    </row>
    <row r="88" spans="1:10" ht="17.25" hidden="1" x14ac:dyDescent="0.3">
      <c r="A88" s="95"/>
      <c r="B88" s="149" t="str">
        <f>'Top Level Summary Pivots'!W6</f>
        <v>Grand Total</v>
      </c>
      <c r="C88" s="150">
        <f>'Top Level Summary Pivots'!X6</f>
        <v>1000000</v>
      </c>
      <c r="D88" s="150">
        <f>'Top Level Summary Pivots'!Y6</f>
        <v>886866</v>
      </c>
      <c r="E88" s="150">
        <f>'Top Level Summary Pivots'!Z6</f>
        <v>1966</v>
      </c>
      <c r="F88" s="151">
        <f>'Top Level Summary Pivots'!AA6</f>
        <v>0.88686600000000004</v>
      </c>
      <c r="G88" s="151">
        <f>'Top Level Summary Pivots'!AB6</f>
        <v>2.2167948709275135E-3</v>
      </c>
      <c r="H88"/>
      <c r="I88"/>
      <c r="J88"/>
    </row>
    <row r="89" spans="1:10" ht="17.25" hidden="1" x14ac:dyDescent="0.3">
      <c r="A89" s="95"/>
      <c r="B89" s="153">
        <f>'Top Level Summary Pivots'!W7</f>
        <v>0</v>
      </c>
      <c r="C89" s="154">
        <f>'Top Level Summary Pivots'!X7</f>
        <v>0</v>
      </c>
      <c r="D89" s="154">
        <f>'Top Level Summary Pivots'!Y7</f>
        <v>0</v>
      </c>
      <c r="E89" s="154">
        <f>'Top Level Summary Pivots'!Z7</f>
        <v>0</v>
      </c>
      <c r="F89" s="155">
        <f>'Top Level Summary Pivots'!AA7</f>
        <v>0</v>
      </c>
      <c r="G89" s="155">
        <f>'Top Level Summary Pivots'!AB7</f>
        <v>0</v>
      </c>
      <c r="H89"/>
      <c r="I89"/>
      <c r="J89"/>
    </row>
    <row r="90" spans="1:10" ht="17.25" hidden="1" x14ac:dyDescent="0.3">
      <c r="A90" s="95"/>
      <c r="B90" s="149">
        <f>'Top Level Summary Pivots'!W8</f>
        <v>0</v>
      </c>
      <c r="C90" s="150">
        <f>'Top Level Summary Pivots'!X8</f>
        <v>0</v>
      </c>
      <c r="D90" s="150">
        <f>'Top Level Summary Pivots'!Y8</f>
        <v>0</v>
      </c>
      <c r="E90" s="150">
        <f>'Top Level Summary Pivots'!Z8</f>
        <v>0</v>
      </c>
      <c r="F90" s="151">
        <f>'Top Level Summary Pivots'!AA8</f>
        <v>0</v>
      </c>
      <c r="G90" s="151">
        <f>'Top Level Summary Pivots'!AB8</f>
        <v>0</v>
      </c>
      <c r="H90"/>
      <c r="I90"/>
      <c r="J90"/>
    </row>
    <row r="91" spans="1:10" ht="17.25" hidden="1" x14ac:dyDescent="0.3">
      <c r="A91" s="95"/>
      <c r="B91" s="153">
        <f>'Top Level Summary Pivots'!W9</f>
        <v>0</v>
      </c>
      <c r="C91" s="154">
        <f>'Top Level Summary Pivots'!X9</f>
        <v>0</v>
      </c>
      <c r="D91" s="154">
        <f>'Top Level Summary Pivots'!Y9</f>
        <v>0</v>
      </c>
      <c r="E91" s="154">
        <f>'Top Level Summary Pivots'!Z9</f>
        <v>0</v>
      </c>
      <c r="F91" s="155">
        <f>'Top Level Summary Pivots'!AA9</f>
        <v>0</v>
      </c>
      <c r="G91" s="155">
        <f>'Top Level Summary Pivots'!AB9</f>
        <v>0</v>
      </c>
      <c r="H91"/>
      <c r="I91"/>
      <c r="J91"/>
    </row>
    <row r="92" spans="1:10" ht="17.25" hidden="1" x14ac:dyDescent="0.3">
      <c r="A92" s="95"/>
      <c r="B92" s="149">
        <f>'Top Level Summary Pivots'!W10</f>
        <v>0</v>
      </c>
      <c r="C92" s="150">
        <f>'Top Level Summary Pivots'!X10</f>
        <v>0</v>
      </c>
      <c r="D92" s="150">
        <f>'Top Level Summary Pivots'!Y10</f>
        <v>0</v>
      </c>
      <c r="E92" s="150">
        <f>'Top Level Summary Pivots'!Z10</f>
        <v>0</v>
      </c>
      <c r="F92" s="151">
        <f>'Top Level Summary Pivots'!AA10</f>
        <v>0</v>
      </c>
      <c r="G92" s="151">
        <f>'Top Level Summary Pivots'!AB10</f>
        <v>0</v>
      </c>
      <c r="H92"/>
      <c r="I92"/>
      <c r="J92"/>
    </row>
    <row r="93" spans="1:10" ht="17.25" hidden="1" x14ac:dyDescent="0.3">
      <c r="A93" s="95"/>
      <c r="B93" s="153">
        <f>'Top Level Summary Pivots'!W11</f>
        <v>0</v>
      </c>
      <c r="C93" s="154">
        <f>'Top Level Summary Pivots'!X11</f>
        <v>0</v>
      </c>
      <c r="D93" s="154">
        <f>'Top Level Summary Pivots'!Y11</f>
        <v>0</v>
      </c>
      <c r="E93" s="154">
        <f>'Top Level Summary Pivots'!Z11</f>
        <v>0</v>
      </c>
      <c r="F93" s="155">
        <f>'Top Level Summary Pivots'!AA11</f>
        <v>0</v>
      </c>
      <c r="G93" s="155">
        <f>'Top Level Summary Pivots'!AB11</f>
        <v>0</v>
      </c>
      <c r="H93"/>
      <c r="I93"/>
      <c r="J93"/>
    </row>
    <row r="94" spans="1:10" ht="17.25" hidden="1" x14ac:dyDescent="0.3">
      <c r="A94" s="95"/>
      <c r="B94" s="149">
        <f>'Top Level Summary Pivots'!W12</f>
        <v>0</v>
      </c>
      <c r="C94" s="150">
        <f>'Top Level Summary Pivots'!X12</f>
        <v>0</v>
      </c>
      <c r="D94" s="150">
        <f>'Top Level Summary Pivots'!Y12</f>
        <v>0</v>
      </c>
      <c r="E94" s="150">
        <f>'Top Level Summary Pivots'!Z12</f>
        <v>0</v>
      </c>
      <c r="F94" s="151">
        <f>'Top Level Summary Pivots'!AA12</f>
        <v>0</v>
      </c>
      <c r="G94" s="151">
        <f>'Top Level Summary Pivots'!AB12</f>
        <v>0</v>
      </c>
      <c r="H94"/>
      <c r="I94"/>
      <c r="J94"/>
    </row>
    <row r="95" spans="1:10" ht="17.25" hidden="1" x14ac:dyDescent="0.3">
      <c r="A95" s="95"/>
      <c r="B95" s="153">
        <f>'Top Level Summary Pivots'!W13</f>
        <v>0</v>
      </c>
      <c r="C95" s="154">
        <f>'Top Level Summary Pivots'!X13</f>
        <v>0</v>
      </c>
      <c r="D95" s="154">
        <f>'Top Level Summary Pivots'!Y13</f>
        <v>0</v>
      </c>
      <c r="E95" s="154">
        <f>'Top Level Summary Pivots'!Z13</f>
        <v>0</v>
      </c>
      <c r="F95" s="155">
        <f>'Top Level Summary Pivots'!AA13</f>
        <v>0</v>
      </c>
      <c r="G95" s="155">
        <f>'Top Level Summary Pivots'!AB13</f>
        <v>0</v>
      </c>
      <c r="H95"/>
      <c r="I95"/>
      <c r="J95"/>
    </row>
    <row r="96" spans="1:10" ht="17.25" hidden="1" x14ac:dyDescent="0.3">
      <c r="A96" s="95"/>
      <c r="B96" s="149">
        <f>'Top Level Summary Pivots'!W14</f>
        <v>0</v>
      </c>
      <c r="C96" s="150">
        <f>'Top Level Summary Pivots'!X14</f>
        <v>0</v>
      </c>
      <c r="D96" s="150">
        <f>'Top Level Summary Pivots'!Y14</f>
        <v>0</v>
      </c>
      <c r="E96" s="150">
        <f>'Top Level Summary Pivots'!Z14</f>
        <v>0</v>
      </c>
      <c r="F96" s="151">
        <f>'Top Level Summary Pivots'!AA14</f>
        <v>0</v>
      </c>
      <c r="G96" s="151">
        <f>'Top Level Summary Pivots'!AB14</f>
        <v>0</v>
      </c>
      <c r="H96"/>
      <c r="I96"/>
      <c r="J96"/>
    </row>
    <row r="97" spans="1:10" ht="17.25" hidden="1" x14ac:dyDescent="0.3">
      <c r="A97" s="95"/>
      <c r="B97" s="153">
        <f>'Top Level Summary Pivots'!W15</f>
        <v>0</v>
      </c>
      <c r="C97" s="154">
        <f>'Top Level Summary Pivots'!X15</f>
        <v>0</v>
      </c>
      <c r="D97" s="154">
        <f>'Top Level Summary Pivots'!Y15</f>
        <v>0</v>
      </c>
      <c r="E97" s="154">
        <f>'Top Level Summary Pivots'!Z15</f>
        <v>0</v>
      </c>
      <c r="F97" s="155">
        <f>'Top Level Summary Pivots'!AA15</f>
        <v>0</v>
      </c>
      <c r="G97" s="155">
        <f>'Top Level Summary Pivots'!AB15</f>
        <v>0</v>
      </c>
      <c r="H97"/>
      <c r="I97"/>
      <c r="J97"/>
    </row>
    <row r="98" spans="1:10" ht="17.25" hidden="1" x14ac:dyDescent="0.3">
      <c r="A98" s="95"/>
      <c r="B98" s="149">
        <f>'Top Level Summary Pivots'!W16</f>
        <v>0</v>
      </c>
      <c r="C98" s="150">
        <f>'Top Level Summary Pivots'!X16</f>
        <v>0</v>
      </c>
      <c r="D98" s="150">
        <f>'Top Level Summary Pivots'!Y16</f>
        <v>0</v>
      </c>
      <c r="E98" s="150">
        <f>'Top Level Summary Pivots'!Z16</f>
        <v>0</v>
      </c>
      <c r="F98" s="151">
        <f>'Top Level Summary Pivots'!AA16</f>
        <v>0</v>
      </c>
      <c r="G98" s="151">
        <f>'Top Level Summary Pivots'!AB16</f>
        <v>0</v>
      </c>
      <c r="H98"/>
      <c r="I98"/>
      <c r="J98"/>
    </row>
    <row r="99" spans="1:10" ht="17.25" hidden="1" x14ac:dyDescent="0.3">
      <c r="A99" s="95"/>
      <c r="B99" s="153">
        <f>'Top Level Summary Pivots'!W17</f>
        <v>0</v>
      </c>
      <c r="C99" s="154">
        <f>'Top Level Summary Pivots'!X17</f>
        <v>0</v>
      </c>
      <c r="D99" s="154">
        <f>'Top Level Summary Pivots'!Y17</f>
        <v>0</v>
      </c>
      <c r="E99" s="154">
        <f>'Top Level Summary Pivots'!Z17</f>
        <v>0</v>
      </c>
      <c r="F99" s="155">
        <f>'Top Level Summary Pivots'!AA17</f>
        <v>0</v>
      </c>
      <c r="G99" s="155">
        <f>'Top Level Summary Pivots'!AB17</f>
        <v>0</v>
      </c>
      <c r="H99"/>
      <c r="I99"/>
      <c r="J99"/>
    </row>
    <row r="100" spans="1:10" ht="17.25" hidden="1" x14ac:dyDescent="0.3">
      <c r="A100" s="95"/>
      <c r="B100" s="149">
        <f>'Top Level Summary Pivots'!W18</f>
        <v>0</v>
      </c>
      <c r="C100" s="150">
        <f>'Top Level Summary Pivots'!X18</f>
        <v>0</v>
      </c>
      <c r="D100" s="150">
        <f>'Top Level Summary Pivots'!Y18</f>
        <v>0</v>
      </c>
      <c r="E100" s="150">
        <f>'Top Level Summary Pivots'!Z18</f>
        <v>0</v>
      </c>
      <c r="F100" s="151">
        <f>'Top Level Summary Pivots'!AA18</f>
        <v>0</v>
      </c>
      <c r="G100" s="151">
        <f>'Top Level Summary Pivots'!AB18</f>
        <v>0</v>
      </c>
      <c r="H100"/>
      <c r="I100"/>
      <c r="J100"/>
    </row>
    <row r="101" spans="1:10" ht="17.25" hidden="1" x14ac:dyDescent="0.3">
      <c r="A101" s="95"/>
      <c r="B101" s="153">
        <f>'Top Level Summary Pivots'!W19</f>
        <v>0</v>
      </c>
      <c r="C101" s="154">
        <f>'Top Level Summary Pivots'!X19</f>
        <v>0</v>
      </c>
      <c r="D101" s="154">
        <f>'Top Level Summary Pivots'!Y19</f>
        <v>0</v>
      </c>
      <c r="E101" s="154">
        <f>'Top Level Summary Pivots'!Z19</f>
        <v>0</v>
      </c>
      <c r="F101" s="155">
        <f>'Top Level Summary Pivots'!AA19</f>
        <v>0</v>
      </c>
      <c r="G101" s="155">
        <f>'Top Level Summary Pivots'!AB19</f>
        <v>0</v>
      </c>
    </row>
    <row r="102" spans="1:10" ht="16.8" x14ac:dyDescent="0.35">
      <c r="A102" s="95"/>
      <c r="B102" s="157" t="s">
        <v>1</v>
      </c>
      <c r="C102" s="158">
        <f>SUM(C86:C101)/2</f>
        <v>1000000</v>
      </c>
      <c r="D102" s="158">
        <f t="shared" ref="D102:E102" si="12">SUM(D86:D101)/2</f>
        <v>886866</v>
      </c>
      <c r="E102" s="158">
        <f t="shared" si="12"/>
        <v>1966</v>
      </c>
      <c r="F102" s="159">
        <v>0.88686600000000004</v>
      </c>
      <c r="G102" s="159">
        <f>F102/E102</f>
        <v>4.5110172939979656E-4</v>
      </c>
      <c r="H102"/>
      <c r="I102"/>
      <c r="J102"/>
    </row>
    <row r="103" spans="1:10" ht="16.8" x14ac:dyDescent="0.35">
      <c r="A103" s="95"/>
    </row>
    <row r="104" spans="1:10" ht="16.8" x14ac:dyDescent="0.35">
      <c r="A104" s="95"/>
      <c r="B104" s="22" t="s">
        <v>101</v>
      </c>
    </row>
    <row r="105" spans="1:10" ht="16.8" x14ac:dyDescent="0.35">
      <c r="A105" s="95"/>
      <c r="F105" s="9" t="s">
        <v>98</v>
      </c>
      <c r="G105" s="9" t="s">
        <v>98</v>
      </c>
      <c r="H105" s="9" t="s">
        <v>98</v>
      </c>
      <c r="I105" s="9" t="s">
        <v>98</v>
      </c>
      <c r="J105" s="9" t="s">
        <v>99</v>
      </c>
    </row>
    <row r="106" spans="1:10" ht="17.25" hidden="1" x14ac:dyDescent="0.3">
      <c r="A106" s="95"/>
      <c r="B106" s="135"/>
      <c r="C106" s="135"/>
      <c r="D106"/>
      <c r="E106"/>
      <c r="F106"/>
      <c r="G106"/>
      <c r="H106"/>
      <c r="I106"/>
      <c r="J106"/>
    </row>
    <row r="107" spans="1:10" ht="17.25" hidden="1" x14ac:dyDescent="0.3">
      <c r="A107" s="95"/>
      <c r="B107"/>
      <c r="C107"/>
      <c r="D107"/>
      <c r="E107"/>
      <c r="F107"/>
      <c r="G107"/>
      <c r="H107"/>
      <c r="I107"/>
      <c r="J107"/>
    </row>
    <row r="108" spans="1:10" ht="17.25" hidden="1" x14ac:dyDescent="0.3">
      <c r="A108" s="95"/>
      <c r="B108" s="135"/>
      <c r="C108" s="135"/>
      <c r="D108" s="135"/>
      <c r="E108" s="135"/>
      <c r="F108" s="135"/>
      <c r="G108"/>
      <c r="H108"/>
      <c r="I108"/>
      <c r="J108"/>
    </row>
    <row r="109" spans="1:10" ht="16.8" x14ac:dyDescent="0.35">
      <c r="A109" s="95"/>
      <c r="B109" s="163" t="s">
        <v>3</v>
      </c>
      <c r="C109" s="148" t="s">
        <v>74</v>
      </c>
      <c r="D109" s="148" t="s">
        <v>14</v>
      </c>
      <c r="E109" s="148" t="s">
        <v>70</v>
      </c>
      <c r="F109" s="148" t="s">
        <v>66</v>
      </c>
      <c r="G109" s="148" t="s">
        <v>93</v>
      </c>
      <c r="H109" s="148" t="s">
        <v>95</v>
      </c>
      <c r="I109" s="148" t="s">
        <v>94</v>
      </c>
      <c r="J109" s="148" t="s">
        <v>92</v>
      </c>
    </row>
    <row r="110" spans="1:10" ht="16.8" x14ac:dyDescent="0.35">
      <c r="A110" s="95"/>
      <c r="B110" s="149" t="str">
        <f>'Top Level Summary Pivots'!AD4</f>
        <v>Google Display Network</v>
      </c>
      <c r="C110" s="150">
        <f>'Top Level Summary Pivots'!AE4</f>
        <v>500000</v>
      </c>
      <c r="D110" s="150">
        <f>'Top Level Summary Pivots'!AF4</f>
        <v>98988</v>
      </c>
      <c r="E110" s="150">
        <f>'Top Level Summary Pivots'!AG4</f>
        <v>989</v>
      </c>
      <c r="F110" s="151">
        <f>'Top Level Summary Pivots'!AH4</f>
        <v>9.9911100335394187E-3</v>
      </c>
      <c r="G110" s="166">
        <f>(J110/C110)*1000</f>
        <v>71.691428571428588</v>
      </c>
      <c r="H110" s="166">
        <f>I110/D110*1000</f>
        <v>71.691428571428574</v>
      </c>
      <c r="I110" s="166">
        <f>J110/(C110/1000)*(D110/1000)</f>
        <v>7096.5911314285713</v>
      </c>
      <c r="J110" s="166">
        <v>35845.71428571429</v>
      </c>
    </row>
    <row r="111" spans="1:10" ht="15" hidden="1" x14ac:dyDescent="0.25">
      <c r="B111" s="153" t="str">
        <f>'Top Level Summary Pivots'!AD5</f>
        <v>Grand Total</v>
      </c>
      <c r="C111" s="154">
        <f>'Top Level Summary Pivots'!AE5</f>
        <v>500000</v>
      </c>
      <c r="D111" s="154">
        <f>'Top Level Summary Pivots'!AF5</f>
        <v>98988</v>
      </c>
      <c r="E111" s="154">
        <f>'Top Level Summary Pivots'!AG5</f>
        <v>989</v>
      </c>
      <c r="F111" s="155">
        <f>'Top Level Summary Pivots'!AH5</f>
        <v>9.9911100335394187E-3</v>
      </c>
      <c r="G111" s="168">
        <f t="shared" ref="G111:G125" si="13">(J111/C111)*1000</f>
        <v>71.691428571428588</v>
      </c>
      <c r="H111" s="170">
        <f t="shared" ref="H111:H125" si="14">I111/D111*1000</f>
        <v>71.691428571428574</v>
      </c>
      <c r="I111" s="168">
        <f t="shared" ref="I111:I125" si="15">J111/(C111/1000)*(D111/1000)</f>
        <v>7096.5911314285713</v>
      </c>
      <c r="J111" s="168">
        <v>35845.71428571429</v>
      </c>
    </row>
    <row r="112" spans="1:10" ht="17.25" hidden="1" x14ac:dyDescent="0.3">
      <c r="A112" s="95"/>
      <c r="B112" s="149">
        <f>'Top Level Summary Pivots'!AD6</f>
        <v>0</v>
      </c>
      <c r="C112" s="150">
        <f>'Top Level Summary Pivots'!AE6</f>
        <v>0</v>
      </c>
      <c r="D112" s="150">
        <f>'Top Level Summary Pivots'!AF6</f>
        <v>0</v>
      </c>
      <c r="E112" s="150">
        <f>'Top Level Summary Pivots'!AG6</f>
        <v>0</v>
      </c>
      <c r="F112" s="151">
        <f>'Top Level Summary Pivots'!AH6</f>
        <v>0</v>
      </c>
      <c r="G112" s="169" t="e">
        <f t="shared" si="13"/>
        <v>#DIV/0!</v>
      </c>
      <c r="H112" s="169" t="e">
        <f t="shared" si="14"/>
        <v>#DIV/0!</v>
      </c>
      <c r="I112" s="169" t="e">
        <f t="shared" si="15"/>
        <v>#DIV/0!</v>
      </c>
      <c r="J112" s="169">
        <v>35845.71428571429</v>
      </c>
    </row>
    <row r="113" spans="1:10" ht="17.25" hidden="1" x14ac:dyDescent="0.3">
      <c r="A113" s="95"/>
      <c r="B113" s="153">
        <f>'Top Level Summary Pivots'!AD7</f>
        <v>0</v>
      </c>
      <c r="C113" s="154">
        <f>'Top Level Summary Pivots'!AE7</f>
        <v>0</v>
      </c>
      <c r="D113" s="154">
        <f>'Top Level Summary Pivots'!AF7</f>
        <v>0</v>
      </c>
      <c r="E113" s="154">
        <f>'Top Level Summary Pivots'!AG7</f>
        <v>0</v>
      </c>
      <c r="F113" s="155">
        <f>'Top Level Summary Pivots'!AH7</f>
        <v>0</v>
      </c>
      <c r="G113" s="168" t="e">
        <f t="shared" si="13"/>
        <v>#DIV/0!</v>
      </c>
      <c r="H113" s="168" t="e">
        <f t="shared" si="14"/>
        <v>#DIV/0!</v>
      </c>
      <c r="I113" s="168" t="e">
        <f t="shared" si="15"/>
        <v>#DIV/0!</v>
      </c>
      <c r="J113" s="168">
        <v>35845.71428571429</v>
      </c>
    </row>
    <row r="114" spans="1:10" ht="17.25" hidden="1" x14ac:dyDescent="0.3">
      <c r="A114" s="95"/>
      <c r="B114" s="149">
        <f>'Top Level Summary Pivots'!AD8</f>
        <v>0</v>
      </c>
      <c r="C114" s="150">
        <f>'Top Level Summary Pivots'!AE8</f>
        <v>0</v>
      </c>
      <c r="D114" s="150">
        <f>'Top Level Summary Pivots'!AF8</f>
        <v>0</v>
      </c>
      <c r="E114" s="150">
        <f>'Top Level Summary Pivots'!AG8</f>
        <v>0</v>
      </c>
      <c r="F114" s="151">
        <f>'Top Level Summary Pivots'!AH8</f>
        <v>0</v>
      </c>
      <c r="G114" s="169" t="e">
        <f t="shared" si="13"/>
        <v>#DIV/0!</v>
      </c>
      <c r="H114" s="169" t="e">
        <f t="shared" si="14"/>
        <v>#DIV/0!</v>
      </c>
      <c r="I114" s="169" t="e">
        <f t="shared" si="15"/>
        <v>#DIV/0!</v>
      </c>
      <c r="J114" s="169">
        <v>35845.71428571429</v>
      </c>
    </row>
    <row r="115" spans="1:10" ht="17.25" hidden="1" x14ac:dyDescent="0.3">
      <c r="A115" s="95"/>
      <c r="B115" s="153">
        <f>'Top Level Summary Pivots'!AD9</f>
        <v>0</v>
      </c>
      <c r="C115" s="154">
        <f>'Top Level Summary Pivots'!AE9</f>
        <v>0</v>
      </c>
      <c r="D115" s="154">
        <f>'Top Level Summary Pivots'!AF9</f>
        <v>0</v>
      </c>
      <c r="E115" s="154">
        <f>'Top Level Summary Pivots'!AG9</f>
        <v>0</v>
      </c>
      <c r="F115" s="155">
        <f>'Top Level Summary Pivots'!AH9</f>
        <v>0</v>
      </c>
      <c r="G115" s="168" t="e">
        <f t="shared" si="13"/>
        <v>#DIV/0!</v>
      </c>
      <c r="H115" s="168" t="e">
        <f t="shared" si="14"/>
        <v>#DIV/0!</v>
      </c>
      <c r="I115" s="168" t="e">
        <f t="shared" si="15"/>
        <v>#DIV/0!</v>
      </c>
      <c r="J115" s="168">
        <v>35845.71428571429</v>
      </c>
    </row>
    <row r="116" spans="1:10" ht="17.25" hidden="1" x14ac:dyDescent="0.3">
      <c r="A116" s="95"/>
      <c r="B116" s="149">
        <f>'Top Level Summary Pivots'!AD10</f>
        <v>0</v>
      </c>
      <c r="C116" s="150">
        <f>'Top Level Summary Pivots'!AE10</f>
        <v>0</v>
      </c>
      <c r="D116" s="150">
        <f>'Top Level Summary Pivots'!AF10</f>
        <v>0</v>
      </c>
      <c r="E116" s="150">
        <f>'Top Level Summary Pivots'!AG10</f>
        <v>0</v>
      </c>
      <c r="F116" s="151">
        <f>'Top Level Summary Pivots'!AH10</f>
        <v>0</v>
      </c>
      <c r="G116" s="169" t="e">
        <f t="shared" si="13"/>
        <v>#DIV/0!</v>
      </c>
      <c r="H116" s="169" t="e">
        <f t="shared" si="14"/>
        <v>#DIV/0!</v>
      </c>
      <c r="I116" s="169" t="e">
        <f t="shared" si="15"/>
        <v>#DIV/0!</v>
      </c>
      <c r="J116" s="169">
        <v>35845.71428571429</v>
      </c>
    </row>
    <row r="117" spans="1:10" ht="17.25" hidden="1" x14ac:dyDescent="0.3">
      <c r="A117" s="95"/>
      <c r="B117" s="153">
        <f>'Top Level Summary Pivots'!AD11</f>
        <v>0</v>
      </c>
      <c r="C117" s="154">
        <f>'Top Level Summary Pivots'!AE11</f>
        <v>0</v>
      </c>
      <c r="D117" s="154">
        <f>'Top Level Summary Pivots'!AF11</f>
        <v>0</v>
      </c>
      <c r="E117" s="154">
        <f>'Top Level Summary Pivots'!AG11</f>
        <v>0</v>
      </c>
      <c r="F117" s="155">
        <f>'Top Level Summary Pivots'!AH11</f>
        <v>0</v>
      </c>
      <c r="G117" s="168" t="e">
        <f t="shared" si="13"/>
        <v>#DIV/0!</v>
      </c>
      <c r="H117" s="168" t="e">
        <f t="shared" si="14"/>
        <v>#DIV/0!</v>
      </c>
      <c r="I117" s="168" t="e">
        <f t="shared" si="15"/>
        <v>#DIV/0!</v>
      </c>
      <c r="J117" s="168">
        <v>35845.71428571429</v>
      </c>
    </row>
    <row r="118" spans="1:10" ht="17.25" hidden="1" x14ac:dyDescent="0.3">
      <c r="A118" s="95"/>
      <c r="B118" s="149">
        <f>'Top Level Summary Pivots'!AD12</f>
        <v>0</v>
      </c>
      <c r="C118" s="150">
        <f>'Top Level Summary Pivots'!AE12</f>
        <v>0</v>
      </c>
      <c r="D118" s="150">
        <f>'Top Level Summary Pivots'!AF12</f>
        <v>0</v>
      </c>
      <c r="E118" s="150">
        <f>'Top Level Summary Pivots'!AG12</f>
        <v>0</v>
      </c>
      <c r="F118" s="151">
        <f>'Top Level Summary Pivots'!AH12</f>
        <v>0</v>
      </c>
      <c r="G118" s="169" t="e">
        <f t="shared" si="13"/>
        <v>#DIV/0!</v>
      </c>
      <c r="H118" s="169" t="e">
        <f t="shared" si="14"/>
        <v>#DIV/0!</v>
      </c>
      <c r="I118" s="169" t="e">
        <f t="shared" si="15"/>
        <v>#DIV/0!</v>
      </c>
      <c r="J118" s="169">
        <v>35845.71428571429</v>
      </c>
    </row>
    <row r="119" spans="1:10" ht="17.25" hidden="1" x14ac:dyDescent="0.3">
      <c r="A119" s="95"/>
      <c r="B119" s="153">
        <f>'Top Level Summary Pivots'!AD13</f>
        <v>0</v>
      </c>
      <c r="C119" s="154">
        <f>'Top Level Summary Pivots'!AE13</f>
        <v>0</v>
      </c>
      <c r="D119" s="154">
        <f>'Top Level Summary Pivots'!AF13</f>
        <v>0</v>
      </c>
      <c r="E119" s="154">
        <f>'Top Level Summary Pivots'!AG13</f>
        <v>0</v>
      </c>
      <c r="F119" s="155">
        <f>'Top Level Summary Pivots'!AH13</f>
        <v>0</v>
      </c>
      <c r="G119" s="168" t="e">
        <f t="shared" si="13"/>
        <v>#DIV/0!</v>
      </c>
      <c r="H119" s="168" t="e">
        <f t="shared" si="14"/>
        <v>#DIV/0!</v>
      </c>
      <c r="I119" s="168" t="e">
        <f t="shared" si="15"/>
        <v>#DIV/0!</v>
      </c>
      <c r="J119" s="168">
        <v>35845.71428571429</v>
      </c>
    </row>
    <row r="120" spans="1:10" ht="17.25" hidden="1" x14ac:dyDescent="0.3">
      <c r="A120" s="95"/>
      <c r="B120" s="149">
        <f>'Top Level Summary Pivots'!AD14</f>
        <v>0</v>
      </c>
      <c r="C120" s="150">
        <f>'Top Level Summary Pivots'!AE14</f>
        <v>0</v>
      </c>
      <c r="D120" s="150">
        <f>'Top Level Summary Pivots'!AF14</f>
        <v>0</v>
      </c>
      <c r="E120" s="150">
        <f>'Top Level Summary Pivots'!AG14</f>
        <v>0</v>
      </c>
      <c r="F120" s="151">
        <f>'Top Level Summary Pivots'!AH14</f>
        <v>0</v>
      </c>
      <c r="G120" s="169" t="e">
        <f t="shared" si="13"/>
        <v>#DIV/0!</v>
      </c>
      <c r="H120" s="169" t="e">
        <f t="shared" si="14"/>
        <v>#DIV/0!</v>
      </c>
      <c r="I120" s="169" t="e">
        <f t="shared" si="15"/>
        <v>#DIV/0!</v>
      </c>
      <c r="J120" s="169">
        <v>35845.71428571429</v>
      </c>
    </row>
    <row r="121" spans="1:10" ht="17.25" hidden="1" x14ac:dyDescent="0.3">
      <c r="A121" s="95"/>
      <c r="B121" s="153">
        <f>'Top Level Summary Pivots'!AD15</f>
        <v>0</v>
      </c>
      <c r="C121" s="154">
        <f>'Top Level Summary Pivots'!AE15</f>
        <v>0</v>
      </c>
      <c r="D121" s="154">
        <f>'Top Level Summary Pivots'!AF15</f>
        <v>0</v>
      </c>
      <c r="E121" s="154">
        <f>'Top Level Summary Pivots'!AG15</f>
        <v>0</v>
      </c>
      <c r="F121" s="155">
        <f>'Top Level Summary Pivots'!AH15</f>
        <v>0</v>
      </c>
      <c r="G121" s="168" t="e">
        <f t="shared" si="13"/>
        <v>#DIV/0!</v>
      </c>
      <c r="H121" s="168" t="e">
        <f t="shared" si="14"/>
        <v>#DIV/0!</v>
      </c>
      <c r="I121" s="168" t="e">
        <f t="shared" si="15"/>
        <v>#DIV/0!</v>
      </c>
      <c r="J121" s="168">
        <v>35845.71428571429</v>
      </c>
    </row>
    <row r="122" spans="1:10" ht="17.25" hidden="1" x14ac:dyDescent="0.3">
      <c r="A122" s="95"/>
      <c r="B122" s="149">
        <f>'Top Level Summary Pivots'!AD16</f>
        <v>0</v>
      </c>
      <c r="C122" s="150">
        <f>'Top Level Summary Pivots'!AE16</f>
        <v>0</v>
      </c>
      <c r="D122" s="150">
        <f>'Top Level Summary Pivots'!AF16</f>
        <v>0</v>
      </c>
      <c r="E122" s="150">
        <f>'Top Level Summary Pivots'!AG16</f>
        <v>0</v>
      </c>
      <c r="F122" s="151">
        <f>'Top Level Summary Pivots'!AH16</f>
        <v>0</v>
      </c>
      <c r="G122" s="169" t="e">
        <f t="shared" si="13"/>
        <v>#DIV/0!</v>
      </c>
      <c r="H122" s="169" t="e">
        <f t="shared" si="14"/>
        <v>#DIV/0!</v>
      </c>
      <c r="I122" s="169" t="e">
        <f t="shared" si="15"/>
        <v>#DIV/0!</v>
      </c>
      <c r="J122" s="169">
        <v>35845.71428571429</v>
      </c>
    </row>
    <row r="123" spans="1:10" ht="17.25" hidden="1" x14ac:dyDescent="0.3">
      <c r="A123" s="95"/>
      <c r="B123" s="153">
        <f>'Top Level Summary Pivots'!AD17</f>
        <v>0</v>
      </c>
      <c r="C123" s="154">
        <f>'Top Level Summary Pivots'!AE17</f>
        <v>0</v>
      </c>
      <c r="D123" s="154">
        <f>'Top Level Summary Pivots'!AF17</f>
        <v>0</v>
      </c>
      <c r="E123" s="154">
        <f>'Top Level Summary Pivots'!AG17</f>
        <v>0</v>
      </c>
      <c r="F123" s="155">
        <f>'Top Level Summary Pivots'!AH17</f>
        <v>0</v>
      </c>
      <c r="G123" s="168" t="e">
        <f t="shared" si="13"/>
        <v>#DIV/0!</v>
      </c>
      <c r="H123" s="168" t="e">
        <f t="shared" si="14"/>
        <v>#DIV/0!</v>
      </c>
      <c r="I123" s="168" t="e">
        <f t="shared" si="15"/>
        <v>#DIV/0!</v>
      </c>
      <c r="J123" s="168">
        <v>35845.71428571429</v>
      </c>
    </row>
    <row r="124" spans="1:10" ht="17.25" hidden="1" x14ac:dyDescent="0.3">
      <c r="A124" s="95"/>
      <c r="B124" s="149">
        <f>'Top Level Summary Pivots'!AD18</f>
        <v>0</v>
      </c>
      <c r="C124" s="150">
        <f>'Top Level Summary Pivots'!AE18</f>
        <v>0</v>
      </c>
      <c r="D124" s="150">
        <f>'Top Level Summary Pivots'!AF18</f>
        <v>0</v>
      </c>
      <c r="E124" s="150">
        <f>'Top Level Summary Pivots'!AG18</f>
        <v>0</v>
      </c>
      <c r="F124" s="151">
        <f>'Top Level Summary Pivots'!AH18</f>
        <v>0</v>
      </c>
      <c r="G124" s="169" t="e">
        <f t="shared" si="13"/>
        <v>#DIV/0!</v>
      </c>
      <c r="H124" s="169" t="e">
        <f t="shared" si="14"/>
        <v>#DIV/0!</v>
      </c>
      <c r="I124" s="169" t="e">
        <f t="shared" si="15"/>
        <v>#DIV/0!</v>
      </c>
      <c r="J124" s="169">
        <v>35845.71428571429</v>
      </c>
    </row>
    <row r="125" spans="1:10" ht="16.8" x14ac:dyDescent="0.35">
      <c r="A125" s="95"/>
      <c r="B125" s="157" t="s">
        <v>1</v>
      </c>
      <c r="C125" s="158">
        <f>SUM(C107:C124)/2</f>
        <v>500000</v>
      </c>
      <c r="D125" s="158">
        <f t="shared" ref="D125" si="16">SUM(D107:D124)/2</f>
        <v>98988</v>
      </c>
      <c r="E125" s="158">
        <f t="shared" ref="E125" si="17">SUM(E107:E124)/2</f>
        <v>989</v>
      </c>
      <c r="F125" s="159">
        <f>E125/D125</f>
        <v>9.9911100335394187E-3</v>
      </c>
      <c r="G125" s="160">
        <f t="shared" si="13"/>
        <v>400</v>
      </c>
      <c r="H125" s="160">
        <f t="shared" si="14"/>
        <v>399.99999999999994</v>
      </c>
      <c r="I125" s="160">
        <f t="shared" si="15"/>
        <v>39595.199999999997</v>
      </c>
      <c r="J125" s="160">
        <v>200000</v>
      </c>
    </row>
    <row r="126" spans="1:10" ht="16.8" x14ac:dyDescent="0.35">
      <c r="A126" s="95"/>
    </row>
    <row r="127" spans="1:10" ht="16.8" x14ac:dyDescent="0.35">
      <c r="A127" s="95"/>
      <c r="B127" s="22" t="s">
        <v>102</v>
      </c>
    </row>
    <row r="128" spans="1:10" ht="17.100000000000001" customHeight="1" x14ac:dyDescent="0.35">
      <c r="A128" s="95"/>
    </row>
    <row r="129" spans="1:8" ht="17.100000000000001" customHeight="1" x14ac:dyDescent="0.35">
      <c r="A129" s="95"/>
      <c r="B129" s="163" t="s">
        <v>3</v>
      </c>
      <c r="C129" s="148" t="s">
        <v>103</v>
      </c>
      <c r="D129" s="148" t="s">
        <v>104</v>
      </c>
      <c r="E129" s="147" t="s">
        <v>105</v>
      </c>
      <c r="F129" s="148" t="s">
        <v>96</v>
      </c>
      <c r="G129" s="148" t="s">
        <v>94</v>
      </c>
      <c r="H129" s="148" t="s">
        <v>92</v>
      </c>
    </row>
    <row r="130" spans="1:8" ht="17.100000000000001" customHeight="1" x14ac:dyDescent="0.35">
      <c r="A130" s="95"/>
      <c r="B130" s="149" t="str">
        <f>'Top Level Summary Pivots'!AJ5</f>
        <v>Search</v>
      </c>
      <c r="C130" s="150">
        <f>'Top Level Summary Pivots'!AK5</f>
        <v>500000</v>
      </c>
      <c r="D130" s="150">
        <f>'Top Level Summary Pivots'!AL5</f>
        <v>98988</v>
      </c>
      <c r="E130" s="161">
        <f>'Top Level Summary Pivots'!AM5</f>
        <v>200</v>
      </c>
      <c r="F130" s="152">
        <f>'Top Level Summary Pivots'!AN5</f>
        <v>0</v>
      </c>
      <c r="G130" s="152">
        <f>'Top Level Summary Pivots'!AO5</f>
        <v>0</v>
      </c>
      <c r="H130" s="152">
        <v>100000</v>
      </c>
    </row>
    <row r="131" spans="1:8" ht="17.100000000000001" hidden="1" customHeight="1" x14ac:dyDescent="0.3">
      <c r="A131" s="95"/>
      <c r="B131" s="153" t="str">
        <f>'Top Level Summary Pivots'!AJ6</f>
        <v>Grand Total</v>
      </c>
      <c r="C131" s="154">
        <f>'Top Level Summary Pivots'!AK6</f>
        <v>500000</v>
      </c>
      <c r="D131" s="154">
        <f>'Top Level Summary Pivots'!AL6</f>
        <v>98988</v>
      </c>
      <c r="E131" s="165">
        <f>'Top Level Summary Pivots'!AM6</f>
        <v>200</v>
      </c>
      <c r="F131" s="156">
        <f>'Top Level Summary Pivots'!AN6</f>
        <v>0</v>
      </c>
      <c r="G131" s="156">
        <f>'Top Level Summary Pivots'!AO6</f>
        <v>0</v>
      </c>
      <c r="H131" s="156">
        <f>'Top Level Summary Pivots'!AP6</f>
        <v>100000</v>
      </c>
    </row>
    <row r="132" spans="1:8" ht="17.100000000000001" hidden="1" customHeight="1" x14ac:dyDescent="0.3">
      <c r="A132" s="95"/>
      <c r="B132" s="149">
        <f>'Top Level Summary Pivots'!AJ7</f>
        <v>0</v>
      </c>
      <c r="C132" s="150">
        <f>'Top Level Summary Pivots'!AK7</f>
        <v>0</v>
      </c>
      <c r="D132" s="150">
        <f>'Top Level Summary Pivots'!AL7</f>
        <v>0</v>
      </c>
      <c r="E132" s="164">
        <f>'Top Level Summary Pivots'!AM7</f>
        <v>0</v>
      </c>
      <c r="F132" s="152">
        <f>'Top Level Summary Pivots'!AN7</f>
        <v>0</v>
      </c>
      <c r="G132" s="152">
        <f>'Top Level Summary Pivots'!AO7</f>
        <v>0</v>
      </c>
      <c r="H132" s="152">
        <f>'Top Level Summary Pivots'!AP7</f>
        <v>0</v>
      </c>
    </row>
    <row r="133" spans="1:8" ht="17.100000000000001" hidden="1" customHeight="1" x14ac:dyDescent="0.3">
      <c r="A133" s="95"/>
      <c r="B133" s="153">
        <f>'Top Level Summary Pivots'!AJ8</f>
        <v>0</v>
      </c>
      <c r="C133" s="154">
        <f>'Top Level Summary Pivots'!AK8</f>
        <v>0</v>
      </c>
      <c r="D133" s="154">
        <f>'Top Level Summary Pivots'!AL8</f>
        <v>0</v>
      </c>
      <c r="E133" s="165">
        <f>'Top Level Summary Pivots'!AM8</f>
        <v>0</v>
      </c>
      <c r="F133" s="156">
        <f>'Top Level Summary Pivots'!AN8</f>
        <v>0</v>
      </c>
      <c r="G133" s="156">
        <f>'Top Level Summary Pivots'!AO8</f>
        <v>0</v>
      </c>
      <c r="H133" s="156">
        <f>'Top Level Summary Pivots'!AP8</f>
        <v>0</v>
      </c>
    </row>
    <row r="134" spans="1:8" ht="17.100000000000001" hidden="1" customHeight="1" x14ac:dyDescent="0.3">
      <c r="A134" s="95"/>
      <c r="B134" s="149">
        <f>'Top Level Summary Pivots'!AJ9</f>
        <v>0</v>
      </c>
      <c r="C134" s="150">
        <f>'Top Level Summary Pivots'!AK9</f>
        <v>0</v>
      </c>
      <c r="D134" s="150">
        <f>'Top Level Summary Pivots'!AL9</f>
        <v>0</v>
      </c>
      <c r="E134" s="164">
        <f>'Top Level Summary Pivots'!AM9</f>
        <v>0</v>
      </c>
      <c r="F134" s="152">
        <f>'Top Level Summary Pivots'!AN9</f>
        <v>0</v>
      </c>
      <c r="G134" s="152">
        <f>'Top Level Summary Pivots'!AO9</f>
        <v>0</v>
      </c>
      <c r="H134" s="152">
        <f>'Top Level Summary Pivots'!AP9</f>
        <v>0</v>
      </c>
    </row>
    <row r="135" spans="1:8" ht="17.100000000000001" hidden="1" customHeight="1" x14ac:dyDescent="0.3">
      <c r="A135" s="95"/>
      <c r="B135" s="153">
        <f>'Top Level Summary Pivots'!AJ10</f>
        <v>0</v>
      </c>
      <c r="C135" s="154">
        <f>'Top Level Summary Pivots'!AK10</f>
        <v>0</v>
      </c>
      <c r="D135" s="154">
        <f>'Top Level Summary Pivots'!AL10</f>
        <v>0</v>
      </c>
      <c r="E135" s="165">
        <f>'Top Level Summary Pivots'!AM10</f>
        <v>0</v>
      </c>
      <c r="F135" s="156">
        <f>'Top Level Summary Pivots'!AN10</f>
        <v>0</v>
      </c>
      <c r="G135" s="156">
        <f>'Top Level Summary Pivots'!AO10</f>
        <v>0</v>
      </c>
      <c r="H135" s="156">
        <f>'Top Level Summary Pivots'!AP10</f>
        <v>0</v>
      </c>
    </row>
    <row r="136" spans="1:8" ht="17.100000000000001" hidden="1" customHeight="1" x14ac:dyDescent="0.3">
      <c r="A136" s="95"/>
      <c r="B136" s="149">
        <f>'Top Level Summary Pivots'!AJ11</f>
        <v>0</v>
      </c>
      <c r="C136" s="150">
        <f>'Top Level Summary Pivots'!AK11</f>
        <v>0</v>
      </c>
      <c r="D136" s="150">
        <f>'Top Level Summary Pivots'!AL11</f>
        <v>0</v>
      </c>
      <c r="E136" s="164">
        <f>'Top Level Summary Pivots'!AM11</f>
        <v>0</v>
      </c>
      <c r="F136" s="152">
        <f>'Top Level Summary Pivots'!AN11</f>
        <v>0</v>
      </c>
      <c r="G136" s="152">
        <f>'Top Level Summary Pivots'!AO11</f>
        <v>0</v>
      </c>
      <c r="H136" s="152">
        <f>'Top Level Summary Pivots'!AP11</f>
        <v>0</v>
      </c>
    </row>
    <row r="137" spans="1:8" ht="17.100000000000001" hidden="1" customHeight="1" x14ac:dyDescent="0.3">
      <c r="A137" s="95"/>
      <c r="B137" s="153">
        <f>'Top Level Summary Pivots'!AJ12</f>
        <v>0</v>
      </c>
      <c r="C137" s="154">
        <f>'Top Level Summary Pivots'!AK12</f>
        <v>0</v>
      </c>
      <c r="D137" s="154">
        <f>'Top Level Summary Pivots'!AL12</f>
        <v>0</v>
      </c>
      <c r="E137" s="165">
        <f>'Top Level Summary Pivots'!AM12</f>
        <v>0</v>
      </c>
      <c r="F137" s="156">
        <f>'Top Level Summary Pivots'!AN12</f>
        <v>0</v>
      </c>
      <c r="G137" s="156">
        <f>'Top Level Summary Pivots'!AO12</f>
        <v>0</v>
      </c>
      <c r="H137" s="156">
        <f>'Top Level Summary Pivots'!AP12</f>
        <v>0</v>
      </c>
    </row>
    <row r="138" spans="1:8" ht="17.100000000000001" hidden="1" customHeight="1" x14ac:dyDescent="0.3">
      <c r="A138" s="95"/>
      <c r="B138" s="149">
        <f>'Top Level Summary Pivots'!AJ13</f>
        <v>0</v>
      </c>
      <c r="C138" s="150">
        <f>'Top Level Summary Pivots'!AK13</f>
        <v>0</v>
      </c>
      <c r="D138" s="150">
        <f>'Top Level Summary Pivots'!AL13</f>
        <v>0</v>
      </c>
      <c r="E138" s="164">
        <f>'Top Level Summary Pivots'!AM13</f>
        <v>0</v>
      </c>
      <c r="F138" s="152">
        <f>'Top Level Summary Pivots'!AN13</f>
        <v>0</v>
      </c>
      <c r="G138" s="152">
        <f>'Top Level Summary Pivots'!AO13</f>
        <v>0</v>
      </c>
      <c r="H138" s="152">
        <f>'Top Level Summary Pivots'!AP13</f>
        <v>0</v>
      </c>
    </row>
    <row r="139" spans="1:8" ht="17.100000000000001" hidden="1" customHeight="1" x14ac:dyDescent="0.3">
      <c r="A139" s="95"/>
      <c r="B139" s="153">
        <f>'Top Level Summary Pivots'!AJ14</f>
        <v>0</v>
      </c>
      <c r="C139" s="154">
        <f>'Top Level Summary Pivots'!AK14</f>
        <v>0</v>
      </c>
      <c r="D139" s="154">
        <f>'Top Level Summary Pivots'!AL14</f>
        <v>0</v>
      </c>
      <c r="E139" s="165">
        <f>'Top Level Summary Pivots'!AM14</f>
        <v>0</v>
      </c>
      <c r="F139" s="156">
        <f>'Top Level Summary Pivots'!AN14</f>
        <v>0</v>
      </c>
      <c r="G139" s="156">
        <f>'Top Level Summary Pivots'!AO14</f>
        <v>0</v>
      </c>
      <c r="H139" s="156">
        <f>'Top Level Summary Pivots'!AP14</f>
        <v>0</v>
      </c>
    </row>
    <row r="140" spans="1:8" ht="17.100000000000001" hidden="1" customHeight="1" x14ac:dyDescent="0.3">
      <c r="A140" s="95"/>
      <c r="B140" s="149">
        <f>'Top Level Summary Pivots'!AJ15</f>
        <v>0</v>
      </c>
      <c r="C140" s="150">
        <f>'Top Level Summary Pivots'!AK15</f>
        <v>0</v>
      </c>
      <c r="D140" s="150">
        <f>'Top Level Summary Pivots'!AL15</f>
        <v>0</v>
      </c>
      <c r="E140" s="164">
        <f>'Top Level Summary Pivots'!AM15</f>
        <v>0</v>
      </c>
      <c r="F140" s="152">
        <f>'Top Level Summary Pivots'!AN15</f>
        <v>0</v>
      </c>
      <c r="G140" s="152">
        <f>'Top Level Summary Pivots'!AO15</f>
        <v>0</v>
      </c>
      <c r="H140" s="152">
        <f>'Top Level Summary Pivots'!AP15</f>
        <v>0</v>
      </c>
    </row>
    <row r="141" spans="1:8" ht="17.100000000000001" hidden="1" customHeight="1" x14ac:dyDescent="0.3">
      <c r="A141" s="95"/>
      <c r="B141" s="153">
        <f>'Top Level Summary Pivots'!AJ16</f>
        <v>0</v>
      </c>
      <c r="C141" s="154">
        <f>'Top Level Summary Pivots'!AK16</f>
        <v>0</v>
      </c>
      <c r="D141" s="154">
        <f>'Top Level Summary Pivots'!AL16</f>
        <v>0</v>
      </c>
      <c r="E141" s="165">
        <f>'Top Level Summary Pivots'!AM16</f>
        <v>0</v>
      </c>
      <c r="F141" s="156">
        <f>'Top Level Summary Pivots'!AN16</f>
        <v>0</v>
      </c>
      <c r="G141" s="156">
        <f>'Top Level Summary Pivots'!AO16</f>
        <v>0</v>
      </c>
      <c r="H141" s="156">
        <f>'Top Level Summary Pivots'!AP16</f>
        <v>0</v>
      </c>
    </row>
    <row r="142" spans="1:8" ht="17.100000000000001" hidden="1" customHeight="1" x14ac:dyDescent="0.3">
      <c r="A142" s="95"/>
      <c r="B142" s="149">
        <f>'Top Level Summary Pivots'!AJ17</f>
        <v>0</v>
      </c>
      <c r="C142" s="150">
        <f>'Top Level Summary Pivots'!AK17</f>
        <v>0</v>
      </c>
      <c r="D142" s="150">
        <f>'Top Level Summary Pivots'!AL17</f>
        <v>0</v>
      </c>
      <c r="E142" s="164">
        <f>'Top Level Summary Pivots'!AM17</f>
        <v>0</v>
      </c>
      <c r="F142" s="152">
        <f>'Top Level Summary Pivots'!AN17</f>
        <v>0</v>
      </c>
      <c r="G142" s="152">
        <f>'Top Level Summary Pivots'!AO17</f>
        <v>0</v>
      </c>
      <c r="H142" s="152">
        <f>'Top Level Summary Pivots'!AP17</f>
        <v>0</v>
      </c>
    </row>
    <row r="143" spans="1:8" ht="17.100000000000001" hidden="1" customHeight="1" x14ac:dyDescent="0.3">
      <c r="A143" s="95"/>
      <c r="B143" s="153">
        <f>'Top Level Summary Pivots'!AJ18</f>
        <v>0</v>
      </c>
      <c r="C143" s="154">
        <f>'Top Level Summary Pivots'!AK18</f>
        <v>0</v>
      </c>
      <c r="D143" s="154">
        <f>'Top Level Summary Pivots'!AL18</f>
        <v>0</v>
      </c>
      <c r="E143" s="165">
        <f>'Top Level Summary Pivots'!AM18</f>
        <v>0</v>
      </c>
      <c r="F143" s="156">
        <f>'Top Level Summary Pivots'!AN18</f>
        <v>0</v>
      </c>
      <c r="G143" s="156">
        <f>'Top Level Summary Pivots'!AO18</f>
        <v>0</v>
      </c>
      <c r="H143" s="156">
        <f>'Top Level Summary Pivots'!AP18</f>
        <v>0</v>
      </c>
    </row>
    <row r="144" spans="1:8" ht="17.100000000000001" hidden="1" customHeight="1" x14ac:dyDescent="0.3">
      <c r="A144" s="95"/>
      <c r="B144" s="149">
        <f>'Top Level Summary Pivots'!AJ19</f>
        <v>0</v>
      </c>
      <c r="C144" s="150">
        <f>'Top Level Summary Pivots'!AK19</f>
        <v>0</v>
      </c>
      <c r="D144" s="150">
        <f>'Top Level Summary Pivots'!AL19</f>
        <v>0</v>
      </c>
      <c r="E144" s="164">
        <f>'Top Level Summary Pivots'!AM19</f>
        <v>0</v>
      </c>
      <c r="F144" s="152">
        <f>'Top Level Summary Pivots'!AN19</f>
        <v>0</v>
      </c>
      <c r="G144" s="152">
        <f>'Top Level Summary Pivots'!AO19</f>
        <v>0</v>
      </c>
      <c r="H144" s="152">
        <f>'Top Level Summary Pivots'!AP19</f>
        <v>0</v>
      </c>
    </row>
    <row r="145" spans="1:8" ht="17.100000000000001" hidden="1" customHeight="1" x14ac:dyDescent="0.3">
      <c r="A145" s="95"/>
      <c r="B145" s="153">
        <f>'Top Level Summary Pivots'!AJ20</f>
        <v>0</v>
      </c>
      <c r="C145" s="154">
        <f>'Top Level Summary Pivots'!AK20</f>
        <v>0</v>
      </c>
      <c r="D145" s="154">
        <f>'Top Level Summary Pivots'!AL20</f>
        <v>0</v>
      </c>
      <c r="E145" s="165">
        <f>'Top Level Summary Pivots'!AM20</f>
        <v>0</v>
      </c>
      <c r="F145" s="156">
        <f>'Top Level Summary Pivots'!AN20</f>
        <v>0</v>
      </c>
      <c r="G145" s="156">
        <f>'Top Level Summary Pivots'!AO20</f>
        <v>0</v>
      </c>
      <c r="H145" s="156">
        <f>'Top Level Summary Pivots'!AP20</f>
        <v>0</v>
      </c>
    </row>
    <row r="146" spans="1:8" ht="17.100000000000001" customHeight="1" x14ac:dyDescent="0.35">
      <c r="A146" s="95"/>
      <c r="B146" s="157" t="s">
        <v>1</v>
      </c>
      <c r="C146" s="158">
        <f>SUM(C130:C145)/2</f>
        <v>500000</v>
      </c>
      <c r="D146" s="158">
        <f t="shared" ref="D146:H146" si="18">SUM(D130:D145)/2</f>
        <v>98988</v>
      </c>
      <c r="E146" s="162">
        <f t="shared" si="18"/>
        <v>200</v>
      </c>
      <c r="F146" s="160">
        <f t="shared" si="18"/>
        <v>0</v>
      </c>
      <c r="G146" s="160">
        <f t="shared" si="18"/>
        <v>0</v>
      </c>
      <c r="H146" s="160">
        <f t="shared" si="18"/>
        <v>100000</v>
      </c>
    </row>
    <row r="147" spans="1:8" ht="17.100000000000001" customHeight="1" x14ac:dyDescent="0.35">
      <c r="A147" s="95"/>
    </row>
    <row r="148" spans="1:8" ht="17.100000000000001" customHeight="1" x14ac:dyDescent="0.35">
      <c r="A148" s="95"/>
    </row>
    <row r="149" spans="1:8" ht="17.100000000000001" customHeight="1" x14ac:dyDescent="0.35">
      <c r="A149" s="95"/>
    </row>
    <row r="150" spans="1:8" ht="17.100000000000001" customHeight="1" x14ac:dyDescent="0.35">
      <c r="A150" s="95"/>
    </row>
    <row r="151" spans="1:8" ht="17.100000000000001" customHeight="1" x14ac:dyDescent="0.35">
      <c r="A151" s="95"/>
    </row>
    <row r="152" spans="1:8" ht="17.100000000000001" customHeight="1" x14ac:dyDescent="0.35">
      <c r="A152" s="95"/>
    </row>
    <row r="153" spans="1:8" ht="17.100000000000001" customHeight="1" x14ac:dyDescent="0.35">
      <c r="A153" s="95"/>
    </row>
    <row r="154" spans="1:8" ht="17.100000000000001" customHeight="1" x14ac:dyDescent="0.35">
      <c r="A154" s="95"/>
    </row>
    <row r="155" spans="1:8" ht="17.100000000000001" customHeight="1" x14ac:dyDescent="0.35">
      <c r="A155" s="95"/>
    </row>
    <row r="156" spans="1:8" ht="17.100000000000001" customHeight="1" x14ac:dyDescent="0.3"/>
    <row r="157" spans="1:8" ht="17.100000000000001" customHeight="1" x14ac:dyDescent="0.3"/>
    <row r="158" spans="1:8" ht="17.100000000000001" customHeight="1" x14ac:dyDescent="0.3"/>
    <row r="159" spans="1:8" ht="17.100000000000001" customHeight="1" x14ac:dyDescent="0.3"/>
    <row r="160" spans="1:8" ht="17.100000000000001" customHeight="1" x14ac:dyDescent="0.3"/>
    <row r="161" ht="17.100000000000001" customHeight="1" x14ac:dyDescent="0.3"/>
    <row r="162" ht="17.100000000000001" customHeight="1" x14ac:dyDescent="0.3"/>
    <row r="163" ht="17.100000000000001" customHeight="1" x14ac:dyDescent="0.3"/>
    <row r="164" ht="17.100000000000001" customHeight="1" x14ac:dyDescent="0.3"/>
    <row r="165" ht="17.100000000000001" customHeight="1" x14ac:dyDescent="0.3"/>
    <row r="166" ht="17.100000000000001" customHeight="1" x14ac:dyDescent="0.3"/>
    <row r="167" ht="17.100000000000001" customHeight="1" x14ac:dyDescent="0.3"/>
  </sheetData>
  <mergeCells count="3">
    <mergeCell ref="B1:B2"/>
    <mergeCell ref="F48:G49"/>
    <mergeCell ref="F43:G47"/>
  </mergeCells>
  <conditionalFormatting sqref="F11:F39">
    <cfRule type="iconSet" priority="11">
      <iconSet>
        <cfvo type="percent" val="0"/>
        <cfvo type="num" val="1.0499999999999999E-3"/>
        <cfvo type="num" val="1.0499999999999999E-3"/>
      </iconSet>
    </cfRule>
  </conditionalFormatting>
  <conditionalFormatting sqref="F60:F78">
    <cfRule type="iconSet" priority="8">
      <iconSet>
        <cfvo type="percent" val="0"/>
        <cfvo type="num" val="1.0499999999999999E-3"/>
        <cfvo type="num" val="1.0499999999999999E-3"/>
      </iconSet>
    </cfRule>
  </conditionalFormatting>
  <conditionalFormatting sqref="G86:G101">
    <cfRule type="iconSet" priority="7">
      <iconSet>
        <cfvo type="percent" val="0"/>
        <cfvo type="num" val="1.0499999999999999E-3"/>
        <cfvo type="num" val="1.0499999999999999E-3"/>
      </iconSet>
    </cfRule>
  </conditionalFormatting>
  <conditionalFormatting sqref="F109">
    <cfRule type="iconSet" priority="6">
      <iconSet>
        <cfvo type="percent" val="0"/>
        <cfvo type="num" val="1.0499999999999999E-3"/>
        <cfvo type="num" val="1.0499999999999999E-3"/>
      </iconSet>
    </cfRule>
  </conditionalFormatting>
  <conditionalFormatting sqref="F110:F124">
    <cfRule type="iconSet" priority="4">
      <iconSet>
        <cfvo type="percent" val="0"/>
        <cfvo type="num" val="1.0499999999999999E-3"/>
        <cfvo type="num" val="1.0499999999999999E-3"/>
      </iconSet>
    </cfRule>
  </conditionalFormatting>
  <conditionalFormatting sqref="G102">
    <cfRule type="iconSet" priority="2">
      <iconSet>
        <cfvo type="percent" val="0"/>
        <cfvo type="num" val="1.0499999999999999E-3"/>
        <cfvo type="num" val="1.0499999999999999E-3"/>
      </iconSet>
    </cfRule>
  </conditionalFormatting>
  <conditionalFormatting sqref="F125">
    <cfRule type="iconSet" priority="1">
      <iconSet>
        <cfvo type="percent" val="0"/>
        <cfvo type="num" val="1.0499999999999999E-3"/>
        <cfvo type="num" val="1.0499999999999999E-3"/>
      </iconSet>
    </cfRule>
  </conditionalFormatting>
  <pageMargins left="0.7" right="0.7" top="0.75" bottom="0.75" header="0.3" footer="0.3"/>
  <pageSetup paperSize="9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"/>
  <sheetViews>
    <sheetView workbookViewId="0">
      <selection activeCell="B26" sqref="B26"/>
    </sheetView>
  </sheetViews>
  <sheetFormatPr defaultColWidth="20.88671875" defaultRowHeight="14.4" x14ac:dyDescent="0.3"/>
  <cols>
    <col min="2" max="2" width="39.5546875" customWidth="1"/>
    <col min="3" max="3" width="14.88671875" bestFit="1" customWidth="1"/>
  </cols>
  <sheetData>
    <row r="1" spans="1:9" x14ac:dyDescent="0.25">
      <c r="A1" s="27" t="s">
        <v>28</v>
      </c>
      <c r="B1" s="27" t="s">
        <v>29</v>
      </c>
      <c r="C1" s="27" t="s">
        <v>30</v>
      </c>
      <c r="D1" s="27" t="s">
        <v>31</v>
      </c>
      <c r="E1" s="27" t="s">
        <v>32</v>
      </c>
      <c r="F1" s="27" t="s">
        <v>33</v>
      </c>
      <c r="G1" s="27" t="s">
        <v>0</v>
      </c>
      <c r="H1" s="30" t="s">
        <v>6</v>
      </c>
      <c r="I1" s="30" t="s">
        <v>78</v>
      </c>
    </row>
    <row r="2" spans="1:9" x14ac:dyDescent="0.25">
      <c r="A2" s="28" t="s">
        <v>34</v>
      </c>
      <c r="B2" s="28" t="s">
        <v>79</v>
      </c>
      <c r="C2" s="28" t="s">
        <v>80</v>
      </c>
      <c r="D2" s="29">
        <v>140471</v>
      </c>
      <c r="E2" s="29">
        <v>862</v>
      </c>
      <c r="F2" s="29">
        <v>801012</v>
      </c>
      <c r="G2" s="29">
        <v>1220</v>
      </c>
      <c r="H2" s="101">
        <v>1745781.414994719</v>
      </c>
      <c r="I2" s="101">
        <v>100000</v>
      </c>
    </row>
    <row r="3" spans="1:9" x14ac:dyDescent="0.25">
      <c r="A3" s="28" t="s">
        <v>34</v>
      </c>
      <c r="B3" s="28" t="s">
        <v>79</v>
      </c>
      <c r="C3" s="28" t="s">
        <v>37</v>
      </c>
      <c r="D3" s="29">
        <v>432914</v>
      </c>
      <c r="E3" s="29">
        <v>1814</v>
      </c>
      <c r="F3" s="29">
        <v>2281933</v>
      </c>
      <c r="G3" s="29">
        <v>2146</v>
      </c>
      <c r="H3" s="101">
        <v>1000000</v>
      </c>
      <c r="I3" s="101">
        <v>100000</v>
      </c>
    </row>
    <row r="4" spans="1:9" x14ac:dyDescent="0.25">
      <c r="A4" s="28" t="s">
        <v>34</v>
      </c>
      <c r="B4" s="28" t="s">
        <v>79</v>
      </c>
      <c r="C4" s="28" t="s">
        <v>38</v>
      </c>
      <c r="D4" s="29">
        <v>174130</v>
      </c>
      <c r="E4" s="29">
        <v>260</v>
      </c>
      <c r="F4" s="29">
        <v>586795</v>
      </c>
      <c r="G4" s="29">
        <v>297</v>
      </c>
      <c r="H4" s="101">
        <v>2350000</v>
      </c>
      <c r="I4" s="101">
        <v>100000</v>
      </c>
    </row>
    <row r="5" spans="1:9" x14ac:dyDescent="0.25">
      <c r="A5" s="28" t="s">
        <v>34</v>
      </c>
      <c r="B5" s="28" t="s">
        <v>79</v>
      </c>
      <c r="C5" s="28" t="s">
        <v>39</v>
      </c>
      <c r="D5" s="29">
        <v>287666</v>
      </c>
      <c r="E5" s="29">
        <v>1677</v>
      </c>
      <c r="F5" s="29">
        <v>563865</v>
      </c>
      <c r="G5" s="29">
        <v>1898</v>
      </c>
      <c r="H5" s="101">
        <v>2702857.1428571427</v>
      </c>
      <c r="I5" s="101">
        <v>100000</v>
      </c>
    </row>
    <row r="6" spans="1:9" x14ac:dyDescent="0.25">
      <c r="A6" s="28" t="s">
        <v>34</v>
      </c>
      <c r="B6" s="28" t="s">
        <v>81</v>
      </c>
      <c r="C6" s="28" t="s">
        <v>82</v>
      </c>
      <c r="D6" s="102" t="s">
        <v>83</v>
      </c>
      <c r="E6" s="102" t="s">
        <v>83</v>
      </c>
      <c r="F6" s="29">
        <v>563865</v>
      </c>
      <c r="G6" s="29">
        <v>1898</v>
      </c>
      <c r="H6" s="101">
        <v>5337000</v>
      </c>
      <c r="I6" s="101">
        <v>100000</v>
      </c>
    </row>
    <row r="7" spans="1:9" x14ac:dyDescent="0.25">
      <c r="A7" s="28" t="s">
        <v>34</v>
      </c>
      <c r="B7" s="28" t="s">
        <v>81</v>
      </c>
      <c r="C7" s="28" t="s">
        <v>84</v>
      </c>
      <c r="D7" s="102" t="s">
        <v>83</v>
      </c>
      <c r="E7" s="102" t="s">
        <v>83</v>
      </c>
      <c r="F7" s="29">
        <v>563865</v>
      </c>
      <c r="G7" s="29">
        <v>1898</v>
      </c>
      <c r="H7" s="101">
        <v>500000</v>
      </c>
      <c r="I7" s="101">
        <v>100000</v>
      </c>
    </row>
    <row r="8" spans="1:9" x14ac:dyDescent="0.25">
      <c r="A8" s="28" t="s">
        <v>34</v>
      </c>
      <c r="B8" s="28" t="s">
        <v>85</v>
      </c>
      <c r="C8" s="28" t="s">
        <v>86</v>
      </c>
      <c r="D8" s="102" t="s">
        <v>83</v>
      </c>
      <c r="E8" s="102" t="s">
        <v>83</v>
      </c>
      <c r="F8" s="29">
        <v>787878</v>
      </c>
      <c r="G8" s="29">
        <v>977</v>
      </c>
      <c r="H8" s="101">
        <v>500000</v>
      </c>
      <c r="I8" s="101">
        <v>100000</v>
      </c>
    </row>
    <row r="9" spans="1:9" x14ac:dyDescent="0.25">
      <c r="A9" s="28" t="s">
        <v>34</v>
      </c>
      <c r="B9" s="28" t="s">
        <v>85</v>
      </c>
      <c r="C9" s="28" t="s">
        <v>87</v>
      </c>
      <c r="D9" s="102" t="s">
        <v>83</v>
      </c>
      <c r="E9" s="102" t="s">
        <v>83</v>
      </c>
      <c r="F9" s="29">
        <v>98988</v>
      </c>
      <c r="G9" s="29">
        <v>989</v>
      </c>
      <c r="H9" s="101">
        <v>500000</v>
      </c>
      <c r="I9" s="101">
        <v>100000</v>
      </c>
    </row>
    <row r="10" spans="1:9" x14ac:dyDescent="0.25">
      <c r="A10" s="28" t="s">
        <v>34</v>
      </c>
      <c r="B10" s="28" t="s">
        <v>88</v>
      </c>
      <c r="C10" s="28" t="s">
        <v>89</v>
      </c>
      <c r="D10" s="102" t="s">
        <v>83</v>
      </c>
      <c r="E10" s="102" t="s">
        <v>83</v>
      </c>
      <c r="F10" s="29">
        <v>98988</v>
      </c>
      <c r="G10" s="29">
        <v>989</v>
      </c>
      <c r="H10" s="101">
        <v>500000</v>
      </c>
      <c r="I10" s="101">
        <v>100000</v>
      </c>
    </row>
    <row r="11" spans="1:9" x14ac:dyDescent="0.25">
      <c r="A11" s="28" t="s">
        <v>34</v>
      </c>
      <c r="B11" s="28" t="s">
        <v>90</v>
      </c>
      <c r="C11" s="28" t="s">
        <v>91</v>
      </c>
      <c r="D11" s="102" t="s">
        <v>83</v>
      </c>
      <c r="E11" s="102" t="s">
        <v>83</v>
      </c>
      <c r="F11" s="29">
        <v>98988</v>
      </c>
      <c r="G11" s="29">
        <v>989</v>
      </c>
      <c r="H11" s="101">
        <v>500000</v>
      </c>
      <c r="I11" s="101">
        <v>100000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60"/>
  <sheetViews>
    <sheetView showGridLines="0" topLeftCell="A4" zoomScaleNormal="100" workbookViewId="0">
      <selection activeCell="G43" sqref="G43"/>
    </sheetView>
  </sheetViews>
  <sheetFormatPr defaultColWidth="9.109375" defaultRowHeight="17.399999999999999" x14ac:dyDescent="0.35"/>
  <cols>
    <col min="1" max="1" width="4.5546875" style="98" customWidth="1"/>
    <col min="2" max="2" width="17.6640625" style="26" customWidth="1"/>
    <col min="3" max="3" width="19.88671875" style="26" customWidth="1"/>
    <col min="4" max="4" width="18.5546875" style="26" customWidth="1"/>
    <col min="5" max="5" width="18.109375" style="26" customWidth="1"/>
    <col min="6" max="6" width="22.88671875" style="26" customWidth="1"/>
    <col min="7" max="7" width="25" style="26" customWidth="1"/>
    <col min="8" max="8" width="23.44140625" style="26" customWidth="1"/>
    <col min="9" max="9" width="17.33203125" style="26" customWidth="1"/>
    <col min="10" max="10" width="16.33203125" style="26" customWidth="1"/>
    <col min="11" max="11" width="14.6640625" style="26" customWidth="1"/>
    <col min="12" max="12" width="13.88671875" style="26" customWidth="1"/>
    <col min="13" max="16384" width="9.109375" style="26"/>
  </cols>
  <sheetData>
    <row r="1" spans="1:10" x14ac:dyDescent="0.35">
      <c r="A1" s="98">
        <f>COUNT(Pivots!L:L)</f>
        <v>6</v>
      </c>
      <c r="B1" s="180"/>
      <c r="C1" s="75">
        <f>A1+9</f>
        <v>15</v>
      </c>
      <c r="D1" s="76">
        <f>MATCH("B",A:A,0)</f>
        <v>33</v>
      </c>
      <c r="E1" s="75" t="str">
        <f>"F" &amp;MATCH(E10,F:F,0)+1</f>
        <v>F41</v>
      </c>
    </row>
    <row r="2" spans="1:10" x14ac:dyDescent="0.35">
      <c r="B2" s="180"/>
      <c r="C2" s="75"/>
      <c r="D2" s="75"/>
    </row>
    <row r="4" spans="1:10" ht="18" customHeight="1" x14ac:dyDescent="0.3">
      <c r="B4" s="1" t="s">
        <v>27</v>
      </c>
      <c r="C4" s="2"/>
      <c r="D4" s="2"/>
      <c r="E4" s="2"/>
      <c r="F4" s="2"/>
      <c r="G4" s="2"/>
      <c r="H4" s="83" t="s">
        <v>25</v>
      </c>
      <c r="I4" s="84">
        <f>'Campaign Summary'!J4</f>
        <v>0</v>
      </c>
      <c r="J4" s="7"/>
    </row>
    <row r="5" spans="1:10" ht="18" customHeight="1" x14ac:dyDescent="0.3">
      <c r="B5" s="4" t="s">
        <v>24</v>
      </c>
      <c r="C5" s="5"/>
      <c r="D5" s="5"/>
      <c r="E5" s="5"/>
      <c r="F5" s="5"/>
      <c r="G5" s="5"/>
      <c r="H5" s="85" t="s">
        <v>26</v>
      </c>
      <c r="I5" s="86">
        <f>'Campaign Summary'!J5</f>
        <v>0</v>
      </c>
      <c r="J5" s="8"/>
    </row>
    <row r="6" spans="1:10" ht="16.2" customHeight="1" x14ac:dyDescent="0.3"/>
    <row r="7" spans="1:10" ht="16.2" customHeight="1" x14ac:dyDescent="0.3">
      <c r="B7" s="79" t="s">
        <v>19</v>
      </c>
    </row>
    <row r="8" spans="1:10" ht="16.2" customHeight="1" x14ac:dyDescent="0.3"/>
    <row r="9" spans="1:10" ht="17.25" hidden="1" x14ac:dyDescent="0.3">
      <c r="B9" s="135"/>
      <c r="C9" s="136" t="s">
        <v>65</v>
      </c>
      <c r="D9" s="135"/>
      <c r="E9" s="135"/>
    </row>
    <row r="10" spans="1:10" ht="17.25" customHeight="1" x14ac:dyDescent="0.3">
      <c r="A10" s="97"/>
      <c r="B10" s="140" t="s">
        <v>15</v>
      </c>
      <c r="C10" s="138" t="s">
        <v>7</v>
      </c>
      <c r="D10" s="138" t="s">
        <v>8</v>
      </c>
      <c r="E10" s="138" t="s">
        <v>66</v>
      </c>
    </row>
    <row r="11" spans="1:10" ht="17.25" customHeight="1" x14ac:dyDescent="0.3">
      <c r="A11" s="97"/>
      <c r="B11" s="107" t="s">
        <v>209</v>
      </c>
      <c r="C11" s="105">
        <v>1</v>
      </c>
      <c r="D11" s="105">
        <v>0</v>
      </c>
      <c r="E11" s="106">
        <v>0</v>
      </c>
    </row>
    <row r="12" spans="1:10" ht="17.25" customHeight="1" x14ac:dyDescent="0.3">
      <c r="A12" s="97"/>
      <c r="B12" s="107" t="s">
        <v>44</v>
      </c>
      <c r="C12" s="105">
        <v>6050968</v>
      </c>
      <c r="D12" s="105">
        <v>11850</v>
      </c>
      <c r="E12" s="106">
        <v>1.9583643476547884E-3</v>
      </c>
    </row>
    <row r="13" spans="1:10" ht="17.25" customHeight="1" x14ac:dyDescent="0.3">
      <c r="A13" s="97"/>
      <c r="B13" s="107" t="s">
        <v>300</v>
      </c>
      <c r="C13" s="105">
        <v>7</v>
      </c>
      <c r="D13" s="105">
        <v>0</v>
      </c>
      <c r="E13" s="106">
        <v>0</v>
      </c>
    </row>
    <row r="14" spans="1:10" ht="17.25" customHeight="1" x14ac:dyDescent="0.3">
      <c r="A14" s="97"/>
      <c r="B14" s="107" t="s">
        <v>201</v>
      </c>
      <c r="C14" s="105">
        <v>778</v>
      </c>
      <c r="D14" s="105">
        <v>2</v>
      </c>
      <c r="E14" s="106">
        <v>2.5706940874035988E-3</v>
      </c>
    </row>
    <row r="15" spans="1:10" ht="17.25" x14ac:dyDescent="0.3">
      <c r="A15" s="97"/>
      <c r="B15" s="107" t="s">
        <v>45</v>
      </c>
      <c r="C15" s="105">
        <v>6181053</v>
      </c>
      <c r="D15" s="105">
        <v>9508</v>
      </c>
      <c r="E15" s="106">
        <v>1.5382492271138915E-3</v>
      </c>
    </row>
    <row r="16" spans="1:10" ht="17.25" x14ac:dyDescent="0.3">
      <c r="A16" s="97"/>
      <c r="B16" s="107" t="s">
        <v>1</v>
      </c>
      <c r="C16" s="105">
        <v>12232807</v>
      </c>
      <c r="D16" s="105">
        <v>21360</v>
      </c>
      <c r="E16" s="106">
        <v>1.7461241724814264E-3</v>
      </c>
    </row>
    <row r="17" spans="2:5" ht="17.25" hidden="1" x14ac:dyDescent="0.3">
      <c r="B17"/>
      <c r="C17"/>
      <c r="D17"/>
      <c r="E17"/>
    </row>
    <row r="18" spans="2:5" ht="17.25" hidden="1" x14ac:dyDescent="0.3">
      <c r="B18" s="82"/>
      <c r="C18" s="93"/>
      <c r="D18" s="93"/>
      <c r="E18" s="94"/>
    </row>
    <row r="19" spans="2:5" ht="17.25" hidden="1" x14ac:dyDescent="0.3">
      <c r="B19" s="82"/>
      <c r="C19" s="93"/>
      <c r="D19" s="93"/>
      <c r="E19" s="94"/>
    </row>
    <row r="20" spans="2:5" ht="17.25" hidden="1" x14ac:dyDescent="0.3">
      <c r="B20" s="82"/>
      <c r="C20" s="93"/>
      <c r="D20" s="93"/>
      <c r="E20" s="94"/>
    </row>
    <row r="21" spans="2:5" ht="17.25" hidden="1" x14ac:dyDescent="0.3">
      <c r="B21" s="82"/>
      <c r="C21" s="93"/>
      <c r="D21" s="93"/>
      <c r="E21" s="94"/>
    </row>
    <row r="22" spans="2:5" ht="17.25" hidden="1" x14ac:dyDescent="0.3">
      <c r="B22" s="82"/>
      <c r="C22" s="93"/>
      <c r="D22" s="93"/>
      <c r="E22" s="94"/>
    </row>
    <row r="23" spans="2:5" ht="17.25" hidden="1" x14ac:dyDescent="0.3">
      <c r="B23" s="82"/>
      <c r="C23" s="93"/>
      <c r="D23" s="93"/>
      <c r="E23" s="94"/>
    </row>
    <row r="24" spans="2:5" ht="17.25" hidden="1" x14ac:dyDescent="0.3">
      <c r="B24" s="82"/>
      <c r="C24" s="93"/>
      <c r="D24" s="93"/>
      <c r="E24" s="94"/>
    </row>
    <row r="25" spans="2:5" ht="17.25" hidden="1" x14ac:dyDescent="0.3">
      <c r="B25" s="82"/>
      <c r="C25" s="93"/>
      <c r="D25" s="93"/>
      <c r="E25" s="94"/>
    </row>
    <row r="26" spans="2:5" ht="17.25" hidden="1" x14ac:dyDescent="0.3">
      <c r="B26" s="82"/>
      <c r="C26" s="93"/>
      <c r="D26" s="93"/>
      <c r="E26" s="94"/>
    </row>
    <row r="27" spans="2:5" ht="17.25" hidden="1" x14ac:dyDescent="0.3">
      <c r="B27" s="82"/>
      <c r="C27" s="93"/>
      <c r="D27" s="93"/>
      <c r="E27" s="94"/>
    </row>
    <row r="28" spans="2:5" ht="17.25" hidden="1" x14ac:dyDescent="0.3">
      <c r="B28" s="82"/>
      <c r="C28" s="93"/>
      <c r="D28" s="93"/>
      <c r="E28" s="94"/>
    </row>
    <row r="29" spans="2:5" ht="17.25" hidden="1" x14ac:dyDescent="0.3">
      <c r="B29" s="82"/>
      <c r="C29" s="93"/>
      <c r="D29" s="93"/>
      <c r="E29" s="94"/>
    </row>
    <row r="30" spans="2:5" ht="17.25" hidden="1" x14ac:dyDescent="0.3">
      <c r="B30" s="82"/>
      <c r="C30" s="93"/>
      <c r="D30" s="93"/>
      <c r="E30" s="94"/>
    </row>
    <row r="31" spans="2:5" ht="17.25" hidden="1" x14ac:dyDescent="0.3">
      <c r="B31" s="82"/>
      <c r="C31" s="93"/>
      <c r="D31" s="93"/>
      <c r="E31" s="94"/>
    </row>
    <row r="32" spans="2:5" ht="17.25" hidden="1" x14ac:dyDescent="0.3">
      <c r="B32" s="82"/>
      <c r="C32" s="93"/>
      <c r="D32" s="93"/>
      <c r="E32" s="94"/>
    </row>
    <row r="33" spans="1:11" ht="17.25" hidden="1" x14ac:dyDescent="0.3">
      <c r="A33" s="97" t="s">
        <v>77</v>
      </c>
      <c r="B33"/>
      <c r="C33"/>
      <c r="D33"/>
      <c r="E33"/>
    </row>
    <row r="34" spans="1:11" ht="17.25" x14ac:dyDescent="0.3">
      <c r="A34" s="97"/>
      <c r="B34"/>
      <c r="C34"/>
      <c r="D34"/>
      <c r="E34"/>
    </row>
    <row r="35" spans="1:11" ht="2.25" customHeight="1" x14ac:dyDescent="0.2">
      <c r="A35" s="26"/>
      <c r="B35" s="71"/>
      <c r="C35" s="71"/>
      <c r="D35" s="71"/>
      <c r="E35" s="71"/>
      <c r="F35" s="71"/>
      <c r="G35" s="71"/>
      <c r="H35" s="71"/>
      <c r="I35" s="71"/>
      <c r="J35" s="71"/>
      <c r="K35" s="71"/>
    </row>
    <row r="36" spans="1:11" ht="17.100000000000001" customHeight="1" x14ac:dyDescent="0.3">
      <c r="A36" s="97"/>
    </row>
    <row r="37" spans="1:11" ht="17.100000000000001" customHeight="1" x14ac:dyDescent="0.3">
      <c r="A37" s="97"/>
      <c r="B37" s="79" t="s">
        <v>20</v>
      </c>
    </row>
    <row r="38" spans="1:11" ht="17.100000000000001" customHeight="1" x14ac:dyDescent="0.3">
      <c r="A38" s="97"/>
    </row>
    <row r="39" spans="1:11" ht="17.25" hidden="1" x14ac:dyDescent="0.3">
      <c r="A39" s="97"/>
      <c r="B39" s="135"/>
      <c r="C39" s="135"/>
      <c r="D39" s="136" t="s">
        <v>65</v>
      </c>
      <c r="E39" s="135"/>
      <c r="F39" s="135"/>
    </row>
    <row r="40" spans="1:11" ht="17.25" x14ac:dyDescent="0.3">
      <c r="A40" s="97"/>
      <c r="B40" s="140" t="s">
        <v>3</v>
      </c>
      <c r="C40" s="142" t="s">
        <v>15</v>
      </c>
      <c r="D40" s="138" t="s">
        <v>7</v>
      </c>
      <c r="E40" s="138" t="s">
        <v>8</v>
      </c>
      <c r="F40" s="138" t="s">
        <v>66</v>
      </c>
    </row>
    <row r="41" spans="1:11" ht="17.25" x14ac:dyDescent="0.3">
      <c r="A41" s="97"/>
      <c r="B41" s="107" t="s">
        <v>214</v>
      </c>
      <c r="C41" s="137" t="s">
        <v>44</v>
      </c>
      <c r="D41" s="105">
        <v>1753042</v>
      </c>
      <c r="E41" s="105">
        <v>1615</v>
      </c>
      <c r="F41" s="106">
        <v>9.2125573717001649E-4</v>
      </c>
    </row>
    <row r="42" spans="1:11" ht="17.25" x14ac:dyDescent="0.3">
      <c r="A42" s="97"/>
      <c r="B42" s="107"/>
      <c r="C42" s="137" t="s">
        <v>45</v>
      </c>
      <c r="D42" s="105">
        <v>1245774</v>
      </c>
      <c r="E42" s="105">
        <v>730</v>
      </c>
      <c r="F42" s="106">
        <v>5.8598108485166656E-4</v>
      </c>
    </row>
    <row r="43" spans="1:11" ht="17.25" x14ac:dyDescent="0.3">
      <c r="A43" s="97"/>
      <c r="B43" s="107" t="s">
        <v>243</v>
      </c>
      <c r="C43" s="137" t="s">
        <v>44</v>
      </c>
      <c r="D43" s="105">
        <v>214557</v>
      </c>
      <c r="E43" s="105">
        <v>418</v>
      </c>
      <c r="F43" s="106">
        <v>1.9482002451562989E-3</v>
      </c>
    </row>
    <row r="44" spans="1:11" ht="17.25" x14ac:dyDescent="0.3">
      <c r="A44" s="97"/>
      <c r="B44" s="107"/>
      <c r="C44" s="137" t="s">
        <v>45</v>
      </c>
      <c r="D44" s="105">
        <v>213350</v>
      </c>
      <c r="E44" s="105">
        <v>129</v>
      </c>
      <c r="F44" s="106">
        <v>6.046402624794938E-4</v>
      </c>
    </row>
    <row r="45" spans="1:11" ht="17.25" x14ac:dyDescent="0.3">
      <c r="A45" s="97"/>
      <c r="B45" s="107" t="s">
        <v>246</v>
      </c>
      <c r="C45" s="137" t="s">
        <v>44</v>
      </c>
      <c r="D45" s="105">
        <v>194255</v>
      </c>
      <c r="E45" s="105">
        <v>617</v>
      </c>
      <c r="F45" s="106">
        <v>3.1762374198862318E-3</v>
      </c>
    </row>
    <row r="46" spans="1:11" ht="17.25" x14ac:dyDescent="0.3">
      <c r="A46" s="97"/>
      <c r="B46" s="107"/>
      <c r="C46" s="137" t="s">
        <v>45</v>
      </c>
      <c r="D46" s="105">
        <v>190108</v>
      </c>
      <c r="E46" s="105">
        <v>191</v>
      </c>
      <c r="F46" s="106">
        <v>1.004692069770867E-3</v>
      </c>
    </row>
    <row r="47" spans="1:11" ht="17.25" x14ac:dyDescent="0.3">
      <c r="A47" s="97"/>
      <c r="B47" s="107" t="s">
        <v>260</v>
      </c>
      <c r="C47" s="137" t="s">
        <v>44</v>
      </c>
      <c r="D47" s="105">
        <v>8</v>
      </c>
      <c r="E47" s="105">
        <v>0</v>
      </c>
      <c r="F47" s="106">
        <v>0</v>
      </c>
    </row>
    <row r="48" spans="1:11" x14ac:dyDescent="0.35">
      <c r="A48" s="97"/>
      <c r="B48" s="107"/>
      <c r="C48" s="137" t="s">
        <v>45</v>
      </c>
      <c r="D48" s="105">
        <v>13176</v>
      </c>
      <c r="E48" s="105">
        <v>30</v>
      </c>
      <c r="F48" s="106">
        <v>2.2768670309653918E-3</v>
      </c>
    </row>
    <row r="49" spans="1:6" x14ac:dyDescent="0.35">
      <c r="A49" s="97"/>
      <c r="B49" s="107" t="s">
        <v>263</v>
      </c>
      <c r="C49" s="137" t="s">
        <v>44</v>
      </c>
      <c r="D49" s="105">
        <v>1</v>
      </c>
      <c r="E49" s="105">
        <v>0</v>
      </c>
      <c r="F49" s="106">
        <v>0</v>
      </c>
    </row>
    <row r="50" spans="1:6" x14ac:dyDescent="0.35">
      <c r="A50" s="97"/>
      <c r="B50" s="107" t="s">
        <v>265</v>
      </c>
      <c r="C50" s="137" t="s">
        <v>44</v>
      </c>
      <c r="D50" s="105">
        <v>343</v>
      </c>
      <c r="E50" s="105">
        <v>0</v>
      </c>
      <c r="F50" s="106">
        <v>0</v>
      </c>
    </row>
    <row r="51" spans="1:6" x14ac:dyDescent="0.35">
      <c r="A51" s="97"/>
      <c r="B51" s="107" t="s">
        <v>125</v>
      </c>
      <c r="C51" s="137" t="s">
        <v>44</v>
      </c>
      <c r="D51" s="105">
        <v>44</v>
      </c>
      <c r="E51" s="105">
        <v>0</v>
      </c>
      <c r="F51" s="106">
        <v>0</v>
      </c>
    </row>
    <row r="52" spans="1:6" x14ac:dyDescent="0.35">
      <c r="A52" s="97"/>
      <c r="B52" s="107" t="s">
        <v>132</v>
      </c>
      <c r="C52" s="137" t="s">
        <v>45</v>
      </c>
      <c r="D52" s="105">
        <v>21</v>
      </c>
      <c r="E52" s="105">
        <v>0</v>
      </c>
      <c r="F52" s="106">
        <v>0</v>
      </c>
    </row>
    <row r="53" spans="1:6" x14ac:dyDescent="0.35">
      <c r="A53" s="97"/>
      <c r="B53" s="107" t="s">
        <v>278</v>
      </c>
      <c r="C53" s="137" t="s">
        <v>44</v>
      </c>
      <c r="D53" s="105">
        <v>1</v>
      </c>
      <c r="E53" s="105">
        <v>0</v>
      </c>
      <c r="F53" s="106">
        <v>0</v>
      </c>
    </row>
    <row r="54" spans="1:6" x14ac:dyDescent="0.35">
      <c r="A54" s="97"/>
      <c r="B54" s="107" t="s">
        <v>280</v>
      </c>
      <c r="C54" s="137" t="s">
        <v>44</v>
      </c>
      <c r="D54" s="105">
        <v>220345</v>
      </c>
      <c r="E54" s="105">
        <v>1258</v>
      </c>
      <c r="F54" s="106">
        <v>5.7092287095237013E-3</v>
      </c>
    </row>
    <row r="55" spans="1:6" x14ac:dyDescent="0.35">
      <c r="A55" s="97"/>
      <c r="B55" s="107"/>
      <c r="C55" s="137" t="s">
        <v>45</v>
      </c>
      <c r="D55" s="105">
        <v>285715</v>
      </c>
      <c r="E55" s="105">
        <v>397</v>
      </c>
      <c r="F55" s="106">
        <v>1.3894965262586842E-3</v>
      </c>
    </row>
    <row r="56" spans="1:6" x14ac:dyDescent="0.35">
      <c r="A56" s="97"/>
      <c r="B56" s="107" t="s">
        <v>135</v>
      </c>
      <c r="C56" s="137" t="s">
        <v>44</v>
      </c>
      <c r="D56" s="105">
        <v>276119</v>
      </c>
      <c r="E56" s="105">
        <v>852</v>
      </c>
      <c r="F56" s="106">
        <v>3.0856261249678583E-3</v>
      </c>
    </row>
    <row r="57" spans="1:6" x14ac:dyDescent="0.35">
      <c r="A57" s="97"/>
      <c r="B57" s="107"/>
      <c r="C57" s="137" t="s">
        <v>45</v>
      </c>
      <c r="D57" s="105">
        <v>208372</v>
      </c>
      <c r="E57" s="105">
        <v>208</v>
      </c>
      <c r="F57" s="106">
        <v>9.9821473134586221E-4</v>
      </c>
    </row>
    <row r="58" spans="1:6" x14ac:dyDescent="0.35">
      <c r="A58" s="97"/>
      <c r="B58" s="107" t="s">
        <v>290</v>
      </c>
      <c r="C58" s="137" t="s">
        <v>44</v>
      </c>
      <c r="D58" s="105">
        <v>1</v>
      </c>
      <c r="E58" s="105">
        <v>0</v>
      </c>
      <c r="F58" s="106">
        <v>0</v>
      </c>
    </row>
    <row r="59" spans="1:6" x14ac:dyDescent="0.35">
      <c r="A59" s="97"/>
      <c r="B59" s="107"/>
      <c r="C59" s="137" t="s">
        <v>45</v>
      </c>
      <c r="D59" s="105">
        <v>1</v>
      </c>
      <c r="E59" s="105">
        <v>0</v>
      </c>
      <c r="F59" s="106">
        <v>0</v>
      </c>
    </row>
    <row r="60" spans="1:6" x14ac:dyDescent="0.35">
      <c r="A60" s="97"/>
      <c r="B60" s="107" t="s">
        <v>293</v>
      </c>
      <c r="C60" s="137" t="s">
        <v>44</v>
      </c>
      <c r="D60" s="105">
        <v>1</v>
      </c>
      <c r="E60" s="105">
        <v>0</v>
      </c>
      <c r="F60" s="106">
        <v>0</v>
      </c>
    </row>
    <row r="61" spans="1:6" x14ac:dyDescent="0.35">
      <c r="A61" s="97"/>
      <c r="B61" s="107" t="s">
        <v>37</v>
      </c>
      <c r="C61" s="137" t="s">
        <v>44</v>
      </c>
      <c r="D61" s="105">
        <v>1087784</v>
      </c>
      <c r="E61" s="105">
        <v>1394</v>
      </c>
      <c r="F61" s="106">
        <v>1.2815044163179455E-3</v>
      </c>
    </row>
    <row r="62" spans="1:6" x14ac:dyDescent="0.35">
      <c r="A62" s="97"/>
      <c r="B62" s="107"/>
      <c r="C62" s="137" t="s">
        <v>45</v>
      </c>
      <c r="D62" s="105">
        <v>1737330</v>
      </c>
      <c r="E62" s="105">
        <v>5196</v>
      </c>
      <c r="F62" s="106">
        <v>2.9907962217886066E-3</v>
      </c>
    </row>
    <row r="63" spans="1:6" x14ac:dyDescent="0.35">
      <c r="B63" s="107" t="s">
        <v>165</v>
      </c>
      <c r="C63" s="137" t="s">
        <v>45</v>
      </c>
      <c r="D63" s="105">
        <v>1</v>
      </c>
      <c r="E63" s="105">
        <v>0</v>
      </c>
      <c r="F63" s="106">
        <v>0</v>
      </c>
    </row>
    <row r="64" spans="1:6" x14ac:dyDescent="0.35">
      <c r="B64" s="107" t="s">
        <v>167</v>
      </c>
      <c r="C64" s="137" t="s">
        <v>44</v>
      </c>
      <c r="D64" s="105">
        <v>733016</v>
      </c>
      <c r="E64" s="105">
        <v>1042</v>
      </c>
      <c r="F64" s="106">
        <v>1.421524223209316E-3</v>
      </c>
    </row>
    <row r="65" spans="2:6" x14ac:dyDescent="0.35">
      <c r="B65" s="107"/>
      <c r="C65" s="137" t="s">
        <v>45</v>
      </c>
      <c r="D65" s="105">
        <v>831546</v>
      </c>
      <c r="E65" s="105">
        <v>641</v>
      </c>
      <c r="F65" s="106">
        <v>7.7085332621406395E-4</v>
      </c>
    </row>
    <row r="66" spans="2:6" x14ac:dyDescent="0.35">
      <c r="B66" s="107" t="s">
        <v>295</v>
      </c>
      <c r="C66" s="137" t="s">
        <v>44</v>
      </c>
      <c r="D66" s="105">
        <v>309380</v>
      </c>
      <c r="E66" s="105">
        <v>1094</v>
      </c>
      <c r="F66" s="106">
        <v>3.5361044669985132E-3</v>
      </c>
    </row>
    <row r="67" spans="2:6" x14ac:dyDescent="0.35">
      <c r="B67" s="107"/>
      <c r="C67" s="137" t="s">
        <v>300</v>
      </c>
      <c r="D67" s="105">
        <v>7</v>
      </c>
      <c r="E67" s="105">
        <v>0</v>
      </c>
      <c r="F67" s="106">
        <v>0</v>
      </c>
    </row>
    <row r="68" spans="2:6" x14ac:dyDescent="0.35">
      <c r="B68" s="107"/>
      <c r="C68" s="137" t="s">
        <v>45</v>
      </c>
      <c r="D68" s="105">
        <v>388559</v>
      </c>
      <c r="E68" s="105">
        <v>70</v>
      </c>
      <c r="F68" s="106">
        <v>1.8015282106449728E-4</v>
      </c>
    </row>
    <row r="69" spans="2:6" x14ac:dyDescent="0.35">
      <c r="B69" s="107" t="s">
        <v>360</v>
      </c>
      <c r="C69" s="137" t="s">
        <v>44</v>
      </c>
      <c r="D69" s="105">
        <v>7</v>
      </c>
      <c r="E69" s="105">
        <v>0</v>
      </c>
      <c r="F69" s="106">
        <v>0</v>
      </c>
    </row>
    <row r="70" spans="2:6" x14ac:dyDescent="0.35">
      <c r="B70" s="107" t="s">
        <v>182</v>
      </c>
      <c r="C70" s="137" t="s">
        <v>44</v>
      </c>
      <c r="D70" s="105">
        <v>35493</v>
      </c>
      <c r="E70" s="105">
        <v>68</v>
      </c>
      <c r="F70" s="106">
        <v>1.9158707350745217E-3</v>
      </c>
    </row>
    <row r="71" spans="2:6" x14ac:dyDescent="0.35">
      <c r="B71" s="107"/>
      <c r="C71" s="137" t="s">
        <v>45</v>
      </c>
      <c r="D71" s="105">
        <v>35871</v>
      </c>
      <c r="E71" s="105">
        <v>35</v>
      </c>
      <c r="F71" s="106">
        <v>9.7571854701569509E-4</v>
      </c>
    </row>
    <row r="72" spans="2:6" x14ac:dyDescent="0.35">
      <c r="B72" s="107" t="s">
        <v>363</v>
      </c>
      <c r="C72" s="137" t="s">
        <v>44</v>
      </c>
      <c r="D72" s="105">
        <v>284721</v>
      </c>
      <c r="E72" s="105">
        <v>909</v>
      </c>
      <c r="F72" s="106">
        <v>3.1925990706691814E-3</v>
      </c>
    </row>
    <row r="73" spans="2:6" x14ac:dyDescent="0.35">
      <c r="B73" s="107"/>
      <c r="C73" s="137" t="s">
        <v>45</v>
      </c>
      <c r="D73" s="105">
        <v>290069</v>
      </c>
      <c r="E73" s="105">
        <v>741</v>
      </c>
      <c r="F73" s="106">
        <v>2.5545646035943174E-3</v>
      </c>
    </row>
    <row r="74" spans="2:6" x14ac:dyDescent="0.35">
      <c r="B74" s="107" t="s">
        <v>369</v>
      </c>
      <c r="C74" s="137" t="s">
        <v>44</v>
      </c>
      <c r="D74" s="105">
        <v>400901</v>
      </c>
      <c r="E74" s="105">
        <v>895</v>
      </c>
      <c r="F74" s="106">
        <v>2.2324713582655069E-3</v>
      </c>
    </row>
    <row r="75" spans="2:6" x14ac:dyDescent="0.35">
      <c r="B75" s="107"/>
      <c r="C75" s="137" t="s">
        <v>45</v>
      </c>
      <c r="D75" s="105">
        <v>425358</v>
      </c>
      <c r="E75" s="105">
        <v>509</v>
      </c>
      <c r="F75" s="106">
        <v>1.1966390663864322E-3</v>
      </c>
    </row>
    <row r="76" spans="2:6" x14ac:dyDescent="0.35">
      <c r="B76" s="107" t="s">
        <v>185</v>
      </c>
      <c r="C76" s="137" t="s">
        <v>45</v>
      </c>
      <c r="D76" s="105">
        <v>2</v>
      </c>
      <c r="E76" s="105">
        <v>0</v>
      </c>
      <c r="F76" s="106">
        <v>0</v>
      </c>
    </row>
    <row r="77" spans="2:6" x14ac:dyDescent="0.35">
      <c r="B77" s="107" t="s">
        <v>187</v>
      </c>
      <c r="C77" s="137" t="s">
        <v>44</v>
      </c>
      <c r="D77" s="105">
        <v>540949</v>
      </c>
      <c r="E77" s="105">
        <v>1688</v>
      </c>
      <c r="F77" s="106">
        <v>3.1204420379740048E-3</v>
      </c>
    </row>
    <row r="78" spans="2:6" x14ac:dyDescent="0.35">
      <c r="B78" s="107"/>
      <c r="C78" s="137" t="s">
        <v>45</v>
      </c>
      <c r="D78" s="105">
        <v>315793</v>
      </c>
      <c r="E78" s="105">
        <v>631</v>
      </c>
      <c r="F78" s="106">
        <v>1.9981443540547129E-3</v>
      </c>
    </row>
    <row r="79" spans="2:6" x14ac:dyDescent="0.35">
      <c r="B79" s="107" t="s">
        <v>199</v>
      </c>
      <c r="C79" s="137" t="s">
        <v>201</v>
      </c>
      <c r="D79" s="105">
        <v>778</v>
      </c>
      <c r="E79" s="105">
        <v>2</v>
      </c>
      <c r="F79" s="106">
        <v>2.5706940874035988E-3</v>
      </c>
    </row>
    <row r="80" spans="2:6" x14ac:dyDescent="0.35">
      <c r="B80" s="107" t="s">
        <v>207</v>
      </c>
      <c r="C80" s="137" t="s">
        <v>209</v>
      </c>
      <c r="D80" s="105">
        <v>1</v>
      </c>
      <c r="E80" s="105">
        <v>0</v>
      </c>
      <c r="F80" s="106">
        <v>0</v>
      </c>
    </row>
    <row r="81" spans="2:6" x14ac:dyDescent="0.35">
      <c r="B81" s="107"/>
      <c r="C81" s="137" t="s">
        <v>45</v>
      </c>
      <c r="D81" s="105">
        <v>7</v>
      </c>
      <c r="E81" s="105">
        <v>0</v>
      </c>
      <c r="F81" s="106">
        <v>0</v>
      </c>
    </row>
    <row r="82" spans="2:6" x14ac:dyDescent="0.35">
      <c r="B82" s="107" t="s">
        <v>1</v>
      </c>
      <c r="C82" s="107"/>
      <c r="D82" s="105">
        <v>12232807</v>
      </c>
      <c r="E82" s="105">
        <v>21360</v>
      </c>
      <c r="F82" s="106">
        <v>1.7461241724814264E-3</v>
      </c>
    </row>
    <row r="83" spans="2:6" ht="17.25" hidden="1" x14ac:dyDescent="0.3">
      <c r="B83" s="82"/>
      <c r="C83" s="92"/>
      <c r="D83" s="93"/>
      <c r="E83" s="93"/>
      <c r="F83" s="94"/>
    </row>
    <row r="84" spans="2:6" ht="17.25" hidden="1" x14ac:dyDescent="0.3">
      <c r="B84" s="82"/>
      <c r="C84" s="92"/>
      <c r="D84" s="93"/>
      <c r="E84" s="93"/>
      <c r="F84" s="94"/>
    </row>
    <row r="85" spans="2:6" ht="17.25" hidden="1" x14ac:dyDescent="0.3">
      <c r="B85" s="82"/>
      <c r="C85" s="92"/>
      <c r="D85" s="93"/>
      <c r="E85" s="93"/>
      <c r="F85" s="94"/>
    </row>
    <row r="86" spans="2:6" ht="17.25" hidden="1" x14ac:dyDescent="0.3">
      <c r="B86" s="82"/>
      <c r="C86" s="92"/>
      <c r="D86" s="93"/>
      <c r="E86" s="93"/>
      <c r="F86" s="94"/>
    </row>
    <row r="87" spans="2:6" ht="17.25" hidden="1" x14ac:dyDescent="0.3">
      <c r="B87" s="82"/>
      <c r="C87" s="92"/>
      <c r="D87" s="93"/>
      <c r="E87" s="93"/>
      <c r="F87" s="94"/>
    </row>
    <row r="88" spans="2:6" ht="17.25" hidden="1" x14ac:dyDescent="0.3">
      <c r="B88" s="82"/>
      <c r="C88" s="92"/>
      <c r="D88" s="93"/>
      <c r="E88" s="93"/>
      <c r="F88" s="94"/>
    </row>
    <row r="89" spans="2:6" ht="17.25" hidden="1" x14ac:dyDescent="0.3">
      <c r="B89" s="82"/>
      <c r="C89" s="92"/>
      <c r="D89" s="93"/>
      <c r="E89" s="93"/>
      <c r="F89" s="94"/>
    </row>
    <row r="90" spans="2:6" ht="17.25" hidden="1" x14ac:dyDescent="0.3">
      <c r="B90" s="82"/>
      <c r="C90" s="92"/>
      <c r="D90" s="93"/>
      <c r="E90" s="93"/>
      <c r="F90" s="94"/>
    </row>
    <row r="91" spans="2:6" ht="17.25" hidden="1" x14ac:dyDescent="0.3">
      <c r="B91" s="82"/>
      <c r="C91" s="92"/>
      <c r="D91" s="93"/>
      <c r="E91" s="93"/>
      <c r="F91" s="94"/>
    </row>
    <row r="92" spans="2:6" ht="17.25" hidden="1" x14ac:dyDescent="0.3">
      <c r="B92" s="82"/>
      <c r="C92" s="92"/>
      <c r="D92" s="93"/>
      <c r="E92" s="93"/>
      <c r="F92" s="94"/>
    </row>
    <row r="93" spans="2:6" ht="17.25" hidden="1" x14ac:dyDescent="0.3">
      <c r="B93" s="82"/>
      <c r="C93" s="92"/>
      <c r="D93" s="93"/>
      <c r="E93" s="93"/>
      <c r="F93" s="94"/>
    </row>
    <row r="94" spans="2:6" ht="17.25" hidden="1" x14ac:dyDescent="0.3">
      <c r="B94" s="82"/>
      <c r="C94" s="92"/>
      <c r="D94" s="93"/>
      <c r="E94" s="93"/>
      <c r="F94" s="94"/>
    </row>
    <row r="95" spans="2:6" ht="17.25" hidden="1" x14ac:dyDescent="0.3">
      <c r="B95" s="82"/>
      <c r="C95" s="92"/>
      <c r="D95" s="93"/>
      <c r="E95" s="93"/>
      <c r="F95" s="94"/>
    </row>
    <row r="96" spans="2:6" ht="17.25" hidden="1" x14ac:dyDescent="0.3">
      <c r="B96" s="82"/>
      <c r="C96" s="92"/>
      <c r="D96" s="93"/>
      <c r="E96" s="93"/>
      <c r="F96" s="94"/>
    </row>
    <row r="97" spans="2:6" ht="17.25" hidden="1" x14ac:dyDescent="0.3">
      <c r="B97" s="82"/>
      <c r="C97" s="92"/>
      <c r="D97" s="93"/>
      <c r="E97" s="93"/>
      <c r="F97" s="94"/>
    </row>
    <row r="98" spans="2:6" ht="17.25" hidden="1" x14ac:dyDescent="0.3">
      <c r="B98" s="82"/>
      <c r="C98" s="92"/>
      <c r="D98" s="93"/>
      <c r="E98" s="93"/>
      <c r="F98" s="94"/>
    </row>
    <row r="99" spans="2:6" ht="17.25" hidden="1" x14ac:dyDescent="0.3">
      <c r="B99" s="82"/>
      <c r="C99" s="92"/>
      <c r="D99" s="93"/>
      <c r="E99" s="93"/>
      <c r="F99" s="94"/>
    </row>
    <row r="100" spans="2:6" ht="17.25" hidden="1" x14ac:dyDescent="0.3">
      <c r="B100" s="82"/>
      <c r="C100" s="92"/>
      <c r="D100" s="93"/>
      <c r="E100" s="93"/>
      <c r="F100" s="94"/>
    </row>
    <row r="101" spans="2:6" ht="17.25" hidden="1" x14ac:dyDescent="0.3">
      <c r="B101" s="82"/>
      <c r="C101" s="92"/>
      <c r="D101" s="93"/>
      <c r="E101" s="93"/>
      <c r="F101" s="94"/>
    </row>
    <row r="102" spans="2:6" ht="17.25" hidden="1" x14ac:dyDescent="0.3">
      <c r="B102" s="82"/>
      <c r="C102" s="92"/>
      <c r="D102" s="93"/>
      <c r="E102" s="93"/>
      <c r="F102" s="94"/>
    </row>
    <row r="103" spans="2:6" ht="17.25" hidden="1" x14ac:dyDescent="0.3">
      <c r="B103" s="82"/>
      <c r="C103" s="92"/>
      <c r="D103" s="93"/>
      <c r="E103" s="93"/>
      <c r="F103" s="94"/>
    </row>
    <row r="104" spans="2:6" ht="17.25" hidden="1" x14ac:dyDescent="0.3">
      <c r="B104" s="82"/>
      <c r="C104" s="92"/>
      <c r="D104" s="93"/>
      <c r="E104" s="93"/>
      <c r="F104" s="94"/>
    </row>
    <row r="105" spans="2:6" ht="17.25" hidden="1" x14ac:dyDescent="0.3">
      <c r="B105" s="82"/>
      <c r="C105" s="92"/>
      <c r="D105" s="93"/>
      <c r="E105" s="93"/>
      <c r="F105" s="94"/>
    </row>
    <row r="106" spans="2:6" ht="17.25" hidden="1" x14ac:dyDescent="0.3">
      <c r="B106" s="82"/>
      <c r="C106" s="92"/>
      <c r="D106" s="93"/>
      <c r="E106" s="93"/>
      <c r="F106" s="94"/>
    </row>
    <row r="107" spans="2:6" ht="17.25" hidden="1" x14ac:dyDescent="0.3">
      <c r="B107" s="82"/>
      <c r="C107" s="92"/>
      <c r="D107" s="93"/>
      <c r="E107" s="93"/>
      <c r="F107" s="94"/>
    </row>
    <row r="108" spans="2:6" ht="17.25" hidden="1" x14ac:dyDescent="0.3">
      <c r="B108" s="82"/>
      <c r="C108" s="92"/>
      <c r="D108" s="93"/>
      <c r="E108" s="93"/>
      <c r="F108" s="94"/>
    </row>
    <row r="109" spans="2:6" ht="17.25" hidden="1" x14ac:dyDescent="0.3">
      <c r="B109" s="82"/>
      <c r="C109" s="92"/>
      <c r="D109" s="93"/>
      <c r="E109" s="93"/>
      <c r="F109" s="94"/>
    </row>
    <row r="110" spans="2:6" ht="17.25" hidden="1" x14ac:dyDescent="0.3">
      <c r="B110" s="82"/>
      <c r="C110" s="92"/>
      <c r="D110" s="93"/>
      <c r="E110" s="93"/>
      <c r="F110" s="94"/>
    </row>
    <row r="111" spans="2:6" ht="17.25" hidden="1" x14ac:dyDescent="0.3">
      <c r="B111" s="82"/>
      <c r="C111" s="92"/>
      <c r="D111" s="93"/>
      <c r="E111" s="93"/>
      <c r="F111" s="94"/>
    </row>
    <row r="112" spans="2:6" ht="17.25" hidden="1" x14ac:dyDescent="0.3">
      <c r="B112" s="82"/>
      <c r="C112" s="92"/>
      <c r="D112" s="93"/>
      <c r="E112" s="93"/>
      <c r="F112" s="94"/>
    </row>
    <row r="113" spans="2:6" ht="17.25" hidden="1" x14ac:dyDescent="0.3">
      <c r="B113" s="82"/>
      <c r="C113" s="92"/>
      <c r="D113" s="93"/>
      <c r="E113" s="93"/>
      <c r="F113" s="94"/>
    </row>
    <row r="114" spans="2:6" ht="17.25" hidden="1" x14ac:dyDescent="0.3">
      <c r="B114" s="82"/>
      <c r="C114" s="92"/>
      <c r="D114" s="93"/>
      <c r="E114" s="93"/>
      <c r="F114" s="94"/>
    </row>
    <row r="115" spans="2:6" ht="17.25" hidden="1" x14ac:dyDescent="0.3">
      <c r="B115" s="82"/>
      <c r="C115" s="92"/>
      <c r="D115" s="93"/>
      <c r="E115" s="93"/>
      <c r="F115" s="94"/>
    </row>
    <row r="116" spans="2:6" ht="17.25" hidden="1" x14ac:dyDescent="0.3">
      <c r="B116" s="82"/>
      <c r="C116" s="92"/>
      <c r="D116" s="93"/>
      <c r="E116" s="93"/>
      <c r="F116" s="94"/>
    </row>
    <row r="117" spans="2:6" ht="17.25" hidden="1" x14ac:dyDescent="0.3">
      <c r="B117" s="82"/>
      <c r="C117" s="92"/>
      <c r="D117" s="93"/>
      <c r="E117" s="93"/>
      <c r="F117" s="94"/>
    </row>
    <row r="118" spans="2:6" ht="17.25" hidden="1" x14ac:dyDescent="0.3">
      <c r="B118" s="82"/>
      <c r="C118" s="92"/>
      <c r="D118" s="93"/>
      <c r="E118" s="93"/>
      <c r="F118" s="94"/>
    </row>
    <row r="119" spans="2:6" ht="17.25" hidden="1" x14ac:dyDescent="0.3">
      <c r="B119" s="82"/>
      <c r="C119" s="92"/>
      <c r="D119" s="93"/>
      <c r="E119" s="93"/>
      <c r="F119" s="94"/>
    </row>
    <row r="120" spans="2:6" ht="17.25" hidden="1" x14ac:dyDescent="0.3">
      <c r="B120" s="82"/>
      <c r="C120" s="92"/>
      <c r="D120" s="93"/>
      <c r="E120" s="93"/>
      <c r="F120" s="94"/>
    </row>
    <row r="121" spans="2:6" ht="17.25" hidden="1" x14ac:dyDescent="0.3">
      <c r="B121" s="82"/>
      <c r="C121" s="92"/>
      <c r="D121" s="93"/>
      <c r="E121" s="93"/>
      <c r="F121" s="94"/>
    </row>
    <row r="122" spans="2:6" ht="17.25" hidden="1" x14ac:dyDescent="0.3">
      <c r="B122" s="82"/>
      <c r="C122" s="92"/>
      <c r="D122" s="93"/>
      <c r="E122" s="93"/>
      <c r="F122" s="94"/>
    </row>
    <row r="123" spans="2:6" ht="17.25" hidden="1" x14ac:dyDescent="0.3">
      <c r="B123" s="82"/>
      <c r="C123" s="92"/>
      <c r="D123" s="93"/>
      <c r="E123" s="93"/>
      <c r="F123" s="94"/>
    </row>
    <row r="124" spans="2:6" ht="17.25" hidden="1" x14ac:dyDescent="0.3">
      <c r="B124" s="82"/>
      <c r="C124" s="92"/>
      <c r="D124" s="93"/>
      <c r="E124" s="93"/>
      <c r="F124" s="94"/>
    </row>
    <row r="125" spans="2:6" ht="17.25" hidden="1" x14ac:dyDescent="0.3">
      <c r="B125" s="82"/>
      <c r="C125" s="92"/>
      <c r="D125" s="93"/>
      <c r="E125" s="93"/>
      <c r="F125" s="94"/>
    </row>
    <row r="126" spans="2:6" ht="17.25" hidden="1" x14ac:dyDescent="0.3">
      <c r="B126" s="82"/>
      <c r="C126" s="92"/>
      <c r="D126" s="93"/>
      <c r="E126" s="93"/>
      <c r="F126" s="94"/>
    </row>
    <row r="127" spans="2:6" ht="17.25" hidden="1" x14ac:dyDescent="0.3">
      <c r="B127" s="82"/>
      <c r="C127" s="92"/>
      <c r="D127" s="93"/>
      <c r="E127" s="93"/>
      <c r="F127" s="94"/>
    </row>
    <row r="128" spans="2:6" ht="17.25" hidden="1" x14ac:dyDescent="0.3">
      <c r="B128" s="82"/>
      <c r="C128" s="92"/>
      <c r="D128" s="93"/>
      <c r="E128" s="93"/>
      <c r="F128" s="94"/>
    </row>
    <row r="129" spans="2:6" ht="17.25" hidden="1" x14ac:dyDescent="0.3">
      <c r="B129" s="82"/>
      <c r="C129" s="92"/>
      <c r="D129" s="93"/>
      <c r="E129" s="93"/>
      <c r="F129" s="94"/>
    </row>
    <row r="130" spans="2:6" ht="17.25" hidden="1" x14ac:dyDescent="0.3">
      <c r="B130" s="82"/>
      <c r="C130" s="92"/>
      <c r="D130" s="93"/>
      <c r="E130" s="93"/>
      <c r="F130" s="94"/>
    </row>
    <row r="131" spans="2:6" ht="17.25" hidden="1" x14ac:dyDescent="0.3">
      <c r="B131" s="82"/>
      <c r="C131" s="92"/>
      <c r="D131" s="93"/>
      <c r="E131" s="93"/>
      <c r="F131" s="94"/>
    </row>
    <row r="132" spans="2:6" ht="17.25" hidden="1" x14ac:dyDescent="0.3">
      <c r="B132" s="82"/>
      <c r="C132" s="92"/>
      <c r="D132" s="93"/>
      <c r="E132" s="93"/>
      <c r="F132" s="94"/>
    </row>
    <row r="133" spans="2:6" ht="17.25" hidden="1" x14ac:dyDescent="0.3">
      <c r="B133" s="82"/>
      <c r="C133" s="92"/>
      <c r="D133" s="93"/>
      <c r="E133" s="93"/>
      <c r="F133" s="94"/>
    </row>
    <row r="134" spans="2:6" ht="17.25" hidden="1" x14ac:dyDescent="0.3">
      <c r="B134" s="82"/>
      <c r="C134" s="92"/>
      <c r="D134" s="93"/>
      <c r="E134" s="93"/>
      <c r="F134" s="94"/>
    </row>
    <row r="135" spans="2:6" ht="17.25" hidden="1" x14ac:dyDescent="0.3">
      <c r="B135" s="82"/>
      <c r="C135" s="92"/>
      <c r="D135" s="93"/>
      <c r="E135" s="93"/>
      <c r="F135" s="94"/>
    </row>
    <row r="136" spans="2:6" ht="17.25" hidden="1" x14ac:dyDescent="0.3">
      <c r="B136" s="82"/>
      <c r="C136" s="92"/>
      <c r="D136" s="93"/>
      <c r="E136" s="93"/>
      <c r="F136" s="94"/>
    </row>
    <row r="137" spans="2:6" ht="17.25" hidden="1" x14ac:dyDescent="0.3">
      <c r="B137" s="82"/>
      <c r="C137" s="92"/>
      <c r="D137" s="93"/>
      <c r="E137" s="93"/>
      <c r="F137" s="94"/>
    </row>
    <row r="138" spans="2:6" ht="17.25" hidden="1" x14ac:dyDescent="0.3">
      <c r="B138" s="82"/>
      <c r="C138" s="92"/>
      <c r="D138" s="93"/>
      <c r="E138" s="93"/>
      <c r="F138" s="94"/>
    </row>
    <row r="139" spans="2:6" ht="17.25" hidden="1" x14ac:dyDescent="0.3">
      <c r="B139" s="82"/>
      <c r="C139" s="92"/>
      <c r="D139" s="93"/>
      <c r="E139" s="93"/>
      <c r="F139" s="94"/>
    </row>
    <row r="140" spans="2:6" ht="17.25" hidden="1" x14ac:dyDescent="0.3">
      <c r="B140" s="82"/>
      <c r="C140" s="92"/>
      <c r="D140" s="93"/>
      <c r="E140" s="93"/>
      <c r="F140" s="94"/>
    </row>
    <row r="141" spans="2:6" ht="17.25" hidden="1" x14ac:dyDescent="0.3">
      <c r="B141" s="82"/>
      <c r="C141" s="92"/>
      <c r="D141" s="93"/>
      <c r="E141" s="93"/>
      <c r="F141" s="94"/>
    </row>
    <row r="142" spans="2:6" ht="17.25" hidden="1" x14ac:dyDescent="0.3">
      <c r="B142" s="82"/>
      <c r="C142" s="92"/>
      <c r="D142" s="93"/>
      <c r="E142" s="93"/>
      <c r="F142" s="94"/>
    </row>
    <row r="143" spans="2:6" ht="17.25" hidden="1" x14ac:dyDescent="0.3">
      <c r="B143" s="82"/>
      <c r="C143" s="92"/>
      <c r="D143" s="93"/>
      <c r="E143" s="93"/>
      <c r="F143" s="94"/>
    </row>
    <row r="144" spans="2:6" ht="17.25" hidden="1" x14ac:dyDescent="0.3">
      <c r="B144" s="82"/>
      <c r="C144" s="92"/>
      <c r="D144" s="93"/>
      <c r="E144" s="93"/>
      <c r="F144" s="94"/>
    </row>
    <row r="145" spans="1:11" ht="17.25" hidden="1" x14ac:dyDescent="0.3">
      <c r="B145" s="82"/>
      <c r="C145" s="92"/>
      <c r="D145" s="93"/>
      <c r="E145" s="93"/>
      <c r="F145" s="94"/>
    </row>
    <row r="146" spans="1:11" ht="17.25" hidden="1" x14ac:dyDescent="0.3">
      <c r="B146" s="82"/>
      <c r="C146" s="92"/>
      <c r="D146" s="93"/>
      <c r="E146" s="93"/>
      <c r="F146" s="94"/>
    </row>
    <row r="147" spans="1:11" ht="17.25" hidden="1" x14ac:dyDescent="0.3">
      <c r="B147" s="82"/>
      <c r="C147" s="92"/>
      <c r="D147" s="93"/>
      <c r="E147" s="93"/>
      <c r="F147" s="94"/>
    </row>
    <row r="148" spans="1:11" ht="17.25" hidden="1" x14ac:dyDescent="0.3">
      <c r="B148" s="82"/>
      <c r="C148" s="92"/>
      <c r="D148" s="93"/>
      <c r="E148" s="93"/>
      <c r="F148" s="94"/>
    </row>
    <row r="149" spans="1:11" ht="17.25" hidden="1" x14ac:dyDescent="0.3">
      <c r="B149" s="82"/>
      <c r="C149" s="92"/>
      <c r="D149" s="93"/>
      <c r="E149" s="93"/>
      <c r="F149" s="94"/>
    </row>
    <row r="150" spans="1:11" ht="17.25" hidden="1" x14ac:dyDescent="0.3">
      <c r="B150" s="82"/>
      <c r="C150" s="92"/>
      <c r="D150" s="93"/>
      <c r="E150" s="93"/>
      <c r="F150" s="94"/>
    </row>
    <row r="151" spans="1:11" ht="17.25" hidden="1" x14ac:dyDescent="0.3">
      <c r="B151" s="82"/>
      <c r="C151" s="92"/>
      <c r="D151" s="93"/>
      <c r="E151" s="93"/>
      <c r="F151" s="94"/>
    </row>
    <row r="152" spans="1:11" x14ac:dyDescent="0.35">
      <c r="B152" s="82"/>
      <c r="C152" s="92"/>
      <c r="D152" s="93"/>
      <c r="E152" s="93"/>
      <c r="F152" s="94"/>
    </row>
    <row r="153" spans="1:11" x14ac:dyDescent="0.35">
      <c r="B153" s="82"/>
      <c r="C153" s="92"/>
      <c r="D153" s="93"/>
      <c r="E153" s="93"/>
      <c r="F153" s="94"/>
    </row>
    <row r="154" spans="1:11" x14ac:dyDescent="0.35">
      <c r="B154" s="82"/>
      <c r="C154" s="92"/>
      <c r="D154" s="93"/>
      <c r="E154" s="93"/>
      <c r="F154" s="94"/>
    </row>
    <row r="155" spans="1:11" s="9" customFormat="1" ht="3" customHeight="1" x14ac:dyDescent="0.35">
      <c r="A155" s="98"/>
      <c r="B155" s="111"/>
      <c r="C155" s="111"/>
      <c r="D155" s="111"/>
      <c r="E155" s="111"/>
      <c r="F155" s="111"/>
      <c r="G155" s="111"/>
      <c r="H155" s="111"/>
      <c r="I155" s="111"/>
      <c r="J155" s="111"/>
      <c r="K155" s="111"/>
    </row>
    <row r="156" spans="1:11" s="9" customFormat="1" x14ac:dyDescent="0.35">
      <c r="A156" s="98"/>
    </row>
    <row r="157" spans="1:11" s="9" customFormat="1" x14ac:dyDescent="0.35">
      <c r="A157" s="98"/>
      <c r="B157" s="22" t="s">
        <v>108</v>
      </c>
      <c r="D157" s="9" t="s">
        <v>109</v>
      </c>
      <c r="F157" s="9" t="s">
        <v>110</v>
      </c>
    </row>
    <row r="158" spans="1:11" s="9" customFormat="1" x14ac:dyDescent="0.35">
      <c r="A158" s="98"/>
      <c r="B158" s="9" t="s">
        <v>111</v>
      </c>
    </row>
    <row r="159" spans="1:11" s="9" customFormat="1" x14ac:dyDescent="0.35">
      <c r="A159" s="98"/>
    </row>
    <row r="160" spans="1:11" s="9" customFormat="1" ht="17.25" hidden="1" x14ac:dyDescent="0.3">
      <c r="A160" s="98"/>
    </row>
    <row r="161" spans="1:8" s="9" customFormat="1" ht="17.25" hidden="1" x14ac:dyDescent="0.3">
      <c r="A161" s="98"/>
    </row>
    <row r="162" spans="1:8" s="9" customFormat="1" ht="17.25" hidden="1" x14ac:dyDescent="0.3">
      <c r="A162" s="98"/>
      <c r="B162" s="135"/>
      <c r="C162" s="135"/>
      <c r="D162" s="136" t="s">
        <v>65</v>
      </c>
      <c r="E162" s="135"/>
      <c r="F162" s="135"/>
      <c r="G162" s="135"/>
      <c r="H162" s="135"/>
    </row>
    <row r="163" spans="1:8" s="9" customFormat="1" ht="27.6" x14ac:dyDescent="0.35">
      <c r="A163" s="98"/>
      <c r="B163" s="140" t="s">
        <v>3</v>
      </c>
      <c r="C163" s="142" t="s">
        <v>43</v>
      </c>
      <c r="D163" s="146" t="s">
        <v>538</v>
      </c>
      <c r="E163" s="137" t="s">
        <v>539</v>
      </c>
      <c r="F163" s="137" t="s">
        <v>540</v>
      </c>
      <c r="G163" s="137" t="s">
        <v>541</v>
      </c>
      <c r="H163" s="137" t="s">
        <v>542</v>
      </c>
    </row>
    <row r="164" spans="1:8" s="9" customFormat="1" x14ac:dyDescent="0.35">
      <c r="A164" s="98"/>
      <c r="B164" s="107" t="s">
        <v>37</v>
      </c>
      <c r="C164" s="137" t="s">
        <v>44</v>
      </c>
      <c r="D164" s="109">
        <v>66.680000000000007</v>
      </c>
      <c r="E164" s="105">
        <v>228759</v>
      </c>
      <c r="F164" s="105">
        <v>166893</v>
      </c>
      <c r="G164" s="105">
        <v>146401</v>
      </c>
      <c r="H164" s="105">
        <v>559485</v>
      </c>
    </row>
    <row r="165" spans="1:8" x14ac:dyDescent="0.35">
      <c r="B165" s="107" t="s">
        <v>38</v>
      </c>
      <c r="C165" s="137" t="s">
        <v>44</v>
      </c>
      <c r="D165" s="109">
        <v>61.12</v>
      </c>
      <c r="E165" s="105">
        <v>380469</v>
      </c>
      <c r="F165" s="105">
        <v>258273</v>
      </c>
      <c r="G165" s="105">
        <v>213201</v>
      </c>
      <c r="H165" s="105">
        <v>886047</v>
      </c>
    </row>
    <row r="166" spans="1:8" x14ac:dyDescent="0.35">
      <c r="B166" s="107"/>
      <c r="C166" s="137" t="s">
        <v>49</v>
      </c>
      <c r="D166" s="109">
        <v>0</v>
      </c>
      <c r="E166" s="105">
        <v>0</v>
      </c>
      <c r="F166" s="105">
        <v>0</v>
      </c>
      <c r="G166" s="105">
        <v>0</v>
      </c>
      <c r="H166" s="105">
        <v>41</v>
      </c>
    </row>
    <row r="167" spans="1:8" x14ac:dyDescent="0.35">
      <c r="B167" s="107" t="s">
        <v>39</v>
      </c>
      <c r="C167" s="137" t="s">
        <v>44</v>
      </c>
      <c r="D167" s="109">
        <v>112.45</v>
      </c>
      <c r="E167" s="105">
        <v>273689</v>
      </c>
      <c r="F167" s="105">
        <v>174501</v>
      </c>
      <c r="G167" s="105">
        <v>147827</v>
      </c>
      <c r="H167" s="105">
        <v>617590</v>
      </c>
    </row>
    <row r="168" spans="1:8" x14ac:dyDescent="0.35">
      <c r="B168" s="107" t="s">
        <v>1</v>
      </c>
      <c r="C168" s="107"/>
      <c r="D168" s="109">
        <v>240.25</v>
      </c>
      <c r="E168" s="105">
        <v>882917</v>
      </c>
      <c r="F168" s="105">
        <v>599667</v>
      </c>
      <c r="G168" s="105">
        <v>507429</v>
      </c>
      <c r="H168" s="105">
        <v>2063163</v>
      </c>
    </row>
    <row r="169" spans="1:8" ht="17.25" hidden="1" x14ac:dyDescent="0.3">
      <c r="B169" s="107"/>
      <c r="C169" s="107"/>
      <c r="D169" s="109"/>
      <c r="E169" s="109"/>
      <c r="F169" s="109"/>
      <c r="G169" s="109"/>
      <c r="H169" s="109"/>
    </row>
    <row r="170" spans="1:8" ht="17.25" hidden="1" x14ac:dyDescent="0.3">
      <c r="B170" s="107"/>
      <c r="C170" s="107"/>
      <c r="D170" s="109"/>
      <c r="E170" s="109"/>
      <c r="F170" s="109"/>
      <c r="G170" s="109"/>
      <c r="H170" s="109"/>
    </row>
    <row r="171" spans="1:8" ht="17.25" hidden="1" x14ac:dyDescent="0.3">
      <c r="B171" s="107"/>
      <c r="C171" s="107"/>
      <c r="D171" s="109"/>
      <c r="E171" s="109"/>
      <c r="F171" s="109"/>
      <c r="G171" s="109"/>
      <c r="H171" s="109"/>
    </row>
    <row r="172" spans="1:8" ht="17.25" hidden="1" x14ac:dyDescent="0.3">
      <c r="B172" s="107"/>
      <c r="C172" s="107"/>
      <c r="D172" s="109"/>
      <c r="E172" s="109"/>
      <c r="F172" s="109"/>
      <c r="G172" s="109"/>
      <c r="H172" s="109"/>
    </row>
    <row r="173" spans="1:8" ht="17.25" hidden="1" x14ac:dyDescent="0.3">
      <c r="B173" s="107"/>
      <c r="C173" s="107"/>
      <c r="D173" s="109"/>
      <c r="E173" s="109"/>
      <c r="F173" s="109"/>
      <c r="G173" s="109"/>
      <c r="H173" s="109"/>
    </row>
    <row r="174" spans="1:8" ht="17.25" hidden="1" x14ac:dyDescent="0.3">
      <c r="B174" s="107"/>
      <c r="C174" s="107"/>
      <c r="D174" s="109"/>
      <c r="E174" s="109"/>
      <c r="F174" s="109"/>
      <c r="G174" s="109"/>
      <c r="H174" s="109"/>
    </row>
    <row r="175" spans="1:8" ht="17.25" hidden="1" x14ac:dyDescent="0.3">
      <c r="B175" s="107"/>
      <c r="C175" s="107"/>
      <c r="D175" s="109"/>
      <c r="E175" s="109"/>
      <c r="F175" s="109"/>
      <c r="G175" s="109"/>
      <c r="H175" s="109"/>
    </row>
    <row r="176" spans="1:8" ht="17.25" hidden="1" x14ac:dyDescent="0.3">
      <c r="B176" s="107"/>
      <c r="C176" s="107"/>
      <c r="D176" s="109"/>
      <c r="E176" s="109"/>
      <c r="F176" s="109"/>
      <c r="G176" s="109"/>
      <c r="H176" s="109"/>
    </row>
    <row r="177" spans="1:8" ht="17.25" hidden="1" x14ac:dyDescent="0.3">
      <c r="B177" s="107"/>
      <c r="C177" s="107"/>
      <c r="D177" s="109"/>
      <c r="E177" s="109"/>
      <c r="F177" s="109"/>
      <c r="G177" s="109"/>
      <c r="H177" s="109"/>
    </row>
    <row r="178" spans="1:8" ht="17.25" hidden="1" x14ac:dyDescent="0.3">
      <c r="B178" s="107"/>
      <c r="C178" s="107"/>
      <c r="D178" s="109"/>
      <c r="E178" s="109"/>
      <c r="F178" s="109"/>
      <c r="G178" s="109"/>
      <c r="H178" s="109"/>
    </row>
    <row r="179" spans="1:8" ht="17.25" hidden="1" x14ac:dyDescent="0.3">
      <c r="B179" s="107"/>
      <c r="C179" s="107"/>
      <c r="D179" s="109"/>
      <c r="E179" s="109"/>
      <c r="F179" s="109"/>
      <c r="G179" s="109"/>
      <c r="H179" s="109"/>
    </row>
    <row r="180" spans="1:8" ht="17.25" hidden="1" x14ac:dyDescent="0.3">
      <c r="B180" s="107"/>
      <c r="C180" s="107"/>
      <c r="D180" s="109"/>
      <c r="E180" s="109"/>
      <c r="F180" s="109"/>
      <c r="G180" s="109"/>
      <c r="H180" s="109"/>
    </row>
    <row r="181" spans="1:8" ht="17.25" hidden="1" x14ac:dyDescent="0.3">
      <c r="B181" s="107"/>
      <c r="C181" s="107"/>
      <c r="D181" s="109"/>
      <c r="E181" s="109"/>
      <c r="F181" s="109"/>
      <c r="G181" s="109"/>
      <c r="H181" s="109"/>
    </row>
    <row r="182" spans="1:8" ht="17.25" hidden="1" x14ac:dyDescent="0.3">
      <c r="B182" s="107"/>
      <c r="C182" s="107"/>
      <c r="D182" s="109"/>
      <c r="E182" s="109"/>
      <c r="F182" s="109"/>
      <c r="G182" s="109"/>
      <c r="H182" s="109"/>
    </row>
    <row r="183" spans="1:8" ht="17.25" hidden="1" x14ac:dyDescent="0.3">
      <c r="B183" s="107"/>
      <c r="C183" s="107"/>
      <c r="D183" s="109"/>
      <c r="E183" s="109"/>
      <c r="F183" s="109"/>
      <c r="G183" s="109"/>
      <c r="H183" s="109"/>
    </row>
    <row r="184" spans="1:8" ht="17.25" hidden="1" x14ac:dyDescent="0.3">
      <c r="B184" s="107"/>
      <c r="C184" s="107"/>
      <c r="D184" s="109"/>
      <c r="E184" s="109"/>
      <c r="F184" s="109"/>
      <c r="G184" s="109"/>
      <c r="H184" s="109"/>
    </row>
    <row r="185" spans="1:8" ht="17.25" hidden="1" x14ac:dyDescent="0.3">
      <c r="B185" s="107"/>
      <c r="C185" s="107"/>
      <c r="D185" s="109"/>
      <c r="E185" s="109"/>
      <c r="F185" s="109"/>
      <c r="G185" s="109"/>
      <c r="H185" s="109"/>
    </row>
    <row r="186" spans="1:8" ht="17.25" hidden="1" x14ac:dyDescent="0.3">
      <c r="B186" s="107"/>
      <c r="C186" s="107"/>
      <c r="D186" s="109"/>
      <c r="E186" s="109"/>
      <c r="F186" s="109"/>
      <c r="G186" s="109"/>
      <c r="H186" s="109"/>
    </row>
    <row r="187" spans="1:8" ht="17.25" hidden="1" x14ac:dyDescent="0.3">
      <c r="B187" s="107"/>
      <c r="C187" s="107"/>
      <c r="D187" s="109"/>
      <c r="E187" s="109"/>
      <c r="F187" s="109"/>
      <c r="G187" s="109"/>
      <c r="H187" s="109"/>
    </row>
    <row r="188" spans="1:8" ht="17.25" hidden="1" x14ac:dyDescent="0.3">
      <c r="B188" s="107"/>
      <c r="C188" s="107"/>
      <c r="D188" s="109"/>
      <c r="E188" s="109"/>
      <c r="F188" s="109"/>
      <c r="G188" s="109"/>
      <c r="H188" s="109"/>
    </row>
    <row r="189" spans="1:8" ht="17.25" hidden="1" x14ac:dyDescent="0.3">
      <c r="B189" s="107"/>
      <c r="C189" s="107"/>
      <c r="D189" s="109"/>
      <c r="E189" s="109"/>
      <c r="F189" s="109"/>
      <c r="G189" s="109"/>
      <c r="H189" s="109"/>
    </row>
    <row r="190" spans="1:8" ht="17.25" hidden="1" x14ac:dyDescent="0.3">
      <c r="B190" s="107"/>
      <c r="C190" s="107"/>
      <c r="D190" s="109"/>
      <c r="E190" s="109"/>
      <c r="F190" s="109"/>
      <c r="G190" s="109"/>
      <c r="H190" s="109"/>
    </row>
    <row r="191" spans="1:8" ht="17.25" hidden="1" x14ac:dyDescent="0.3">
      <c r="B191" s="107"/>
      <c r="C191" s="107"/>
      <c r="D191" s="109"/>
      <c r="E191" s="109"/>
      <c r="F191" s="109"/>
      <c r="G191" s="109"/>
      <c r="H191" s="109"/>
    </row>
    <row r="192" spans="1:8" s="9" customFormat="1" ht="17.25" hidden="1" x14ac:dyDescent="0.3">
      <c r="A192" s="98"/>
    </row>
    <row r="193" spans="1:1" s="9" customFormat="1" ht="17.25" hidden="1" x14ac:dyDescent="0.3">
      <c r="A193" s="98"/>
    </row>
    <row r="194" spans="1:1" s="9" customFormat="1" x14ac:dyDescent="0.35">
      <c r="A194" s="98"/>
    </row>
    <row r="195" spans="1:1" s="9" customFormat="1" x14ac:dyDescent="0.35">
      <c r="A195" s="98"/>
    </row>
    <row r="196" spans="1:1" s="9" customFormat="1" x14ac:dyDescent="0.35">
      <c r="A196" s="98"/>
    </row>
    <row r="197" spans="1:1" s="9" customFormat="1" x14ac:dyDescent="0.35">
      <c r="A197" s="98"/>
    </row>
    <row r="198" spans="1:1" s="9" customFormat="1" x14ac:dyDescent="0.35">
      <c r="A198" s="98"/>
    </row>
    <row r="199" spans="1:1" s="9" customFormat="1" x14ac:dyDescent="0.35">
      <c r="A199" s="98"/>
    </row>
    <row r="200" spans="1:1" s="9" customFormat="1" x14ac:dyDescent="0.35">
      <c r="A200" s="98"/>
    </row>
    <row r="201" spans="1:1" s="9" customFormat="1" x14ac:dyDescent="0.35">
      <c r="A201" s="98"/>
    </row>
    <row r="202" spans="1:1" s="9" customFormat="1" x14ac:dyDescent="0.35">
      <c r="A202" s="98"/>
    </row>
    <row r="203" spans="1:1" s="9" customFormat="1" x14ac:dyDescent="0.35">
      <c r="A203" s="98"/>
    </row>
    <row r="204" spans="1:1" s="9" customFormat="1" x14ac:dyDescent="0.35">
      <c r="A204" s="98"/>
    </row>
    <row r="205" spans="1:1" s="9" customFormat="1" x14ac:dyDescent="0.35">
      <c r="A205" s="98"/>
    </row>
    <row r="206" spans="1:1" s="9" customFormat="1" x14ac:dyDescent="0.35">
      <c r="A206" s="98"/>
    </row>
    <row r="207" spans="1:1" s="9" customFormat="1" x14ac:dyDescent="0.35">
      <c r="A207" s="98"/>
    </row>
    <row r="208" spans="1:1" s="9" customFormat="1" x14ac:dyDescent="0.35">
      <c r="A208" s="98"/>
    </row>
    <row r="209" spans="1:12" s="9" customFormat="1" x14ac:dyDescent="0.35">
      <c r="A209" s="98"/>
    </row>
    <row r="210" spans="1:12" s="9" customFormat="1" ht="3.6" customHeight="1" x14ac:dyDescent="0.35">
      <c r="A210" s="98"/>
      <c r="B210" s="111"/>
      <c r="C210" s="111"/>
      <c r="D210" s="111"/>
      <c r="E210" s="111"/>
      <c r="F210" s="111"/>
      <c r="G210" s="111"/>
      <c r="H210" s="111"/>
      <c r="I210" s="111"/>
      <c r="J210" s="111"/>
      <c r="K210" s="111"/>
    </row>
    <row r="211" spans="1:12" s="9" customFormat="1" x14ac:dyDescent="0.35">
      <c r="A211" s="98"/>
    </row>
    <row r="212" spans="1:12" s="9" customFormat="1" x14ac:dyDescent="0.35">
      <c r="A212" s="98"/>
      <c r="B212" s="22" t="s">
        <v>115</v>
      </c>
      <c r="D212" s="9" t="s">
        <v>116</v>
      </c>
      <c r="H212" s="9" t="s">
        <v>110</v>
      </c>
    </row>
    <row r="213" spans="1:12" s="9" customFormat="1" x14ac:dyDescent="0.35">
      <c r="A213" s="98"/>
      <c r="B213" s="9" t="s">
        <v>30</v>
      </c>
      <c r="C213" s="9" t="s">
        <v>117</v>
      </c>
    </row>
    <row r="214" spans="1:12" ht="17.25" hidden="1" x14ac:dyDescent="0.3"/>
    <row r="215" spans="1:12" ht="17.25" hidden="1" x14ac:dyDescent="0.3">
      <c r="B215"/>
      <c r="C215"/>
      <c r="D215"/>
      <c r="E215"/>
      <c r="F215"/>
      <c r="G215"/>
      <c r="H215"/>
      <c r="I215"/>
      <c r="J215"/>
    </row>
    <row r="216" spans="1:12" ht="17.25" hidden="1" x14ac:dyDescent="0.3">
      <c r="B216"/>
      <c r="C216"/>
      <c r="D216"/>
      <c r="E216"/>
      <c r="F216"/>
      <c r="G216"/>
      <c r="H216"/>
      <c r="I216"/>
      <c r="J216"/>
    </row>
    <row r="217" spans="1:12" ht="17.25" hidden="1" x14ac:dyDescent="0.3">
      <c r="B217" s="135"/>
      <c r="C217" s="136" t="s">
        <v>65</v>
      </c>
      <c r="D217" s="135"/>
      <c r="E217" s="135"/>
      <c r="F217" s="135"/>
      <c r="G217" s="135"/>
      <c r="H217" s="135"/>
      <c r="I217"/>
      <c r="J217"/>
      <c r="K217"/>
      <c r="L217"/>
    </row>
    <row r="218" spans="1:12" x14ac:dyDescent="0.35">
      <c r="B218" s="140" t="s">
        <v>3</v>
      </c>
      <c r="C218" s="137" t="s">
        <v>69</v>
      </c>
      <c r="D218" s="137" t="s">
        <v>70</v>
      </c>
      <c r="E218" s="137" t="s">
        <v>544</v>
      </c>
      <c r="F218" s="137" t="s">
        <v>545</v>
      </c>
      <c r="G218" s="137" t="s">
        <v>542</v>
      </c>
      <c r="H218" s="137" t="s">
        <v>543</v>
      </c>
      <c r="I218"/>
      <c r="J218"/>
      <c r="K218"/>
      <c r="L218"/>
    </row>
    <row r="219" spans="1:12" x14ac:dyDescent="0.35">
      <c r="B219" s="107" t="s">
        <v>537</v>
      </c>
      <c r="C219" s="109">
        <v>4778104</v>
      </c>
      <c r="D219" s="109">
        <v>10297</v>
      </c>
      <c r="E219" s="109">
        <v>1066</v>
      </c>
      <c r="F219" s="109">
        <v>58039</v>
      </c>
      <c r="G219" s="109">
        <v>392890</v>
      </c>
      <c r="H219" s="109">
        <v>12.93</v>
      </c>
      <c r="I219"/>
      <c r="J219"/>
      <c r="K219"/>
      <c r="L219"/>
    </row>
    <row r="220" spans="1:12" x14ac:dyDescent="0.35">
      <c r="B220" s="107" t="s">
        <v>36</v>
      </c>
      <c r="C220" s="109">
        <v>749240</v>
      </c>
      <c r="D220" s="109">
        <v>4148</v>
      </c>
      <c r="E220" s="109">
        <v>939</v>
      </c>
      <c r="F220" s="109">
        <v>54384</v>
      </c>
      <c r="G220" s="109">
        <v>283864</v>
      </c>
      <c r="H220" s="109">
        <v>89.64</v>
      </c>
      <c r="I220"/>
      <c r="J220"/>
      <c r="K220"/>
      <c r="L220"/>
    </row>
    <row r="221" spans="1:12" x14ac:dyDescent="0.35">
      <c r="B221" s="107" t="s">
        <v>37</v>
      </c>
      <c r="C221" s="109">
        <v>2761486</v>
      </c>
      <c r="D221" s="109">
        <v>2895</v>
      </c>
      <c r="E221" s="109">
        <v>0</v>
      </c>
      <c r="F221" s="109">
        <v>0</v>
      </c>
      <c r="G221" s="109">
        <v>0</v>
      </c>
      <c r="H221" s="109">
        <v>0</v>
      </c>
      <c r="I221"/>
      <c r="J221"/>
      <c r="K221"/>
      <c r="L221"/>
    </row>
    <row r="222" spans="1:12" x14ac:dyDescent="0.35">
      <c r="B222" s="107" t="s">
        <v>38</v>
      </c>
      <c r="C222" s="109">
        <v>307606</v>
      </c>
      <c r="D222" s="109">
        <v>1212</v>
      </c>
      <c r="E222" s="109">
        <v>127</v>
      </c>
      <c r="F222" s="109">
        <v>3655</v>
      </c>
      <c r="G222" s="109">
        <v>109026</v>
      </c>
      <c r="H222" s="109">
        <v>35.36</v>
      </c>
      <c r="I222"/>
      <c r="J222"/>
      <c r="K222"/>
      <c r="L222"/>
    </row>
    <row r="223" spans="1:12" x14ac:dyDescent="0.35">
      <c r="B223" s="107" t="s">
        <v>39</v>
      </c>
      <c r="C223" s="109">
        <v>959772</v>
      </c>
      <c r="D223" s="109">
        <v>2042</v>
      </c>
      <c r="E223" s="109">
        <v>0</v>
      </c>
      <c r="F223" s="109">
        <v>0</v>
      </c>
      <c r="G223" s="109">
        <v>0</v>
      </c>
      <c r="H223" s="109">
        <v>0</v>
      </c>
      <c r="I223"/>
      <c r="J223"/>
      <c r="K223"/>
      <c r="L223"/>
    </row>
    <row r="224" spans="1:12" x14ac:dyDescent="0.35">
      <c r="B224" s="107" t="s">
        <v>1</v>
      </c>
      <c r="C224" s="109">
        <v>9556208</v>
      </c>
      <c r="D224" s="109">
        <v>20594</v>
      </c>
      <c r="E224" s="109">
        <v>2132</v>
      </c>
      <c r="F224" s="109">
        <v>116078</v>
      </c>
      <c r="G224" s="109">
        <v>785780</v>
      </c>
      <c r="H224" s="109">
        <v>137.93</v>
      </c>
      <c r="I224"/>
      <c r="J224"/>
      <c r="K224"/>
      <c r="L224"/>
    </row>
    <row r="225" spans="2:10" x14ac:dyDescent="0.35">
      <c r="B225"/>
      <c r="C225"/>
      <c r="D225"/>
      <c r="E225"/>
      <c r="F225"/>
      <c r="G225"/>
      <c r="H225"/>
      <c r="I225"/>
      <c r="J225"/>
    </row>
    <row r="226" spans="2:10" x14ac:dyDescent="0.35">
      <c r="B226"/>
      <c r="C226"/>
      <c r="D226"/>
      <c r="E226"/>
      <c r="F226"/>
      <c r="G226"/>
      <c r="H226"/>
      <c r="I226"/>
      <c r="J226"/>
    </row>
    <row r="227" spans="2:10" x14ac:dyDescent="0.35">
      <c r="B227"/>
      <c r="C227"/>
      <c r="D227"/>
      <c r="E227"/>
      <c r="F227"/>
      <c r="G227"/>
      <c r="H227"/>
      <c r="I227"/>
      <c r="J227"/>
    </row>
    <row r="228" spans="2:10" x14ac:dyDescent="0.35">
      <c r="B228"/>
      <c r="C228"/>
      <c r="D228"/>
      <c r="E228"/>
      <c r="F228"/>
      <c r="G228"/>
      <c r="H228"/>
      <c r="I228"/>
      <c r="J228"/>
    </row>
    <row r="229" spans="2:10" x14ac:dyDescent="0.35">
      <c r="B229"/>
      <c r="C229"/>
      <c r="D229"/>
      <c r="E229"/>
      <c r="F229"/>
      <c r="G229"/>
      <c r="H229"/>
      <c r="I229"/>
      <c r="J229"/>
    </row>
    <row r="230" spans="2:10" x14ac:dyDescent="0.35">
      <c r="B230"/>
      <c r="C230"/>
      <c r="D230"/>
      <c r="E230"/>
      <c r="F230"/>
      <c r="G230"/>
      <c r="H230"/>
      <c r="I230"/>
      <c r="J230"/>
    </row>
    <row r="231" spans="2:10" x14ac:dyDescent="0.35">
      <c r="B231"/>
      <c r="C231"/>
      <c r="D231"/>
      <c r="E231"/>
      <c r="F231"/>
      <c r="G231"/>
    </row>
    <row r="232" spans="2:10" x14ac:dyDescent="0.35">
      <c r="B232"/>
      <c r="C232"/>
      <c r="D232"/>
      <c r="E232"/>
      <c r="F232"/>
      <c r="G232"/>
    </row>
    <row r="233" spans="2:10" x14ac:dyDescent="0.35">
      <c r="B233"/>
      <c r="C233"/>
      <c r="D233"/>
      <c r="E233"/>
      <c r="F233"/>
      <c r="G233"/>
    </row>
    <row r="234" spans="2:10" x14ac:dyDescent="0.35">
      <c r="B234"/>
      <c r="C234"/>
      <c r="D234"/>
      <c r="E234"/>
      <c r="F234"/>
      <c r="G234"/>
    </row>
    <row r="235" spans="2:10" x14ac:dyDescent="0.35">
      <c r="B235"/>
      <c r="C235"/>
      <c r="D235"/>
      <c r="E235"/>
      <c r="F235"/>
      <c r="G235"/>
    </row>
    <row r="236" spans="2:10" x14ac:dyDescent="0.35">
      <c r="B236"/>
      <c r="C236"/>
      <c r="D236"/>
      <c r="E236"/>
      <c r="F236"/>
    </row>
    <row r="237" spans="2:10" x14ac:dyDescent="0.35">
      <c r="B237"/>
      <c r="C237"/>
      <c r="D237"/>
      <c r="E237"/>
      <c r="F237"/>
    </row>
    <row r="238" spans="2:10" x14ac:dyDescent="0.35">
      <c r="B238"/>
      <c r="C238"/>
      <c r="D238"/>
      <c r="E238"/>
      <c r="F238"/>
    </row>
    <row r="239" spans="2:10" x14ac:dyDescent="0.35">
      <c r="B239"/>
      <c r="C239"/>
      <c r="D239"/>
      <c r="E239"/>
      <c r="F239"/>
    </row>
    <row r="240" spans="2:10" x14ac:dyDescent="0.35">
      <c r="B240"/>
      <c r="C240"/>
      <c r="D240"/>
      <c r="E240"/>
      <c r="F240"/>
    </row>
    <row r="241" spans="2:6" x14ac:dyDescent="0.35">
      <c r="B241"/>
      <c r="C241"/>
      <c r="D241"/>
      <c r="E241"/>
      <c r="F241"/>
    </row>
    <row r="242" spans="2:6" x14ac:dyDescent="0.35">
      <c r="B242"/>
      <c r="C242"/>
      <c r="D242"/>
      <c r="E242"/>
      <c r="F242"/>
    </row>
    <row r="243" spans="2:6" x14ac:dyDescent="0.35">
      <c r="B243"/>
      <c r="C243"/>
      <c r="D243"/>
      <c r="E243"/>
      <c r="F243"/>
    </row>
    <row r="244" spans="2:6" x14ac:dyDescent="0.35">
      <c r="B244"/>
      <c r="C244"/>
      <c r="D244"/>
      <c r="E244"/>
      <c r="F244"/>
    </row>
    <row r="245" spans="2:6" x14ac:dyDescent="0.35">
      <c r="B245"/>
      <c r="C245"/>
      <c r="D245"/>
      <c r="E245"/>
      <c r="F245"/>
    </row>
    <row r="246" spans="2:6" x14ac:dyDescent="0.35">
      <c r="B246"/>
      <c r="C246"/>
      <c r="D246"/>
      <c r="E246"/>
      <c r="F246"/>
    </row>
    <row r="247" spans="2:6" x14ac:dyDescent="0.35">
      <c r="B247"/>
      <c r="C247"/>
      <c r="D247"/>
      <c r="E247"/>
      <c r="F247"/>
    </row>
    <row r="248" spans="2:6" x14ac:dyDescent="0.35">
      <c r="B248"/>
      <c r="C248"/>
      <c r="D248"/>
      <c r="E248"/>
      <c r="F248"/>
    </row>
    <row r="249" spans="2:6" x14ac:dyDescent="0.35">
      <c r="B249"/>
      <c r="C249"/>
      <c r="D249"/>
      <c r="E249"/>
      <c r="F249"/>
    </row>
    <row r="250" spans="2:6" x14ac:dyDescent="0.35">
      <c r="B250"/>
      <c r="C250"/>
      <c r="D250"/>
      <c r="E250"/>
      <c r="F250"/>
    </row>
    <row r="251" spans="2:6" x14ac:dyDescent="0.35">
      <c r="B251"/>
      <c r="C251"/>
      <c r="D251"/>
      <c r="E251"/>
      <c r="F251"/>
    </row>
    <row r="252" spans="2:6" x14ac:dyDescent="0.35">
      <c r="B252"/>
      <c r="C252"/>
      <c r="D252"/>
      <c r="E252"/>
      <c r="F252"/>
    </row>
    <row r="253" spans="2:6" x14ac:dyDescent="0.35">
      <c r="B253"/>
      <c r="C253"/>
      <c r="D253"/>
      <c r="E253"/>
      <c r="F253"/>
    </row>
    <row r="254" spans="2:6" x14ac:dyDescent="0.35">
      <c r="B254"/>
      <c r="C254"/>
      <c r="D254"/>
      <c r="E254"/>
      <c r="F254"/>
    </row>
    <row r="255" spans="2:6" x14ac:dyDescent="0.35">
      <c r="B255"/>
      <c r="C255"/>
      <c r="D255"/>
      <c r="E255"/>
      <c r="F255"/>
    </row>
    <row r="256" spans="2:6" x14ac:dyDescent="0.35">
      <c r="B256"/>
      <c r="C256"/>
      <c r="D256"/>
      <c r="E256"/>
      <c r="F256"/>
    </row>
    <row r="257" spans="2:6" x14ac:dyDescent="0.35">
      <c r="B257"/>
      <c r="C257"/>
      <c r="D257"/>
      <c r="E257"/>
      <c r="F257"/>
    </row>
    <row r="258" spans="2:6" x14ac:dyDescent="0.35">
      <c r="B258"/>
      <c r="C258"/>
      <c r="D258"/>
      <c r="E258"/>
      <c r="F258"/>
    </row>
    <row r="259" spans="2:6" x14ac:dyDescent="0.35">
      <c r="B259"/>
      <c r="C259"/>
      <c r="D259"/>
      <c r="E259"/>
      <c r="F259"/>
    </row>
    <row r="260" spans="2:6" x14ac:dyDescent="0.35">
      <c r="B260"/>
      <c r="C260"/>
      <c r="D260"/>
      <c r="E260"/>
      <c r="F260"/>
    </row>
  </sheetData>
  <mergeCells count="1">
    <mergeCell ref="B1:B2"/>
  </mergeCells>
  <conditionalFormatting pivot="1" sqref="E11:E16">
    <cfRule type="iconSet" priority="2">
      <iconSet>
        <cfvo type="percent" val="0"/>
        <cfvo type="num" val="1.0499999999999999E-3"/>
        <cfvo type="num" val="1.0499999999999999E-3"/>
      </iconSet>
    </cfRule>
  </conditionalFormatting>
  <conditionalFormatting pivot="1" sqref="F41:F82">
    <cfRule type="iconSet" priority="1">
      <iconSet>
        <cfvo type="percent" val="0"/>
        <cfvo type="num" val="1.0499999999999999E-3"/>
        <cfvo type="num" val="1.0499999999999999E-3"/>
      </iconSet>
    </cfRule>
  </conditionalFormatting>
  <pageMargins left="0.7" right="0.7" top="0.75" bottom="0.75" header="0.3" footer="0.3"/>
  <pageSetup paperSize="9" orientation="portrait" verticalDpi="300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0"/>
  <sheetViews>
    <sheetView workbookViewId="0">
      <selection activeCell="D6" sqref="D6"/>
    </sheetView>
  </sheetViews>
  <sheetFormatPr defaultRowHeight="14.4" x14ac:dyDescent="0.3"/>
  <cols>
    <col min="1" max="1" width="37.6640625" bestFit="1" customWidth="1"/>
    <col min="2" max="2" width="14.88671875" bestFit="1" customWidth="1"/>
    <col min="3" max="3" width="18.6640625" bestFit="1" customWidth="1"/>
    <col min="4" max="4" width="16" bestFit="1" customWidth="1"/>
    <col min="5" max="5" width="17" bestFit="1" customWidth="1"/>
    <col min="6" max="6" width="15" bestFit="1" customWidth="1"/>
    <col min="7" max="7" width="11.6640625" bestFit="1" customWidth="1"/>
    <col min="8" max="8" width="10.6640625" bestFit="1" customWidth="1"/>
    <col min="9" max="9" width="12.6640625" bestFit="1" customWidth="1"/>
    <col min="10" max="10" width="22.6640625" bestFit="1" customWidth="1"/>
    <col min="11" max="11" width="15.6640625" bestFit="1" customWidth="1"/>
    <col min="257" max="257" width="37.6640625" bestFit="1" customWidth="1"/>
    <col min="258" max="258" width="14.88671875" bestFit="1" customWidth="1"/>
    <col min="259" max="259" width="18.6640625" bestFit="1" customWidth="1"/>
    <col min="260" max="260" width="16" bestFit="1" customWidth="1"/>
    <col min="261" max="261" width="17" bestFit="1" customWidth="1"/>
    <col min="262" max="262" width="15" bestFit="1" customWidth="1"/>
    <col min="263" max="263" width="11.6640625" bestFit="1" customWidth="1"/>
    <col min="264" max="264" width="10.6640625" bestFit="1" customWidth="1"/>
    <col min="265" max="265" width="12.6640625" bestFit="1" customWidth="1"/>
    <col min="266" max="266" width="22.6640625" bestFit="1" customWidth="1"/>
    <col min="267" max="267" width="15.6640625" bestFit="1" customWidth="1"/>
    <col min="513" max="513" width="37.6640625" bestFit="1" customWidth="1"/>
    <col min="514" max="514" width="14.88671875" bestFit="1" customWidth="1"/>
    <col min="515" max="515" width="18.6640625" bestFit="1" customWidth="1"/>
    <col min="516" max="516" width="16" bestFit="1" customWidth="1"/>
    <col min="517" max="517" width="17" bestFit="1" customWidth="1"/>
    <col min="518" max="518" width="15" bestFit="1" customWidth="1"/>
    <col min="519" max="519" width="11.6640625" bestFit="1" customWidth="1"/>
    <col min="520" max="520" width="10.6640625" bestFit="1" customWidth="1"/>
    <col min="521" max="521" width="12.6640625" bestFit="1" customWidth="1"/>
    <col min="522" max="522" width="22.6640625" bestFit="1" customWidth="1"/>
    <col min="523" max="523" width="15.6640625" bestFit="1" customWidth="1"/>
    <col min="769" max="769" width="37.6640625" bestFit="1" customWidth="1"/>
    <col min="770" max="770" width="14.88671875" bestFit="1" customWidth="1"/>
    <col min="771" max="771" width="18.6640625" bestFit="1" customWidth="1"/>
    <col min="772" max="772" width="16" bestFit="1" customWidth="1"/>
    <col min="773" max="773" width="17" bestFit="1" customWidth="1"/>
    <col min="774" max="774" width="15" bestFit="1" customWidth="1"/>
    <col min="775" max="775" width="11.6640625" bestFit="1" customWidth="1"/>
    <col min="776" max="776" width="10.6640625" bestFit="1" customWidth="1"/>
    <col min="777" max="777" width="12.6640625" bestFit="1" customWidth="1"/>
    <col min="778" max="778" width="22.6640625" bestFit="1" customWidth="1"/>
    <col min="779" max="779" width="15.6640625" bestFit="1" customWidth="1"/>
    <col min="1025" max="1025" width="37.6640625" bestFit="1" customWidth="1"/>
    <col min="1026" max="1026" width="14.88671875" bestFit="1" customWidth="1"/>
    <col min="1027" max="1027" width="18.6640625" bestFit="1" customWidth="1"/>
    <col min="1028" max="1028" width="16" bestFit="1" customWidth="1"/>
    <col min="1029" max="1029" width="17" bestFit="1" customWidth="1"/>
    <col min="1030" max="1030" width="15" bestFit="1" customWidth="1"/>
    <col min="1031" max="1031" width="11.6640625" bestFit="1" customWidth="1"/>
    <col min="1032" max="1032" width="10.6640625" bestFit="1" customWidth="1"/>
    <col min="1033" max="1033" width="12.6640625" bestFit="1" customWidth="1"/>
    <col min="1034" max="1034" width="22.6640625" bestFit="1" customWidth="1"/>
    <col min="1035" max="1035" width="15.6640625" bestFit="1" customWidth="1"/>
    <col min="1281" max="1281" width="37.6640625" bestFit="1" customWidth="1"/>
    <col min="1282" max="1282" width="14.88671875" bestFit="1" customWidth="1"/>
    <col min="1283" max="1283" width="18.6640625" bestFit="1" customWidth="1"/>
    <col min="1284" max="1284" width="16" bestFit="1" customWidth="1"/>
    <col min="1285" max="1285" width="17" bestFit="1" customWidth="1"/>
    <col min="1286" max="1286" width="15" bestFit="1" customWidth="1"/>
    <col min="1287" max="1287" width="11.6640625" bestFit="1" customWidth="1"/>
    <col min="1288" max="1288" width="10.6640625" bestFit="1" customWidth="1"/>
    <col min="1289" max="1289" width="12.6640625" bestFit="1" customWidth="1"/>
    <col min="1290" max="1290" width="22.6640625" bestFit="1" customWidth="1"/>
    <col min="1291" max="1291" width="15.6640625" bestFit="1" customWidth="1"/>
    <col min="1537" max="1537" width="37.6640625" bestFit="1" customWidth="1"/>
    <col min="1538" max="1538" width="14.88671875" bestFit="1" customWidth="1"/>
    <col min="1539" max="1539" width="18.6640625" bestFit="1" customWidth="1"/>
    <col min="1540" max="1540" width="16" bestFit="1" customWidth="1"/>
    <col min="1541" max="1541" width="17" bestFit="1" customWidth="1"/>
    <col min="1542" max="1542" width="15" bestFit="1" customWidth="1"/>
    <col min="1543" max="1543" width="11.6640625" bestFit="1" customWidth="1"/>
    <col min="1544" max="1544" width="10.6640625" bestFit="1" customWidth="1"/>
    <col min="1545" max="1545" width="12.6640625" bestFit="1" customWidth="1"/>
    <col min="1546" max="1546" width="22.6640625" bestFit="1" customWidth="1"/>
    <col min="1547" max="1547" width="15.6640625" bestFit="1" customWidth="1"/>
    <col min="1793" max="1793" width="37.6640625" bestFit="1" customWidth="1"/>
    <col min="1794" max="1794" width="14.88671875" bestFit="1" customWidth="1"/>
    <col min="1795" max="1795" width="18.6640625" bestFit="1" customWidth="1"/>
    <col min="1796" max="1796" width="16" bestFit="1" customWidth="1"/>
    <col min="1797" max="1797" width="17" bestFit="1" customWidth="1"/>
    <col min="1798" max="1798" width="15" bestFit="1" customWidth="1"/>
    <col min="1799" max="1799" width="11.6640625" bestFit="1" customWidth="1"/>
    <col min="1800" max="1800" width="10.6640625" bestFit="1" customWidth="1"/>
    <col min="1801" max="1801" width="12.6640625" bestFit="1" customWidth="1"/>
    <col min="1802" max="1802" width="22.6640625" bestFit="1" customWidth="1"/>
    <col min="1803" max="1803" width="15.6640625" bestFit="1" customWidth="1"/>
    <col min="2049" max="2049" width="37.6640625" bestFit="1" customWidth="1"/>
    <col min="2050" max="2050" width="14.88671875" bestFit="1" customWidth="1"/>
    <col min="2051" max="2051" width="18.6640625" bestFit="1" customWidth="1"/>
    <col min="2052" max="2052" width="16" bestFit="1" customWidth="1"/>
    <col min="2053" max="2053" width="17" bestFit="1" customWidth="1"/>
    <col min="2054" max="2054" width="15" bestFit="1" customWidth="1"/>
    <col min="2055" max="2055" width="11.6640625" bestFit="1" customWidth="1"/>
    <col min="2056" max="2056" width="10.6640625" bestFit="1" customWidth="1"/>
    <col min="2057" max="2057" width="12.6640625" bestFit="1" customWidth="1"/>
    <col min="2058" max="2058" width="22.6640625" bestFit="1" customWidth="1"/>
    <col min="2059" max="2059" width="15.6640625" bestFit="1" customWidth="1"/>
    <col min="2305" max="2305" width="37.6640625" bestFit="1" customWidth="1"/>
    <col min="2306" max="2306" width="14.88671875" bestFit="1" customWidth="1"/>
    <col min="2307" max="2307" width="18.6640625" bestFit="1" customWidth="1"/>
    <col min="2308" max="2308" width="16" bestFit="1" customWidth="1"/>
    <col min="2309" max="2309" width="17" bestFit="1" customWidth="1"/>
    <col min="2310" max="2310" width="15" bestFit="1" customWidth="1"/>
    <col min="2311" max="2311" width="11.6640625" bestFit="1" customWidth="1"/>
    <col min="2312" max="2312" width="10.6640625" bestFit="1" customWidth="1"/>
    <col min="2313" max="2313" width="12.6640625" bestFit="1" customWidth="1"/>
    <col min="2314" max="2314" width="22.6640625" bestFit="1" customWidth="1"/>
    <col min="2315" max="2315" width="15.6640625" bestFit="1" customWidth="1"/>
    <col min="2561" max="2561" width="37.6640625" bestFit="1" customWidth="1"/>
    <col min="2562" max="2562" width="14.88671875" bestFit="1" customWidth="1"/>
    <col min="2563" max="2563" width="18.6640625" bestFit="1" customWidth="1"/>
    <col min="2564" max="2564" width="16" bestFit="1" customWidth="1"/>
    <col min="2565" max="2565" width="17" bestFit="1" customWidth="1"/>
    <col min="2566" max="2566" width="15" bestFit="1" customWidth="1"/>
    <col min="2567" max="2567" width="11.6640625" bestFit="1" customWidth="1"/>
    <col min="2568" max="2568" width="10.6640625" bestFit="1" customWidth="1"/>
    <col min="2569" max="2569" width="12.6640625" bestFit="1" customWidth="1"/>
    <col min="2570" max="2570" width="22.6640625" bestFit="1" customWidth="1"/>
    <col min="2571" max="2571" width="15.6640625" bestFit="1" customWidth="1"/>
    <col min="2817" max="2817" width="37.6640625" bestFit="1" customWidth="1"/>
    <col min="2818" max="2818" width="14.88671875" bestFit="1" customWidth="1"/>
    <col min="2819" max="2819" width="18.6640625" bestFit="1" customWidth="1"/>
    <col min="2820" max="2820" width="16" bestFit="1" customWidth="1"/>
    <col min="2821" max="2821" width="17" bestFit="1" customWidth="1"/>
    <col min="2822" max="2822" width="15" bestFit="1" customWidth="1"/>
    <col min="2823" max="2823" width="11.6640625" bestFit="1" customWidth="1"/>
    <col min="2824" max="2824" width="10.6640625" bestFit="1" customWidth="1"/>
    <col min="2825" max="2825" width="12.6640625" bestFit="1" customWidth="1"/>
    <col min="2826" max="2826" width="22.6640625" bestFit="1" customWidth="1"/>
    <col min="2827" max="2827" width="15.6640625" bestFit="1" customWidth="1"/>
    <col min="3073" max="3073" width="37.6640625" bestFit="1" customWidth="1"/>
    <col min="3074" max="3074" width="14.88671875" bestFit="1" customWidth="1"/>
    <col min="3075" max="3075" width="18.6640625" bestFit="1" customWidth="1"/>
    <col min="3076" max="3076" width="16" bestFit="1" customWidth="1"/>
    <col min="3077" max="3077" width="17" bestFit="1" customWidth="1"/>
    <col min="3078" max="3078" width="15" bestFit="1" customWidth="1"/>
    <col min="3079" max="3079" width="11.6640625" bestFit="1" customWidth="1"/>
    <col min="3080" max="3080" width="10.6640625" bestFit="1" customWidth="1"/>
    <col min="3081" max="3081" width="12.6640625" bestFit="1" customWidth="1"/>
    <col min="3082" max="3082" width="22.6640625" bestFit="1" customWidth="1"/>
    <col min="3083" max="3083" width="15.6640625" bestFit="1" customWidth="1"/>
    <col min="3329" max="3329" width="37.6640625" bestFit="1" customWidth="1"/>
    <col min="3330" max="3330" width="14.88671875" bestFit="1" customWidth="1"/>
    <col min="3331" max="3331" width="18.6640625" bestFit="1" customWidth="1"/>
    <col min="3332" max="3332" width="16" bestFit="1" customWidth="1"/>
    <col min="3333" max="3333" width="17" bestFit="1" customWidth="1"/>
    <col min="3334" max="3334" width="15" bestFit="1" customWidth="1"/>
    <col min="3335" max="3335" width="11.6640625" bestFit="1" customWidth="1"/>
    <col min="3336" max="3336" width="10.6640625" bestFit="1" customWidth="1"/>
    <col min="3337" max="3337" width="12.6640625" bestFit="1" customWidth="1"/>
    <col min="3338" max="3338" width="22.6640625" bestFit="1" customWidth="1"/>
    <col min="3339" max="3339" width="15.6640625" bestFit="1" customWidth="1"/>
    <col min="3585" max="3585" width="37.6640625" bestFit="1" customWidth="1"/>
    <col min="3586" max="3586" width="14.88671875" bestFit="1" customWidth="1"/>
    <col min="3587" max="3587" width="18.6640625" bestFit="1" customWidth="1"/>
    <col min="3588" max="3588" width="16" bestFit="1" customWidth="1"/>
    <col min="3589" max="3589" width="17" bestFit="1" customWidth="1"/>
    <col min="3590" max="3590" width="15" bestFit="1" customWidth="1"/>
    <col min="3591" max="3591" width="11.6640625" bestFit="1" customWidth="1"/>
    <col min="3592" max="3592" width="10.6640625" bestFit="1" customWidth="1"/>
    <col min="3593" max="3593" width="12.6640625" bestFit="1" customWidth="1"/>
    <col min="3594" max="3594" width="22.6640625" bestFit="1" customWidth="1"/>
    <col min="3595" max="3595" width="15.6640625" bestFit="1" customWidth="1"/>
    <col min="3841" max="3841" width="37.6640625" bestFit="1" customWidth="1"/>
    <col min="3842" max="3842" width="14.88671875" bestFit="1" customWidth="1"/>
    <col min="3843" max="3843" width="18.6640625" bestFit="1" customWidth="1"/>
    <col min="3844" max="3844" width="16" bestFit="1" customWidth="1"/>
    <col min="3845" max="3845" width="17" bestFit="1" customWidth="1"/>
    <col min="3846" max="3846" width="15" bestFit="1" customWidth="1"/>
    <col min="3847" max="3847" width="11.6640625" bestFit="1" customWidth="1"/>
    <col min="3848" max="3848" width="10.6640625" bestFit="1" customWidth="1"/>
    <col min="3849" max="3849" width="12.6640625" bestFit="1" customWidth="1"/>
    <col min="3850" max="3850" width="22.6640625" bestFit="1" customWidth="1"/>
    <col min="3851" max="3851" width="15.6640625" bestFit="1" customWidth="1"/>
    <col min="4097" max="4097" width="37.6640625" bestFit="1" customWidth="1"/>
    <col min="4098" max="4098" width="14.88671875" bestFit="1" customWidth="1"/>
    <col min="4099" max="4099" width="18.6640625" bestFit="1" customWidth="1"/>
    <col min="4100" max="4100" width="16" bestFit="1" customWidth="1"/>
    <col min="4101" max="4101" width="17" bestFit="1" customWidth="1"/>
    <col min="4102" max="4102" width="15" bestFit="1" customWidth="1"/>
    <col min="4103" max="4103" width="11.6640625" bestFit="1" customWidth="1"/>
    <col min="4104" max="4104" width="10.6640625" bestFit="1" customWidth="1"/>
    <col min="4105" max="4105" width="12.6640625" bestFit="1" customWidth="1"/>
    <col min="4106" max="4106" width="22.6640625" bestFit="1" customWidth="1"/>
    <col min="4107" max="4107" width="15.6640625" bestFit="1" customWidth="1"/>
    <col min="4353" max="4353" width="37.6640625" bestFit="1" customWidth="1"/>
    <col min="4354" max="4354" width="14.88671875" bestFit="1" customWidth="1"/>
    <col min="4355" max="4355" width="18.6640625" bestFit="1" customWidth="1"/>
    <col min="4356" max="4356" width="16" bestFit="1" customWidth="1"/>
    <col min="4357" max="4357" width="17" bestFit="1" customWidth="1"/>
    <col min="4358" max="4358" width="15" bestFit="1" customWidth="1"/>
    <col min="4359" max="4359" width="11.6640625" bestFit="1" customWidth="1"/>
    <col min="4360" max="4360" width="10.6640625" bestFit="1" customWidth="1"/>
    <col min="4361" max="4361" width="12.6640625" bestFit="1" customWidth="1"/>
    <col min="4362" max="4362" width="22.6640625" bestFit="1" customWidth="1"/>
    <col min="4363" max="4363" width="15.6640625" bestFit="1" customWidth="1"/>
    <col min="4609" max="4609" width="37.6640625" bestFit="1" customWidth="1"/>
    <col min="4610" max="4610" width="14.88671875" bestFit="1" customWidth="1"/>
    <col min="4611" max="4611" width="18.6640625" bestFit="1" customWidth="1"/>
    <col min="4612" max="4612" width="16" bestFit="1" customWidth="1"/>
    <col min="4613" max="4613" width="17" bestFit="1" customWidth="1"/>
    <col min="4614" max="4614" width="15" bestFit="1" customWidth="1"/>
    <col min="4615" max="4615" width="11.6640625" bestFit="1" customWidth="1"/>
    <col min="4616" max="4616" width="10.6640625" bestFit="1" customWidth="1"/>
    <col min="4617" max="4617" width="12.6640625" bestFit="1" customWidth="1"/>
    <col min="4618" max="4618" width="22.6640625" bestFit="1" customWidth="1"/>
    <col min="4619" max="4619" width="15.6640625" bestFit="1" customWidth="1"/>
    <col min="4865" max="4865" width="37.6640625" bestFit="1" customWidth="1"/>
    <col min="4866" max="4866" width="14.88671875" bestFit="1" customWidth="1"/>
    <col min="4867" max="4867" width="18.6640625" bestFit="1" customWidth="1"/>
    <col min="4868" max="4868" width="16" bestFit="1" customWidth="1"/>
    <col min="4869" max="4869" width="17" bestFit="1" customWidth="1"/>
    <col min="4870" max="4870" width="15" bestFit="1" customWidth="1"/>
    <col min="4871" max="4871" width="11.6640625" bestFit="1" customWidth="1"/>
    <col min="4872" max="4872" width="10.6640625" bestFit="1" customWidth="1"/>
    <col min="4873" max="4873" width="12.6640625" bestFit="1" customWidth="1"/>
    <col min="4874" max="4874" width="22.6640625" bestFit="1" customWidth="1"/>
    <col min="4875" max="4875" width="15.6640625" bestFit="1" customWidth="1"/>
    <col min="5121" max="5121" width="37.6640625" bestFit="1" customWidth="1"/>
    <col min="5122" max="5122" width="14.88671875" bestFit="1" customWidth="1"/>
    <col min="5123" max="5123" width="18.6640625" bestFit="1" customWidth="1"/>
    <col min="5124" max="5124" width="16" bestFit="1" customWidth="1"/>
    <col min="5125" max="5125" width="17" bestFit="1" customWidth="1"/>
    <col min="5126" max="5126" width="15" bestFit="1" customWidth="1"/>
    <col min="5127" max="5127" width="11.6640625" bestFit="1" customWidth="1"/>
    <col min="5128" max="5128" width="10.6640625" bestFit="1" customWidth="1"/>
    <col min="5129" max="5129" width="12.6640625" bestFit="1" customWidth="1"/>
    <col min="5130" max="5130" width="22.6640625" bestFit="1" customWidth="1"/>
    <col min="5131" max="5131" width="15.6640625" bestFit="1" customWidth="1"/>
    <col min="5377" max="5377" width="37.6640625" bestFit="1" customWidth="1"/>
    <col min="5378" max="5378" width="14.88671875" bestFit="1" customWidth="1"/>
    <col min="5379" max="5379" width="18.6640625" bestFit="1" customWidth="1"/>
    <col min="5380" max="5380" width="16" bestFit="1" customWidth="1"/>
    <col min="5381" max="5381" width="17" bestFit="1" customWidth="1"/>
    <col min="5382" max="5382" width="15" bestFit="1" customWidth="1"/>
    <col min="5383" max="5383" width="11.6640625" bestFit="1" customWidth="1"/>
    <col min="5384" max="5384" width="10.6640625" bestFit="1" customWidth="1"/>
    <col min="5385" max="5385" width="12.6640625" bestFit="1" customWidth="1"/>
    <col min="5386" max="5386" width="22.6640625" bestFit="1" customWidth="1"/>
    <col min="5387" max="5387" width="15.6640625" bestFit="1" customWidth="1"/>
    <col min="5633" max="5633" width="37.6640625" bestFit="1" customWidth="1"/>
    <col min="5634" max="5634" width="14.88671875" bestFit="1" customWidth="1"/>
    <col min="5635" max="5635" width="18.6640625" bestFit="1" customWidth="1"/>
    <col min="5636" max="5636" width="16" bestFit="1" customWidth="1"/>
    <col min="5637" max="5637" width="17" bestFit="1" customWidth="1"/>
    <col min="5638" max="5638" width="15" bestFit="1" customWidth="1"/>
    <col min="5639" max="5639" width="11.6640625" bestFit="1" customWidth="1"/>
    <col min="5640" max="5640" width="10.6640625" bestFit="1" customWidth="1"/>
    <col min="5641" max="5641" width="12.6640625" bestFit="1" customWidth="1"/>
    <col min="5642" max="5642" width="22.6640625" bestFit="1" customWidth="1"/>
    <col min="5643" max="5643" width="15.6640625" bestFit="1" customWidth="1"/>
    <col min="5889" max="5889" width="37.6640625" bestFit="1" customWidth="1"/>
    <col min="5890" max="5890" width="14.88671875" bestFit="1" customWidth="1"/>
    <col min="5891" max="5891" width="18.6640625" bestFit="1" customWidth="1"/>
    <col min="5892" max="5892" width="16" bestFit="1" customWidth="1"/>
    <col min="5893" max="5893" width="17" bestFit="1" customWidth="1"/>
    <col min="5894" max="5894" width="15" bestFit="1" customWidth="1"/>
    <col min="5895" max="5895" width="11.6640625" bestFit="1" customWidth="1"/>
    <col min="5896" max="5896" width="10.6640625" bestFit="1" customWidth="1"/>
    <col min="5897" max="5897" width="12.6640625" bestFit="1" customWidth="1"/>
    <col min="5898" max="5898" width="22.6640625" bestFit="1" customWidth="1"/>
    <col min="5899" max="5899" width="15.6640625" bestFit="1" customWidth="1"/>
    <col min="6145" max="6145" width="37.6640625" bestFit="1" customWidth="1"/>
    <col min="6146" max="6146" width="14.88671875" bestFit="1" customWidth="1"/>
    <col min="6147" max="6147" width="18.6640625" bestFit="1" customWidth="1"/>
    <col min="6148" max="6148" width="16" bestFit="1" customWidth="1"/>
    <col min="6149" max="6149" width="17" bestFit="1" customWidth="1"/>
    <col min="6150" max="6150" width="15" bestFit="1" customWidth="1"/>
    <col min="6151" max="6151" width="11.6640625" bestFit="1" customWidth="1"/>
    <col min="6152" max="6152" width="10.6640625" bestFit="1" customWidth="1"/>
    <col min="6153" max="6153" width="12.6640625" bestFit="1" customWidth="1"/>
    <col min="6154" max="6154" width="22.6640625" bestFit="1" customWidth="1"/>
    <col min="6155" max="6155" width="15.6640625" bestFit="1" customWidth="1"/>
    <col min="6401" max="6401" width="37.6640625" bestFit="1" customWidth="1"/>
    <col min="6402" max="6402" width="14.88671875" bestFit="1" customWidth="1"/>
    <col min="6403" max="6403" width="18.6640625" bestFit="1" customWidth="1"/>
    <col min="6404" max="6404" width="16" bestFit="1" customWidth="1"/>
    <col min="6405" max="6405" width="17" bestFit="1" customWidth="1"/>
    <col min="6406" max="6406" width="15" bestFit="1" customWidth="1"/>
    <col min="6407" max="6407" width="11.6640625" bestFit="1" customWidth="1"/>
    <col min="6408" max="6408" width="10.6640625" bestFit="1" customWidth="1"/>
    <col min="6409" max="6409" width="12.6640625" bestFit="1" customWidth="1"/>
    <col min="6410" max="6410" width="22.6640625" bestFit="1" customWidth="1"/>
    <col min="6411" max="6411" width="15.6640625" bestFit="1" customWidth="1"/>
    <col min="6657" max="6657" width="37.6640625" bestFit="1" customWidth="1"/>
    <col min="6658" max="6658" width="14.88671875" bestFit="1" customWidth="1"/>
    <col min="6659" max="6659" width="18.6640625" bestFit="1" customWidth="1"/>
    <col min="6660" max="6660" width="16" bestFit="1" customWidth="1"/>
    <col min="6661" max="6661" width="17" bestFit="1" customWidth="1"/>
    <col min="6662" max="6662" width="15" bestFit="1" customWidth="1"/>
    <col min="6663" max="6663" width="11.6640625" bestFit="1" customWidth="1"/>
    <col min="6664" max="6664" width="10.6640625" bestFit="1" customWidth="1"/>
    <col min="6665" max="6665" width="12.6640625" bestFit="1" customWidth="1"/>
    <col min="6666" max="6666" width="22.6640625" bestFit="1" customWidth="1"/>
    <col min="6667" max="6667" width="15.6640625" bestFit="1" customWidth="1"/>
    <col min="6913" max="6913" width="37.6640625" bestFit="1" customWidth="1"/>
    <col min="6914" max="6914" width="14.88671875" bestFit="1" customWidth="1"/>
    <col min="6915" max="6915" width="18.6640625" bestFit="1" customWidth="1"/>
    <col min="6916" max="6916" width="16" bestFit="1" customWidth="1"/>
    <col min="6917" max="6917" width="17" bestFit="1" customWidth="1"/>
    <col min="6918" max="6918" width="15" bestFit="1" customWidth="1"/>
    <col min="6919" max="6919" width="11.6640625" bestFit="1" customWidth="1"/>
    <col min="6920" max="6920" width="10.6640625" bestFit="1" customWidth="1"/>
    <col min="6921" max="6921" width="12.6640625" bestFit="1" customWidth="1"/>
    <col min="6922" max="6922" width="22.6640625" bestFit="1" customWidth="1"/>
    <col min="6923" max="6923" width="15.6640625" bestFit="1" customWidth="1"/>
    <col min="7169" max="7169" width="37.6640625" bestFit="1" customWidth="1"/>
    <col min="7170" max="7170" width="14.88671875" bestFit="1" customWidth="1"/>
    <col min="7171" max="7171" width="18.6640625" bestFit="1" customWidth="1"/>
    <col min="7172" max="7172" width="16" bestFit="1" customWidth="1"/>
    <col min="7173" max="7173" width="17" bestFit="1" customWidth="1"/>
    <col min="7174" max="7174" width="15" bestFit="1" customWidth="1"/>
    <col min="7175" max="7175" width="11.6640625" bestFit="1" customWidth="1"/>
    <col min="7176" max="7176" width="10.6640625" bestFit="1" customWidth="1"/>
    <col min="7177" max="7177" width="12.6640625" bestFit="1" customWidth="1"/>
    <col min="7178" max="7178" width="22.6640625" bestFit="1" customWidth="1"/>
    <col min="7179" max="7179" width="15.6640625" bestFit="1" customWidth="1"/>
    <col min="7425" max="7425" width="37.6640625" bestFit="1" customWidth="1"/>
    <col min="7426" max="7426" width="14.88671875" bestFit="1" customWidth="1"/>
    <col min="7427" max="7427" width="18.6640625" bestFit="1" customWidth="1"/>
    <col min="7428" max="7428" width="16" bestFit="1" customWidth="1"/>
    <col min="7429" max="7429" width="17" bestFit="1" customWidth="1"/>
    <col min="7430" max="7430" width="15" bestFit="1" customWidth="1"/>
    <col min="7431" max="7431" width="11.6640625" bestFit="1" customWidth="1"/>
    <col min="7432" max="7432" width="10.6640625" bestFit="1" customWidth="1"/>
    <col min="7433" max="7433" width="12.6640625" bestFit="1" customWidth="1"/>
    <col min="7434" max="7434" width="22.6640625" bestFit="1" customWidth="1"/>
    <col min="7435" max="7435" width="15.6640625" bestFit="1" customWidth="1"/>
    <col min="7681" max="7681" width="37.6640625" bestFit="1" customWidth="1"/>
    <col min="7682" max="7682" width="14.88671875" bestFit="1" customWidth="1"/>
    <col min="7683" max="7683" width="18.6640625" bestFit="1" customWidth="1"/>
    <col min="7684" max="7684" width="16" bestFit="1" customWidth="1"/>
    <col min="7685" max="7685" width="17" bestFit="1" customWidth="1"/>
    <col min="7686" max="7686" width="15" bestFit="1" customWidth="1"/>
    <col min="7687" max="7687" width="11.6640625" bestFit="1" customWidth="1"/>
    <col min="7688" max="7688" width="10.6640625" bestFit="1" customWidth="1"/>
    <col min="7689" max="7689" width="12.6640625" bestFit="1" customWidth="1"/>
    <col min="7690" max="7690" width="22.6640625" bestFit="1" customWidth="1"/>
    <col min="7691" max="7691" width="15.6640625" bestFit="1" customWidth="1"/>
    <col min="7937" max="7937" width="37.6640625" bestFit="1" customWidth="1"/>
    <col min="7938" max="7938" width="14.88671875" bestFit="1" customWidth="1"/>
    <col min="7939" max="7939" width="18.6640625" bestFit="1" customWidth="1"/>
    <col min="7940" max="7940" width="16" bestFit="1" customWidth="1"/>
    <col min="7941" max="7941" width="17" bestFit="1" customWidth="1"/>
    <col min="7942" max="7942" width="15" bestFit="1" customWidth="1"/>
    <col min="7943" max="7943" width="11.6640625" bestFit="1" customWidth="1"/>
    <col min="7944" max="7944" width="10.6640625" bestFit="1" customWidth="1"/>
    <col min="7945" max="7945" width="12.6640625" bestFit="1" customWidth="1"/>
    <col min="7946" max="7946" width="22.6640625" bestFit="1" customWidth="1"/>
    <col min="7947" max="7947" width="15.6640625" bestFit="1" customWidth="1"/>
    <col min="8193" max="8193" width="37.6640625" bestFit="1" customWidth="1"/>
    <col min="8194" max="8194" width="14.88671875" bestFit="1" customWidth="1"/>
    <col min="8195" max="8195" width="18.6640625" bestFit="1" customWidth="1"/>
    <col min="8196" max="8196" width="16" bestFit="1" customWidth="1"/>
    <col min="8197" max="8197" width="17" bestFit="1" customWidth="1"/>
    <col min="8198" max="8198" width="15" bestFit="1" customWidth="1"/>
    <col min="8199" max="8199" width="11.6640625" bestFit="1" customWidth="1"/>
    <col min="8200" max="8200" width="10.6640625" bestFit="1" customWidth="1"/>
    <col min="8201" max="8201" width="12.6640625" bestFit="1" customWidth="1"/>
    <col min="8202" max="8202" width="22.6640625" bestFit="1" customWidth="1"/>
    <col min="8203" max="8203" width="15.6640625" bestFit="1" customWidth="1"/>
    <col min="8449" max="8449" width="37.6640625" bestFit="1" customWidth="1"/>
    <col min="8450" max="8450" width="14.88671875" bestFit="1" customWidth="1"/>
    <col min="8451" max="8451" width="18.6640625" bestFit="1" customWidth="1"/>
    <col min="8452" max="8452" width="16" bestFit="1" customWidth="1"/>
    <col min="8453" max="8453" width="17" bestFit="1" customWidth="1"/>
    <col min="8454" max="8454" width="15" bestFit="1" customWidth="1"/>
    <col min="8455" max="8455" width="11.6640625" bestFit="1" customWidth="1"/>
    <col min="8456" max="8456" width="10.6640625" bestFit="1" customWidth="1"/>
    <col min="8457" max="8457" width="12.6640625" bestFit="1" customWidth="1"/>
    <col min="8458" max="8458" width="22.6640625" bestFit="1" customWidth="1"/>
    <col min="8459" max="8459" width="15.6640625" bestFit="1" customWidth="1"/>
    <col min="8705" max="8705" width="37.6640625" bestFit="1" customWidth="1"/>
    <col min="8706" max="8706" width="14.88671875" bestFit="1" customWidth="1"/>
    <col min="8707" max="8707" width="18.6640625" bestFit="1" customWidth="1"/>
    <col min="8708" max="8708" width="16" bestFit="1" customWidth="1"/>
    <col min="8709" max="8709" width="17" bestFit="1" customWidth="1"/>
    <col min="8710" max="8710" width="15" bestFit="1" customWidth="1"/>
    <col min="8711" max="8711" width="11.6640625" bestFit="1" customWidth="1"/>
    <col min="8712" max="8712" width="10.6640625" bestFit="1" customWidth="1"/>
    <col min="8713" max="8713" width="12.6640625" bestFit="1" customWidth="1"/>
    <col min="8714" max="8714" width="22.6640625" bestFit="1" customWidth="1"/>
    <col min="8715" max="8715" width="15.6640625" bestFit="1" customWidth="1"/>
    <col min="8961" max="8961" width="37.6640625" bestFit="1" customWidth="1"/>
    <col min="8962" max="8962" width="14.88671875" bestFit="1" customWidth="1"/>
    <col min="8963" max="8963" width="18.6640625" bestFit="1" customWidth="1"/>
    <col min="8964" max="8964" width="16" bestFit="1" customWidth="1"/>
    <col min="8965" max="8965" width="17" bestFit="1" customWidth="1"/>
    <col min="8966" max="8966" width="15" bestFit="1" customWidth="1"/>
    <col min="8967" max="8967" width="11.6640625" bestFit="1" customWidth="1"/>
    <col min="8968" max="8968" width="10.6640625" bestFit="1" customWidth="1"/>
    <col min="8969" max="8969" width="12.6640625" bestFit="1" customWidth="1"/>
    <col min="8970" max="8970" width="22.6640625" bestFit="1" customWidth="1"/>
    <col min="8971" max="8971" width="15.6640625" bestFit="1" customWidth="1"/>
    <col min="9217" max="9217" width="37.6640625" bestFit="1" customWidth="1"/>
    <col min="9218" max="9218" width="14.88671875" bestFit="1" customWidth="1"/>
    <col min="9219" max="9219" width="18.6640625" bestFit="1" customWidth="1"/>
    <col min="9220" max="9220" width="16" bestFit="1" customWidth="1"/>
    <col min="9221" max="9221" width="17" bestFit="1" customWidth="1"/>
    <col min="9222" max="9222" width="15" bestFit="1" customWidth="1"/>
    <col min="9223" max="9223" width="11.6640625" bestFit="1" customWidth="1"/>
    <col min="9224" max="9224" width="10.6640625" bestFit="1" customWidth="1"/>
    <col min="9225" max="9225" width="12.6640625" bestFit="1" customWidth="1"/>
    <col min="9226" max="9226" width="22.6640625" bestFit="1" customWidth="1"/>
    <col min="9227" max="9227" width="15.6640625" bestFit="1" customWidth="1"/>
    <col min="9473" max="9473" width="37.6640625" bestFit="1" customWidth="1"/>
    <col min="9474" max="9474" width="14.88671875" bestFit="1" customWidth="1"/>
    <col min="9475" max="9475" width="18.6640625" bestFit="1" customWidth="1"/>
    <col min="9476" max="9476" width="16" bestFit="1" customWidth="1"/>
    <col min="9477" max="9477" width="17" bestFit="1" customWidth="1"/>
    <col min="9478" max="9478" width="15" bestFit="1" customWidth="1"/>
    <col min="9479" max="9479" width="11.6640625" bestFit="1" customWidth="1"/>
    <col min="9480" max="9480" width="10.6640625" bestFit="1" customWidth="1"/>
    <col min="9481" max="9481" width="12.6640625" bestFit="1" customWidth="1"/>
    <col min="9482" max="9482" width="22.6640625" bestFit="1" customWidth="1"/>
    <col min="9483" max="9483" width="15.6640625" bestFit="1" customWidth="1"/>
    <col min="9729" max="9729" width="37.6640625" bestFit="1" customWidth="1"/>
    <col min="9730" max="9730" width="14.88671875" bestFit="1" customWidth="1"/>
    <col min="9731" max="9731" width="18.6640625" bestFit="1" customWidth="1"/>
    <col min="9732" max="9732" width="16" bestFit="1" customWidth="1"/>
    <col min="9733" max="9733" width="17" bestFit="1" customWidth="1"/>
    <col min="9734" max="9734" width="15" bestFit="1" customWidth="1"/>
    <col min="9735" max="9735" width="11.6640625" bestFit="1" customWidth="1"/>
    <col min="9736" max="9736" width="10.6640625" bestFit="1" customWidth="1"/>
    <col min="9737" max="9737" width="12.6640625" bestFit="1" customWidth="1"/>
    <col min="9738" max="9738" width="22.6640625" bestFit="1" customWidth="1"/>
    <col min="9739" max="9739" width="15.6640625" bestFit="1" customWidth="1"/>
    <col min="9985" max="9985" width="37.6640625" bestFit="1" customWidth="1"/>
    <col min="9986" max="9986" width="14.88671875" bestFit="1" customWidth="1"/>
    <col min="9987" max="9987" width="18.6640625" bestFit="1" customWidth="1"/>
    <col min="9988" max="9988" width="16" bestFit="1" customWidth="1"/>
    <col min="9989" max="9989" width="17" bestFit="1" customWidth="1"/>
    <col min="9990" max="9990" width="15" bestFit="1" customWidth="1"/>
    <col min="9991" max="9991" width="11.6640625" bestFit="1" customWidth="1"/>
    <col min="9992" max="9992" width="10.6640625" bestFit="1" customWidth="1"/>
    <col min="9993" max="9993" width="12.6640625" bestFit="1" customWidth="1"/>
    <col min="9994" max="9994" width="22.6640625" bestFit="1" customWidth="1"/>
    <col min="9995" max="9995" width="15.6640625" bestFit="1" customWidth="1"/>
    <col min="10241" max="10241" width="37.6640625" bestFit="1" customWidth="1"/>
    <col min="10242" max="10242" width="14.88671875" bestFit="1" customWidth="1"/>
    <col min="10243" max="10243" width="18.6640625" bestFit="1" customWidth="1"/>
    <col min="10244" max="10244" width="16" bestFit="1" customWidth="1"/>
    <col min="10245" max="10245" width="17" bestFit="1" customWidth="1"/>
    <col min="10246" max="10246" width="15" bestFit="1" customWidth="1"/>
    <col min="10247" max="10247" width="11.6640625" bestFit="1" customWidth="1"/>
    <col min="10248" max="10248" width="10.6640625" bestFit="1" customWidth="1"/>
    <col min="10249" max="10249" width="12.6640625" bestFit="1" customWidth="1"/>
    <col min="10250" max="10250" width="22.6640625" bestFit="1" customWidth="1"/>
    <col min="10251" max="10251" width="15.6640625" bestFit="1" customWidth="1"/>
    <col min="10497" max="10497" width="37.6640625" bestFit="1" customWidth="1"/>
    <col min="10498" max="10498" width="14.88671875" bestFit="1" customWidth="1"/>
    <col min="10499" max="10499" width="18.6640625" bestFit="1" customWidth="1"/>
    <col min="10500" max="10500" width="16" bestFit="1" customWidth="1"/>
    <col min="10501" max="10501" width="17" bestFit="1" customWidth="1"/>
    <col min="10502" max="10502" width="15" bestFit="1" customWidth="1"/>
    <col min="10503" max="10503" width="11.6640625" bestFit="1" customWidth="1"/>
    <col min="10504" max="10504" width="10.6640625" bestFit="1" customWidth="1"/>
    <col min="10505" max="10505" width="12.6640625" bestFit="1" customWidth="1"/>
    <col min="10506" max="10506" width="22.6640625" bestFit="1" customWidth="1"/>
    <col min="10507" max="10507" width="15.6640625" bestFit="1" customWidth="1"/>
    <col min="10753" max="10753" width="37.6640625" bestFit="1" customWidth="1"/>
    <col min="10754" max="10754" width="14.88671875" bestFit="1" customWidth="1"/>
    <col min="10755" max="10755" width="18.6640625" bestFit="1" customWidth="1"/>
    <col min="10756" max="10756" width="16" bestFit="1" customWidth="1"/>
    <col min="10757" max="10757" width="17" bestFit="1" customWidth="1"/>
    <col min="10758" max="10758" width="15" bestFit="1" customWidth="1"/>
    <col min="10759" max="10759" width="11.6640625" bestFit="1" customWidth="1"/>
    <col min="10760" max="10760" width="10.6640625" bestFit="1" customWidth="1"/>
    <col min="10761" max="10761" width="12.6640625" bestFit="1" customWidth="1"/>
    <col min="10762" max="10762" width="22.6640625" bestFit="1" customWidth="1"/>
    <col min="10763" max="10763" width="15.6640625" bestFit="1" customWidth="1"/>
    <col min="11009" max="11009" width="37.6640625" bestFit="1" customWidth="1"/>
    <col min="11010" max="11010" width="14.88671875" bestFit="1" customWidth="1"/>
    <col min="11011" max="11011" width="18.6640625" bestFit="1" customWidth="1"/>
    <col min="11012" max="11012" width="16" bestFit="1" customWidth="1"/>
    <col min="11013" max="11013" width="17" bestFit="1" customWidth="1"/>
    <col min="11014" max="11014" width="15" bestFit="1" customWidth="1"/>
    <col min="11015" max="11015" width="11.6640625" bestFit="1" customWidth="1"/>
    <col min="11016" max="11016" width="10.6640625" bestFit="1" customWidth="1"/>
    <col min="11017" max="11017" width="12.6640625" bestFit="1" customWidth="1"/>
    <col min="11018" max="11018" width="22.6640625" bestFit="1" customWidth="1"/>
    <col min="11019" max="11019" width="15.6640625" bestFit="1" customWidth="1"/>
    <col min="11265" max="11265" width="37.6640625" bestFit="1" customWidth="1"/>
    <col min="11266" max="11266" width="14.88671875" bestFit="1" customWidth="1"/>
    <col min="11267" max="11267" width="18.6640625" bestFit="1" customWidth="1"/>
    <col min="11268" max="11268" width="16" bestFit="1" customWidth="1"/>
    <col min="11269" max="11269" width="17" bestFit="1" customWidth="1"/>
    <col min="11270" max="11270" width="15" bestFit="1" customWidth="1"/>
    <col min="11271" max="11271" width="11.6640625" bestFit="1" customWidth="1"/>
    <col min="11272" max="11272" width="10.6640625" bestFit="1" customWidth="1"/>
    <col min="11273" max="11273" width="12.6640625" bestFit="1" customWidth="1"/>
    <col min="11274" max="11274" width="22.6640625" bestFit="1" customWidth="1"/>
    <col min="11275" max="11275" width="15.6640625" bestFit="1" customWidth="1"/>
    <col min="11521" max="11521" width="37.6640625" bestFit="1" customWidth="1"/>
    <col min="11522" max="11522" width="14.88671875" bestFit="1" customWidth="1"/>
    <col min="11523" max="11523" width="18.6640625" bestFit="1" customWidth="1"/>
    <col min="11524" max="11524" width="16" bestFit="1" customWidth="1"/>
    <col min="11525" max="11525" width="17" bestFit="1" customWidth="1"/>
    <col min="11526" max="11526" width="15" bestFit="1" customWidth="1"/>
    <col min="11527" max="11527" width="11.6640625" bestFit="1" customWidth="1"/>
    <col min="11528" max="11528" width="10.6640625" bestFit="1" customWidth="1"/>
    <col min="11529" max="11529" width="12.6640625" bestFit="1" customWidth="1"/>
    <col min="11530" max="11530" width="22.6640625" bestFit="1" customWidth="1"/>
    <col min="11531" max="11531" width="15.6640625" bestFit="1" customWidth="1"/>
    <col min="11777" max="11777" width="37.6640625" bestFit="1" customWidth="1"/>
    <col min="11778" max="11778" width="14.88671875" bestFit="1" customWidth="1"/>
    <col min="11779" max="11779" width="18.6640625" bestFit="1" customWidth="1"/>
    <col min="11780" max="11780" width="16" bestFit="1" customWidth="1"/>
    <col min="11781" max="11781" width="17" bestFit="1" customWidth="1"/>
    <col min="11782" max="11782" width="15" bestFit="1" customWidth="1"/>
    <col min="11783" max="11783" width="11.6640625" bestFit="1" customWidth="1"/>
    <col min="11784" max="11784" width="10.6640625" bestFit="1" customWidth="1"/>
    <col min="11785" max="11785" width="12.6640625" bestFit="1" customWidth="1"/>
    <col min="11786" max="11786" width="22.6640625" bestFit="1" customWidth="1"/>
    <col min="11787" max="11787" width="15.6640625" bestFit="1" customWidth="1"/>
    <col min="12033" max="12033" width="37.6640625" bestFit="1" customWidth="1"/>
    <col min="12034" max="12034" width="14.88671875" bestFit="1" customWidth="1"/>
    <col min="12035" max="12035" width="18.6640625" bestFit="1" customWidth="1"/>
    <col min="12036" max="12036" width="16" bestFit="1" customWidth="1"/>
    <col min="12037" max="12037" width="17" bestFit="1" customWidth="1"/>
    <col min="12038" max="12038" width="15" bestFit="1" customWidth="1"/>
    <col min="12039" max="12039" width="11.6640625" bestFit="1" customWidth="1"/>
    <col min="12040" max="12040" width="10.6640625" bestFit="1" customWidth="1"/>
    <col min="12041" max="12041" width="12.6640625" bestFit="1" customWidth="1"/>
    <col min="12042" max="12042" width="22.6640625" bestFit="1" customWidth="1"/>
    <col min="12043" max="12043" width="15.6640625" bestFit="1" customWidth="1"/>
    <col min="12289" max="12289" width="37.6640625" bestFit="1" customWidth="1"/>
    <col min="12290" max="12290" width="14.88671875" bestFit="1" customWidth="1"/>
    <col min="12291" max="12291" width="18.6640625" bestFit="1" customWidth="1"/>
    <col min="12292" max="12292" width="16" bestFit="1" customWidth="1"/>
    <col min="12293" max="12293" width="17" bestFit="1" customWidth="1"/>
    <col min="12294" max="12294" width="15" bestFit="1" customWidth="1"/>
    <col min="12295" max="12295" width="11.6640625" bestFit="1" customWidth="1"/>
    <col min="12296" max="12296" width="10.6640625" bestFit="1" customWidth="1"/>
    <col min="12297" max="12297" width="12.6640625" bestFit="1" customWidth="1"/>
    <col min="12298" max="12298" width="22.6640625" bestFit="1" customWidth="1"/>
    <col min="12299" max="12299" width="15.6640625" bestFit="1" customWidth="1"/>
    <col min="12545" max="12545" width="37.6640625" bestFit="1" customWidth="1"/>
    <col min="12546" max="12546" width="14.88671875" bestFit="1" customWidth="1"/>
    <col min="12547" max="12547" width="18.6640625" bestFit="1" customWidth="1"/>
    <col min="12548" max="12548" width="16" bestFit="1" customWidth="1"/>
    <col min="12549" max="12549" width="17" bestFit="1" customWidth="1"/>
    <col min="12550" max="12550" width="15" bestFit="1" customWidth="1"/>
    <col min="12551" max="12551" width="11.6640625" bestFit="1" customWidth="1"/>
    <col min="12552" max="12552" width="10.6640625" bestFit="1" customWidth="1"/>
    <col min="12553" max="12553" width="12.6640625" bestFit="1" customWidth="1"/>
    <col min="12554" max="12554" width="22.6640625" bestFit="1" customWidth="1"/>
    <col min="12555" max="12555" width="15.6640625" bestFit="1" customWidth="1"/>
    <col min="12801" max="12801" width="37.6640625" bestFit="1" customWidth="1"/>
    <col min="12802" max="12802" width="14.88671875" bestFit="1" customWidth="1"/>
    <col min="12803" max="12803" width="18.6640625" bestFit="1" customWidth="1"/>
    <col min="12804" max="12804" width="16" bestFit="1" customWidth="1"/>
    <col min="12805" max="12805" width="17" bestFit="1" customWidth="1"/>
    <col min="12806" max="12806" width="15" bestFit="1" customWidth="1"/>
    <col min="12807" max="12807" width="11.6640625" bestFit="1" customWidth="1"/>
    <col min="12808" max="12808" width="10.6640625" bestFit="1" customWidth="1"/>
    <col min="12809" max="12809" width="12.6640625" bestFit="1" customWidth="1"/>
    <col min="12810" max="12810" width="22.6640625" bestFit="1" customWidth="1"/>
    <col min="12811" max="12811" width="15.6640625" bestFit="1" customWidth="1"/>
    <col min="13057" max="13057" width="37.6640625" bestFit="1" customWidth="1"/>
    <col min="13058" max="13058" width="14.88671875" bestFit="1" customWidth="1"/>
    <col min="13059" max="13059" width="18.6640625" bestFit="1" customWidth="1"/>
    <col min="13060" max="13060" width="16" bestFit="1" customWidth="1"/>
    <col min="13061" max="13061" width="17" bestFit="1" customWidth="1"/>
    <col min="13062" max="13062" width="15" bestFit="1" customWidth="1"/>
    <col min="13063" max="13063" width="11.6640625" bestFit="1" customWidth="1"/>
    <col min="13064" max="13064" width="10.6640625" bestFit="1" customWidth="1"/>
    <col min="13065" max="13065" width="12.6640625" bestFit="1" customWidth="1"/>
    <col min="13066" max="13066" width="22.6640625" bestFit="1" customWidth="1"/>
    <col min="13067" max="13067" width="15.6640625" bestFit="1" customWidth="1"/>
    <col min="13313" max="13313" width="37.6640625" bestFit="1" customWidth="1"/>
    <col min="13314" max="13314" width="14.88671875" bestFit="1" customWidth="1"/>
    <col min="13315" max="13315" width="18.6640625" bestFit="1" customWidth="1"/>
    <col min="13316" max="13316" width="16" bestFit="1" customWidth="1"/>
    <col min="13317" max="13317" width="17" bestFit="1" customWidth="1"/>
    <col min="13318" max="13318" width="15" bestFit="1" customWidth="1"/>
    <col min="13319" max="13319" width="11.6640625" bestFit="1" customWidth="1"/>
    <col min="13320" max="13320" width="10.6640625" bestFit="1" customWidth="1"/>
    <col min="13321" max="13321" width="12.6640625" bestFit="1" customWidth="1"/>
    <col min="13322" max="13322" width="22.6640625" bestFit="1" customWidth="1"/>
    <col min="13323" max="13323" width="15.6640625" bestFit="1" customWidth="1"/>
    <col min="13569" max="13569" width="37.6640625" bestFit="1" customWidth="1"/>
    <col min="13570" max="13570" width="14.88671875" bestFit="1" customWidth="1"/>
    <col min="13571" max="13571" width="18.6640625" bestFit="1" customWidth="1"/>
    <col min="13572" max="13572" width="16" bestFit="1" customWidth="1"/>
    <col min="13573" max="13573" width="17" bestFit="1" customWidth="1"/>
    <col min="13574" max="13574" width="15" bestFit="1" customWidth="1"/>
    <col min="13575" max="13575" width="11.6640625" bestFit="1" customWidth="1"/>
    <col min="13576" max="13576" width="10.6640625" bestFit="1" customWidth="1"/>
    <col min="13577" max="13577" width="12.6640625" bestFit="1" customWidth="1"/>
    <col min="13578" max="13578" width="22.6640625" bestFit="1" customWidth="1"/>
    <col min="13579" max="13579" width="15.6640625" bestFit="1" customWidth="1"/>
    <col min="13825" max="13825" width="37.6640625" bestFit="1" customWidth="1"/>
    <col min="13826" max="13826" width="14.88671875" bestFit="1" customWidth="1"/>
    <col min="13827" max="13827" width="18.6640625" bestFit="1" customWidth="1"/>
    <col min="13828" max="13828" width="16" bestFit="1" customWidth="1"/>
    <col min="13829" max="13829" width="17" bestFit="1" customWidth="1"/>
    <col min="13830" max="13830" width="15" bestFit="1" customWidth="1"/>
    <col min="13831" max="13831" width="11.6640625" bestFit="1" customWidth="1"/>
    <col min="13832" max="13832" width="10.6640625" bestFit="1" customWidth="1"/>
    <col min="13833" max="13833" width="12.6640625" bestFit="1" customWidth="1"/>
    <col min="13834" max="13834" width="22.6640625" bestFit="1" customWidth="1"/>
    <col min="13835" max="13835" width="15.6640625" bestFit="1" customWidth="1"/>
    <col min="14081" max="14081" width="37.6640625" bestFit="1" customWidth="1"/>
    <col min="14082" max="14082" width="14.88671875" bestFit="1" customWidth="1"/>
    <col min="14083" max="14083" width="18.6640625" bestFit="1" customWidth="1"/>
    <col min="14084" max="14084" width="16" bestFit="1" customWidth="1"/>
    <col min="14085" max="14085" width="17" bestFit="1" customWidth="1"/>
    <col min="14086" max="14086" width="15" bestFit="1" customWidth="1"/>
    <col min="14087" max="14087" width="11.6640625" bestFit="1" customWidth="1"/>
    <col min="14088" max="14088" width="10.6640625" bestFit="1" customWidth="1"/>
    <col min="14089" max="14089" width="12.6640625" bestFit="1" customWidth="1"/>
    <col min="14090" max="14090" width="22.6640625" bestFit="1" customWidth="1"/>
    <col min="14091" max="14091" width="15.6640625" bestFit="1" customWidth="1"/>
    <col min="14337" max="14337" width="37.6640625" bestFit="1" customWidth="1"/>
    <col min="14338" max="14338" width="14.88671875" bestFit="1" customWidth="1"/>
    <col min="14339" max="14339" width="18.6640625" bestFit="1" customWidth="1"/>
    <col min="14340" max="14340" width="16" bestFit="1" customWidth="1"/>
    <col min="14341" max="14341" width="17" bestFit="1" customWidth="1"/>
    <col min="14342" max="14342" width="15" bestFit="1" customWidth="1"/>
    <col min="14343" max="14343" width="11.6640625" bestFit="1" customWidth="1"/>
    <col min="14344" max="14344" width="10.6640625" bestFit="1" customWidth="1"/>
    <col min="14345" max="14345" width="12.6640625" bestFit="1" customWidth="1"/>
    <col min="14346" max="14346" width="22.6640625" bestFit="1" customWidth="1"/>
    <col min="14347" max="14347" width="15.6640625" bestFit="1" customWidth="1"/>
    <col min="14593" max="14593" width="37.6640625" bestFit="1" customWidth="1"/>
    <col min="14594" max="14594" width="14.88671875" bestFit="1" customWidth="1"/>
    <col min="14595" max="14595" width="18.6640625" bestFit="1" customWidth="1"/>
    <col min="14596" max="14596" width="16" bestFit="1" customWidth="1"/>
    <col min="14597" max="14597" width="17" bestFit="1" customWidth="1"/>
    <col min="14598" max="14598" width="15" bestFit="1" customWidth="1"/>
    <col min="14599" max="14599" width="11.6640625" bestFit="1" customWidth="1"/>
    <col min="14600" max="14600" width="10.6640625" bestFit="1" customWidth="1"/>
    <col min="14601" max="14601" width="12.6640625" bestFit="1" customWidth="1"/>
    <col min="14602" max="14602" width="22.6640625" bestFit="1" customWidth="1"/>
    <col min="14603" max="14603" width="15.6640625" bestFit="1" customWidth="1"/>
    <col min="14849" max="14849" width="37.6640625" bestFit="1" customWidth="1"/>
    <col min="14850" max="14850" width="14.88671875" bestFit="1" customWidth="1"/>
    <col min="14851" max="14851" width="18.6640625" bestFit="1" customWidth="1"/>
    <col min="14852" max="14852" width="16" bestFit="1" customWidth="1"/>
    <col min="14853" max="14853" width="17" bestFit="1" customWidth="1"/>
    <col min="14854" max="14854" width="15" bestFit="1" customWidth="1"/>
    <col min="14855" max="14855" width="11.6640625" bestFit="1" customWidth="1"/>
    <col min="14856" max="14856" width="10.6640625" bestFit="1" customWidth="1"/>
    <col min="14857" max="14857" width="12.6640625" bestFit="1" customWidth="1"/>
    <col min="14858" max="14858" width="22.6640625" bestFit="1" customWidth="1"/>
    <col min="14859" max="14859" width="15.6640625" bestFit="1" customWidth="1"/>
    <col min="15105" max="15105" width="37.6640625" bestFit="1" customWidth="1"/>
    <col min="15106" max="15106" width="14.88671875" bestFit="1" customWidth="1"/>
    <col min="15107" max="15107" width="18.6640625" bestFit="1" customWidth="1"/>
    <col min="15108" max="15108" width="16" bestFit="1" customWidth="1"/>
    <col min="15109" max="15109" width="17" bestFit="1" customWidth="1"/>
    <col min="15110" max="15110" width="15" bestFit="1" customWidth="1"/>
    <col min="15111" max="15111" width="11.6640625" bestFit="1" customWidth="1"/>
    <col min="15112" max="15112" width="10.6640625" bestFit="1" customWidth="1"/>
    <col min="15113" max="15113" width="12.6640625" bestFit="1" customWidth="1"/>
    <col min="15114" max="15114" width="22.6640625" bestFit="1" customWidth="1"/>
    <col min="15115" max="15115" width="15.6640625" bestFit="1" customWidth="1"/>
    <col min="15361" max="15361" width="37.6640625" bestFit="1" customWidth="1"/>
    <col min="15362" max="15362" width="14.88671875" bestFit="1" customWidth="1"/>
    <col min="15363" max="15363" width="18.6640625" bestFit="1" customWidth="1"/>
    <col min="15364" max="15364" width="16" bestFit="1" customWidth="1"/>
    <col min="15365" max="15365" width="17" bestFit="1" customWidth="1"/>
    <col min="15366" max="15366" width="15" bestFit="1" customWidth="1"/>
    <col min="15367" max="15367" width="11.6640625" bestFit="1" customWidth="1"/>
    <col min="15368" max="15368" width="10.6640625" bestFit="1" customWidth="1"/>
    <col min="15369" max="15369" width="12.6640625" bestFit="1" customWidth="1"/>
    <col min="15370" max="15370" width="22.6640625" bestFit="1" customWidth="1"/>
    <col min="15371" max="15371" width="15.6640625" bestFit="1" customWidth="1"/>
    <col min="15617" max="15617" width="37.6640625" bestFit="1" customWidth="1"/>
    <col min="15618" max="15618" width="14.88671875" bestFit="1" customWidth="1"/>
    <col min="15619" max="15619" width="18.6640625" bestFit="1" customWidth="1"/>
    <col min="15620" max="15620" width="16" bestFit="1" customWidth="1"/>
    <col min="15621" max="15621" width="17" bestFit="1" customWidth="1"/>
    <col min="15622" max="15622" width="15" bestFit="1" customWidth="1"/>
    <col min="15623" max="15623" width="11.6640625" bestFit="1" customWidth="1"/>
    <col min="15624" max="15624" width="10.6640625" bestFit="1" customWidth="1"/>
    <col min="15625" max="15625" width="12.6640625" bestFit="1" customWidth="1"/>
    <col min="15626" max="15626" width="22.6640625" bestFit="1" customWidth="1"/>
    <col min="15627" max="15627" width="15.6640625" bestFit="1" customWidth="1"/>
    <col min="15873" max="15873" width="37.6640625" bestFit="1" customWidth="1"/>
    <col min="15874" max="15874" width="14.88671875" bestFit="1" customWidth="1"/>
    <col min="15875" max="15875" width="18.6640625" bestFit="1" customWidth="1"/>
    <col min="15876" max="15876" width="16" bestFit="1" customWidth="1"/>
    <col min="15877" max="15877" width="17" bestFit="1" customWidth="1"/>
    <col min="15878" max="15878" width="15" bestFit="1" customWidth="1"/>
    <col min="15879" max="15879" width="11.6640625" bestFit="1" customWidth="1"/>
    <col min="15880" max="15880" width="10.6640625" bestFit="1" customWidth="1"/>
    <col min="15881" max="15881" width="12.6640625" bestFit="1" customWidth="1"/>
    <col min="15882" max="15882" width="22.6640625" bestFit="1" customWidth="1"/>
    <col min="15883" max="15883" width="15.6640625" bestFit="1" customWidth="1"/>
    <col min="16129" max="16129" width="37.6640625" bestFit="1" customWidth="1"/>
    <col min="16130" max="16130" width="14.88671875" bestFit="1" customWidth="1"/>
    <col min="16131" max="16131" width="18.6640625" bestFit="1" customWidth="1"/>
    <col min="16132" max="16132" width="16" bestFit="1" customWidth="1"/>
    <col min="16133" max="16133" width="17" bestFit="1" customWidth="1"/>
    <col min="16134" max="16134" width="15" bestFit="1" customWidth="1"/>
    <col min="16135" max="16135" width="11.6640625" bestFit="1" customWidth="1"/>
    <col min="16136" max="16136" width="10.6640625" bestFit="1" customWidth="1"/>
    <col min="16137" max="16137" width="12.6640625" bestFit="1" customWidth="1"/>
    <col min="16138" max="16138" width="22.6640625" bestFit="1" customWidth="1"/>
    <col min="16139" max="16139" width="15.6640625" bestFit="1" customWidth="1"/>
  </cols>
  <sheetData>
    <row r="1" spans="1:11" ht="30" x14ac:dyDescent="0.25">
      <c r="A1" s="27" t="s">
        <v>29</v>
      </c>
      <c r="B1" s="27" t="s">
        <v>30</v>
      </c>
      <c r="C1" s="27" t="s">
        <v>42</v>
      </c>
      <c r="D1" s="27" t="s">
        <v>43</v>
      </c>
      <c r="E1" s="27" t="s">
        <v>113</v>
      </c>
      <c r="F1" s="27" t="s">
        <v>120</v>
      </c>
      <c r="G1" s="27" t="s">
        <v>376</v>
      </c>
      <c r="H1" s="27" t="s">
        <v>112</v>
      </c>
      <c r="I1" s="27" t="s">
        <v>121</v>
      </c>
      <c r="J1" s="27" t="s">
        <v>377</v>
      </c>
      <c r="K1" s="27" t="s">
        <v>114</v>
      </c>
    </row>
    <row r="2" spans="1:11" ht="15" x14ac:dyDescent="0.25">
      <c r="A2" s="28" t="s">
        <v>35</v>
      </c>
      <c r="B2" s="28" t="s">
        <v>37</v>
      </c>
      <c r="C2" s="28" t="s">
        <v>46</v>
      </c>
      <c r="D2" s="28" t="s">
        <v>44</v>
      </c>
      <c r="E2" s="29">
        <v>72864</v>
      </c>
      <c r="F2" s="29">
        <v>83234</v>
      </c>
      <c r="G2" s="29">
        <v>89</v>
      </c>
      <c r="H2" s="29">
        <v>114172</v>
      </c>
      <c r="I2" s="29">
        <v>131</v>
      </c>
      <c r="J2" s="29">
        <v>33.35</v>
      </c>
      <c r="K2" s="29">
        <v>278720</v>
      </c>
    </row>
    <row r="3" spans="1:11" ht="15" x14ac:dyDescent="0.25">
      <c r="A3" s="28" t="s">
        <v>35</v>
      </c>
      <c r="B3" s="28" t="s">
        <v>37</v>
      </c>
      <c r="C3" s="28" t="s">
        <v>47</v>
      </c>
      <c r="D3" s="28" t="s">
        <v>44</v>
      </c>
      <c r="E3" s="29">
        <v>73537</v>
      </c>
      <c r="F3" s="29">
        <v>83659</v>
      </c>
      <c r="G3" s="29">
        <v>85</v>
      </c>
      <c r="H3" s="29">
        <v>114587</v>
      </c>
      <c r="I3" s="29">
        <v>189</v>
      </c>
      <c r="J3" s="29">
        <v>33.33</v>
      </c>
      <c r="K3" s="29">
        <v>280765</v>
      </c>
    </row>
    <row r="4" spans="1:11" ht="15" x14ac:dyDescent="0.25">
      <c r="A4" s="28" t="s">
        <v>35</v>
      </c>
      <c r="B4" s="28" t="s">
        <v>38</v>
      </c>
      <c r="C4" s="28" t="s">
        <v>46</v>
      </c>
      <c r="D4" s="28" t="s">
        <v>44</v>
      </c>
      <c r="E4" s="29">
        <v>105661</v>
      </c>
      <c r="F4" s="29">
        <v>128404</v>
      </c>
      <c r="G4" s="29">
        <v>305</v>
      </c>
      <c r="H4" s="29">
        <v>189774</v>
      </c>
      <c r="I4" s="29">
        <v>544</v>
      </c>
      <c r="J4" s="29">
        <v>30.47</v>
      </c>
      <c r="K4" s="29">
        <v>439943</v>
      </c>
    </row>
    <row r="5" spans="1:11" ht="15" x14ac:dyDescent="0.25">
      <c r="A5" s="28" t="s">
        <v>35</v>
      </c>
      <c r="B5" s="28" t="s">
        <v>38</v>
      </c>
      <c r="C5" s="28" t="s">
        <v>47</v>
      </c>
      <c r="D5" s="28" t="s">
        <v>44</v>
      </c>
      <c r="E5" s="29">
        <v>107540</v>
      </c>
      <c r="F5" s="29">
        <v>129869</v>
      </c>
      <c r="G5" s="29">
        <v>300</v>
      </c>
      <c r="H5" s="29">
        <v>190695</v>
      </c>
      <c r="I5" s="29">
        <v>908</v>
      </c>
      <c r="J5" s="29">
        <v>30.65</v>
      </c>
      <c r="K5" s="29">
        <v>446104</v>
      </c>
    </row>
    <row r="6" spans="1:11" ht="15" x14ac:dyDescent="0.25">
      <c r="A6" s="28" t="s">
        <v>35</v>
      </c>
      <c r="B6" s="28" t="s">
        <v>38</v>
      </c>
      <c r="C6" s="28" t="s">
        <v>48</v>
      </c>
      <c r="D6" s="28" t="s">
        <v>49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41</v>
      </c>
    </row>
    <row r="7" spans="1:11" ht="15" x14ac:dyDescent="0.25">
      <c r="A7" s="28" t="s">
        <v>35</v>
      </c>
      <c r="B7" s="28" t="s">
        <v>39</v>
      </c>
      <c r="C7" s="28" t="s">
        <v>46</v>
      </c>
      <c r="D7" s="28" t="s">
        <v>44</v>
      </c>
      <c r="E7" s="29">
        <v>42668</v>
      </c>
      <c r="F7" s="29">
        <v>48723</v>
      </c>
      <c r="G7" s="29">
        <v>52</v>
      </c>
      <c r="H7" s="29">
        <v>70863</v>
      </c>
      <c r="I7" s="29">
        <v>100</v>
      </c>
      <c r="J7" s="29">
        <v>30.47</v>
      </c>
      <c r="K7" s="29">
        <v>166688</v>
      </c>
    </row>
    <row r="8" spans="1:11" ht="15" x14ac:dyDescent="0.25">
      <c r="A8" s="28" t="s">
        <v>35</v>
      </c>
      <c r="B8" s="28" t="s">
        <v>39</v>
      </c>
      <c r="C8" s="28" t="s">
        <v>50</v>
      </c>
      <c r="D8" s="28" t="s">
        <v>44</v>
      </c>
      <c r="E8" s="29">
        <v>31088</v>
      </c>
      <c r="F8" s="29">
        <v>38292</v>
      </c>
      <c r="G8" s="29">
        <v>47</v>
      </c>
      <c r="H8" s="29">
        <v>66181</v>
      </c>
      <c r="I8" s="29">
        <v>156</v>
      </c>
      <c r="J8" s="29">
        <v>25.64</v>
      </c>
      <c r="K8" s="29">
        <v>141380</v>
      </c>
    </row>
    <row r="9" spans="1:11" ht="15" x14ac:dyDescent="0.25">
      <c r="A9" s="28" t="s">
        <v>35</v>
      </c>
      <c r="B9" s="28" t="s">
        <v>39</v>
      </c>
      <c r="C9" s="28" t="s">
        <v>47</v>
      </c>
      <c r="D9" s="28" t="s">
        <v>44</v>
      </c>
      <c r="E9" s="29">
        <v>42953</v>
      </c>
      <c r="F9" s="29">
        <v>49279</v>
      </c>
      <c r="G9" s="29">
        <v>48</v>
      </c>
      <c r="H9" s="29">
        <v>71195</v>
      </c>
      <c r="I9" s="29">
        <v>219</v>
      </c>
      <c r="J9" s="29">
        <v>30.48</v>
      </c>
      <c r="K9" s="29">
        <v>168328</v>
      </c>
    </row>
    <row r="10" spans="1:11" ht="15" x14ac:dyDescent="0.25">
      <c r="A10" s="28" t="s">
        <v>35</v>
      </c>
      <c r="B10" s="28" t="s">
        <v>39</v>
      </c>
      <c r="C10" s="28" t="s">
        <v>51</v>
      </c>
      <c r="D10" s="28" t="s">
        <v>44</v>
      </c>
      <c r="E10" s="29">
        <v>31118</v>
      </c>
      <c r="F10" s="29">
        <v>38207</v>
      </c>
      <c r="G10" s="29">
        <v>49</v>
      </c>
      <c r="H10" s="29">
        <v>65450</v>
      </c>
      <c r="I10" s="29">
        <v>315</v>
      </c>
      <c r="J10" s="29">
        <v>25.86</v>
      </c>
      <c r="K10" s="29">
        <v>141194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146"/>
  <sheetViews>
    <sheetView topLeftCell="D1" workbookViewId="0">
      <selection activeCell="D4" sqref="D4"/>
    </sheetView>
  </sheetViews>
  <sheetFormatPr defaultRowHeight="14.4" x14ac:dyDescent="0.3"/>
  <cols>
    <col min="1" max="1" width="34.109375" bestFit="1" customWidth="1"/>
    <col min="2" max="2" width="27.6640625" customWidth="1"/>
    <col min="3" max="3" width="15.5546875" bestFit="1" customWidth="1"/>
    <col min="4" max="4" width="47.5546875" bestFit="1" customWidth="1"/>
    <col min="5" max="5" width="33.88671875" bestFit="1" customWidth="1"/>
    <col min="6" max="6" width="50" bestFit="1" customWidth="1"/>
    <col min="7" max="7" width="21.88671875" bestFit="1" customWidth="1"/>
    <col min="8" max="8" width="9" bestFit="1" customWidth="1"/>
    <col min="9" max="9" width="6.6640625" bestFit="1" customWidth="1"/>
    <col min="10" max="10" width="8.33203125" bestFit="1" customWidth="1"/>
    <col min="11" max="11" width="8.5546875" bestFit="1" customWidth="1"/>
    <col min="12" max="13" width="9" bestFit="1" customWidth="1"/>
    <col min="14" max="14" width="6.44140625" bestFit="1" customWidth="1"/>
    <col min="15" max="15" width="8.44140625" bestFit="1" customWidth="1"/>
    <col min="16" max="16" width="9" bestFit="1" customWidth="1"/>
    <col min="17" max="17" width="8.33203125" bestFit="1" customWidth="1"/>
    <col min="257" max="257" width="34.109375" bestFit="1" customWidth="1"/>
    <col min="258" max="258" width="27.6640625" customWidth="1"/>
    <col min="259" max="259" width="15.5546875" bestFit="1" customWidth="1"/>
    <col min="260" max="260" width="47.5546875" bestFit="1" customWidth="1"/>
    <col min="261" max="261" width="33.88671875" bestFit="1" customWidth="1"/>
    <col min="262" max="262" width="50" bestFit="1" customWidth="1"/>
    <col min="263" max="263" width="21.88671875" bestFit="1" customWidth="1"/>
    <col min="264" max="264" width="9" bestFit="1" customWidth="1"/>
    <col min="265" max="265" width="6.6640625" bestFit="1" customWidth="1"/>
    <col min="266" max="266" width="8.33203125" bestFit="1" customWidth="1"/>
    <col min="267" max="267" width="8.5546875" bestFit="1" customWidth="1"/>
    <col min="268" max="269" width="9" bestFit="1" customWidth="1"/>
    <col min="270" max="270" width="6.44140625" bestFit="1" customWidth="1"/>
    <col min="271" max="271" width="8.44140625" bestFit="1" customWidth="1"/>
    <col min="272" max="272" width="9" bestFit="1" customWidth="1"/>
    <col min="273" max="273" width="8.33203125" bestFit="1" customWidth="1"/>
    <col min="513" max="513" width="34.109375" bestFit="1" customWidth="1"/>
    <col min="514" max="514" width="27.6640625" customWidth="1"/>
    <col min="515" max="515" width="15.5546875" bestFit="1" customWidth="1"/>
    <col min="516" max="516" width="47.5546875" bestFit="1" customWidth="1"/>
    <col min="517" max="517" width="33.88671875" bestFit="1" customWidth="1"/>
    <col min="518" max="518" width="50" bestFit="1" customWidth="1"/>
    <col min="519" max="519" width="21.88671875" bestFit="1" customWidth="1"/>
    <col min="520" max="520" width="9" bestFit="1" customWidth="1"/>
    <col min="521" max="521" width="6.6640625" bestFit="1" customWidth="1"/>
    <col min="522" max="522" width="8.33203125" bestFit="1" customWidth="1"/>
    <col min="523" max="523" width="8.5546875" bestFit="1" customWidth="1"/>
    <col min="524" max="525" width="9" bestFit="1" customWidth="1"/>
    <col min="526" max="526" width="6.44140625" bestFit="1" customWidth="1"/>
    <col min="527" max="527" width="8.44140625" bestFit="1" customWidth="1"/>
    <col min="528" max="528" width="9" bestFit="1" customWidth="1"/>
    <col min="529" max="529" width="8.33203125" bestFit="1" customWidth="1"/>
    <col min="769" max="769" width="34.109375" bestFit="1" customWidth="1"/>
    <col min="770" max="770" width="27.6640625" customWidth="1"/>
    <col min="771" max="771" width="15.5546875" bestFit="1" customWidth="1"/>
    <col min="772" max="772" width="47.5546875" bestFit="1" customWidth="1"/>
    <col min="773" max="773" width="33.88671875" bestFit="1" customWidth="1"/>
    <col min="774" max="774" width="50" bestFit="1" customWidth="1"/>
    <col min="775" max="775" width="21.88671875" bestFit="1" customWidth="1"/>
    <col min="776" max="776" width="9" bestFit="1" customWidth="1"/>
    <col min="777" max="777" width="6.6640625" bestFit="1" customWidth="1"/>
    <col min="778" max="778" width="8.33203125" bestFit="1" customWidth="1"/>
    <col min="779" max="779" width="8.5546875" bestFit="1" customWidth="1"/>
    <col min="780" max="781" width="9" bestFit="1" customWidth="1"/>
    <col min="782" max="782" width="6.44140625" bestFit="1" customWidth="1"/>
    <col min="783" max="783" width="8.44140625" bestFit="1" customWidth="1"/>
    <col min="784" max="784" width="9" bestFit="1" customWidth="1"/>
    <col min="785" max="785" width="8.33203125" bestFit="1" customWidth="1"/>
    <col min="1025" max="1025" width="34.109375" bestFit="1" customWidth="1"/>
    <col min="1026" max="1026" width="27.6640625" customWidth="1"/>
    <col min="1027" max="1027" width="15.5546875" bestFit="1" customWidth="1"/>
    <col min="1028" max="1028" width="47.5546875" bestFit="1" customWidth="1"/>
    <col min="1029" max="1029" width="33.88671875" bestFit="1" customWidth="1"/>
    <col min="1030" max="1030" width="50" bestFit="1" customWidth="1"/>
    <col min="1031" max="1031" width="21.88671875" bestFit="1" customWidth="1"/>
    <col min="1032" max="1032" width="9" bestFit="1" customWidth="1"/>
    <col min="1033" max="1033" width="6.6640625" bestFit="1" customWidth="1"/>
    <col min="1034" max="1034" width="8.33203125" bestFit="1" customWidth="1"/>
    <col min="1035" max="1035" width="8.5546875" bestFit="1" customWidth="1"/>
    <col min="1036" max="1037" width="9" bestFit="1" customWidth="1"/>
    <col min="1038" max="1038" width="6.44140625" bestFit="1" customWidth="1"/>
    <col min="1039" max="1039" width="8.44140625" bestFit="1" customWidth="1"/>
    <col min="1040" max="1040" width="9" bestFit="1" customWidth="1"/>
    <col min="1041" max="1041" width="8.33203125" bestFit="1" customWidth="1"/>
    <col min="1281" max="1281" width="34.109375" bestFit="1" customWidth="1"/>
    <col min="1282" max="1282" width="27.6640625" customWidth="1"/>
    <col min="1283" max="1283" width="15.5546875" bestFit="1" customWidth="1"/>
    <col min="1284" max="1284" width="47.5546875" bestFit="1" customWidth="1"/>
    <col min="1285" max="1285" width="33.88671875" bestFit="1" customWidth="1"/>
    <col min="1286" max="1286" width="50" bestFit="1" customWidth="1"/>
    <col min="1287" max="1287" width="21.88671875" bestFit="1" customWidth="1"/>
    <col min="1288" max="1288" width="9" bestFit="1" customWidth="1"/>
    <col min="1289" max="1289" width="6.6640625" bestFit="1" customWidth="1"/>
    <col min="1290" max="1290" width="8.33203125" bestFit="1" customWidth="1"/>
    <col min="1291" max="1291" width="8.5546875" bestFit="1" customWidth="1"/>
    <col min="1292" max="1293" width="9" bestFit="1" customWidth="1"/>
    <col min="1294" max="1294" width="6.44140625" bestFit="1" customWidth="1"/>
    <col min="1295" max="1295" width="8.44140625" bestFit="1" customWidth="1"/>
    <col min="1296" max="1296" width="9" bestFit="1" customWidth="1"/>
    <col min="1297" max="1297" width="8.33203125" bestFit="1" customWidth="1"/>
    <col min="1537" max="1537" width="34.109375" bestFit="1" customWidth="1"/>
    <col min="1538" max="1538" width="27.6640625" customWidth="1"/>
    <col min="1539" max="1539" width="15.5546875" bestFit="1" customWidth="1"/>
    <col min="1540" max="1540" width="47.5546875" bestFit="1" customWidth="1"/>
    <col min="1541" max="1541" width="33.88671875" bestFit="1" customWidth="1"/>
    <col min="1542" max="1542" width="50" bestFit="1" customWidth="1"/>
    <col min="1543" max="1543" width="21.88671875" bestFit="1" customWidth="1"/>
    <col min="1544" max="1544" width="9" bestFit="1" customWidth="1"/>
    <col min="1545" max="1545" width="6.6640625" bestFit="1" customWidth="1"/>
    <col min="1546" max="1546" width="8.33203125" bestFit="1" customWidth="1"/>
    <col min="1547" max="1547" width="8.5546875" bestFit="1" customWidth="1"/>
    <col min="1548" max="1549" width="9" bestFit="1" customWidth="1"/>
    <col min="1550" max="1550" width="6.44140625" bestFit="1" customWidth="1"/>
    <col min="1551" max="1551" width="8.44140625" bestFit="1" customWidth="1"/>
    <col min="1552" max="1552" width="9" bestFit="1" customWidth="1"/>
    <col min="1553" max="1553" width="8.33203125" bestFit="1" customWidth="1"/>
    <col min="1793" max="1793" width="34.109375" bestFit="1" customWidth="1"/>
    <col min="1794" max="1794" width="27.6640625" customWidth="1"/>
    <col min="1795" max="1795" width="15.5546875" bestFit="1" customWidth="1"/>
    <col min="1796" max="1796" width="47.5546875" bestFit="1" customWidth="1"/>
    <col min="1797" max="1797" width="33.88671875" bestFit="1" customWidth="1"/>
    <col min="1798" max="1798" width="50" bestFit="1" customWidth="1"/>
    <col min="1799" max="1799" width="21.88671875" bestFit="1" customWidth="1"/>
    <col min="1800" max="1800" width="9" bestFit="1" customWidth="1"/>
    <col min="1801" max="1801" width="6.6640625" bestFit="1" customWidth="1"/>
    <col min="1802" max="1802" width="8.33203125" bestFit="1" customWidth="1"/>
    <col min="1803" max="1803" width="8.5546875" bestFit="1" customWidth="1"/>
    <col min="1804" max="1805" width="9" bestFit="1" customWidth="1"/>
    <col min="1806" max="1806" width="6.44140625" bestFit="1" customWidth="1"/>
    <col min="1807" max="1807" width="8.44140625" bestFit="1" customWidth="1"/>
    <col min="1808" max="1808" width="9" bestFit="1" customWidth="1"/>
    <col min="1809" max="1809" width="8.33203125" bestFit="1" customWidth="1"/>
    <col min="2049" max="2049" width="34.109375" bestFit="1" customWidth="1"/>
    <col min="2050" max="2050" width="27.6640625" customWidth="1"/>
    <col min="2051" max="2051" width="15.5546875" bestFit="1" customWidth="1"/>
    <col min="2052" max="2052" width="47.5546875" bestFit="1" customWidth="1"/>
    <col min="2053" max="2053" width="33.88671875" bestFit="1" customWidth="1"/>
    <col min="2054" max="2054" width="50" bestFit="1" customWidth="1"/>
    <col min="2055" max="2055" width="21.88671875" bestFit="1" customWidth="1"/>
    <col min="2056" max="2056" width="9" bestFit="1" customWidth="1"/>
    <col min="2057" max="2057" width="6.6640625" bestFit="1" customWidth="1"/>
    <col min="2058" max="2058" width="8.33203125" bestFit="1" customWidth="1"/>
    <col min="2059" max="2059" width="8.5546875" bestFit="1" customWidth="1"/>
    <col min="2060" max="2061" width="9" bestFit="1" customWidth="1"/>
    <col min="2062" max="2062" width="6.44140625" bestFit="1" customWidth="1"/>
    <col min="2063" max="2063" width="8.44140625" bestFit="1" customWidth="1"/>
    <col min="2064" max="2064" width="9" bestFit="1" customWidth="1"/>
    <col min="2065" max="2065" width="8.33203125" bestFit="1" customWidth="1"/>
    <col min="2305" max="2305" width="34.109375" bestFit="1" customWidth="1"/>
    <col min="2306" max="2306" width="27.6640625" customWidth="1"/>
    <col min="2307" max="2307" width="15.5546875" bestFit="1" customWidth="1"/>
    <col min="2308" max="2308" width="47.5546875" bestFit="1" customWidth="1"/>
    <col min="2309" max="2309" width="33.88671875" bestFit="1" customWidth="1"/>
    <col min="2310" max="2310" width="50" bestFit="1" customWidth="1"/>
    <col min="2311" max="2311" width="21.88671875" bestFit="1" customWidth="1"/>
    <col min="2312" max="2312" width="9" bestFit="1" customWidth="1"/>
    <col min="2313" max="2313" width="6.6640625" bestFit="1" customWidth="1"/>
    <col min="2314" max="2314" width="8.33203125" bestFit="1" customWidth="1"/>
    <col min="2315" max="2315" width="8.5546875" bestFit="1" customWidth="1"/>
    <col min="2316" max="2317" width="9" bestFit="1" customWidth="1"/>
    <col min="2318" max="2318" width="6.44140625" bestFit="1" customWidth="1"/>
    <col min="2319" max="2319" width="8.44140625" bestFit="1" customWidth="1"/>
    <col min="2320" max="2320" width="9" bestFit="1" customWidth="1"/>
    <col min="2321" max="2321" width="8.33203125" bestFit="1" customWidth="1"/>
    <col min="2561" max="2561" width="34.109375" bestFit="1" customWidth="1"/>
    <col min="2562" max="2562" width="27.6640625" customWidth="1"/>
    <col min="2563" max="2563" width="15.5546875" bestFit="1" customWidth="1"/>
    <col min="2564" max="2564" width="47.5546875" bestFit="1" customWidth="1"/>
    <col min="2565" max="2565" width="33.88671875" bestFit="1" customWidth="1"/>
    <col min="2566" max="2566" width="50" bestFit="1" customWidth="1"/>
    <col min="2567" max="2567" width="21.88671875" bestFit="1" customWidth="1"/>
    <col min="2568" max="2568" width="9" bestFit="1" customWidth="1"/>
    <col min="2569" max="2569" width="6.6640625" bestFit="1" customWidth="1"/>
    <col min="2570" max="2570" width="8.33203125" bestFit="1" customWidth="1"/>
    <col min="2571" max="2571" width="8.5546875" bestFit="1" customWidth="1"/>
    <col min="2572" max="2573" width="9" bestFit="1" customWidth="1"/>
    <col min="2574" max="2574" width="6.44140625" bestFit="1" customWidth="1"/>
    <col min="2575" max="2575" width="8.44140625" bestFit="1" customWidth="1"/>
    <col min="2576" max="2576" width="9" bestFit="1" customWidth="1"/>
    <col min="2577" max="2577" width="8.33203125" bestFit="1" customWidth="1"/>
    <col min="2817" max="2817" width="34.109375" bestFit="1" customWidth="1"/>
    <col min="2818" max="2818" width="27.6640625" customWidth="1"/>
    <col min="2819" max="2819" width="15.5546875" bestFit="1" customWidth="1"/>
    <col min="2820" max="2820" width="47.5546875" bestFit="1" customWidth="1"/>
    <col min="2821" max="2821" width="33.88671875" bestFit="1" customWidth="1"/>
    <col min="2822" max="2822" width="50" bestFit="1" customWidth="1"/>
    <col min="2823" max="2823" width="21.88671875" bestFit="1" customWidth="1"/>
    <col min="2824" max="2824" width="9" bestFit="1" customWidth="1"/>
    <col min="2825" max="2825" width="6.6640625" bestFit="1" customWidth="1"/>
    <col min="2826" max="2826" width="8.33203125" bestFit="1" customWidth="1"/>
    <col min="2827" max="2827" width="8.5546875" bestFit="1" customWidth="1"/>
    <col min="2828" max="2829" width="9" bestFit="1" customWidth="1"/>
    <col min="2830" max="2830" width="6.44140625" bestFit="1" customWidth="1"/>
    <col min="2831" max="2831" width="8.44140625" bestFit="1" customWidth="1"/>
    <col min="2832" max="2832" width="9" bestFit="1" customWidth="1"/>
    <col min="2833" max="2833" width="8.33203125" bestFit="1" customWidth="1"/>
    <col min="3073" max="3073" width="34.109375" bestFit="1" customWidth="1"/>
    <col min="3074" max="3074" width="27.6640625" customWidth="1"/>
    <col min="3075" max="3075" width="15.5546875" bestFit="1" customWidth="1"/>
    <col min="3076" max="3076" width="47.5546875" bestFit="1" customWidth="1"/>
    <col min="3077" max="3077" width="33.88671875" bestFit="1" customWidth="1"/>
    <col min="3078" max="3078" width="50" bestFit="1" customWidth="1"/>
    <col min="3079" max="3079" width="21.88671875" bestFit="1" customWidth="1"/>
    <col min="3080" max="3080" width="9" bestFit="1" customWidth="1"/>
    <col min="3081" max="3081" width="6.6640625" bestFit="1" customWidth="1"/>
    <col min="3082" max="3082" width="8.33203125" bestFit="1" customWidth="1"/>
    <col min="3083" max="3083" width="8.5546875" bestFit="1" customWidth="1"/>
    <col min="3084" max="3085" width="9" bestFit="1" customWidth="1"/>
    <col min="3086" max="3086" width="6.44140625" bestFit="1" customWidth="1"/>
    <col min="3087" max="3087" width="8.44140625" bestFit="1" customWidth="1"/>
    <col min="3088" max="3088" width="9" bestFit="1" customWidth="1"/>
    <col min="3089" max="3089" width="8.33203125" bestFit="1" customWidth="1"/>
    <col min="3329" max="3329" width="34.109375" bestFit="1" customWidth="1"/>
    <col min="3330" max="3330" width="27.6640625" customWidth="1"/>
    <col min="3331" max="3331" width="15.5546875" bestFit="1" customWidth="1"/>
    <col min="3332" max="3332" width="47.5546875" bestFit="1" customWidth="1"/>
    <col min="3333" max="3333" width="33.88671875" bestFit="1" customWidth="1"/>
    <col min="3334" max="3334" width="50" bestFit="1" customWidth="1"/>
    <col min="3335" max="3335" width="21.88671875" bestFit="1" customWidth="1"/>
    <col min="3336" max="3336" width="9" bestFit="1" customWidth="1"/>
    <col min="3337" max="3337" width="6.6640625" bestFit="1" customWidth="1"/>
    <col min="3338" max="3338" width="8.33203125" bestFit="1" customWidth="1"/>
    <col min="3339" max="3339" width="8.5546875" bestFit="1" customWidth="1"/>
    <col min="3340" max="3341" width="9" bestFit="1" customWidth="1"/>
    <col min="3342" max="3342" width="6.44140625" bestFit="1" customWidth="1"/>
    <col min="3343" max="3343" width="8.44140625" bestFit="1" customWidth="1"/>
    <col min="3344" max="3344" width="9" bestFit="1" customWidth="1"/>
    <col min="3345" max="3345" width="8.33203125" bestFit="1" customWidth="1"/>
    <col min="3585" max="3585" width="34.109375" bestFit="1" customWidth="1"/>
    <col min="3586" max="3586" width="27.6640625" customWidth="1"/>
    <col min="3587" max="3587" width="15.5546875" bestFit="1" customWidth="1"/>
    <col min="3588" max="3588" width="47.5546875" bestFit="1" customWidth="1"/>
    <col min="3589" max="3589" width="33.88671875" bestFit="1" customWidth="1"/>
    <col min="3590" max="3590" width="50" bestFit="1" customWidth="1"/>
    <col min="3591" max="3591" width="21.88671875" bestFit="1" customWidth="1"/>
    <col min="3592" max="3592" width="9" bestFit="1" customWidth="1"/>
    <col min="3593" max="3593" width="6.6640625" bestFit="1" customWidth="1"/>
    <col min="3594" max="3594" width="8.33203125" bestFit="1" customWidth="1"/>
    <col min="3595" max="3595" width="8.5546875" bestFit="1" customWidth="1"/>
    <col min="3596" max="3597" width="9" bestFit="1" customWidth="1"/>
    <col min="3598" max="3598" width="6.44140625" bestFit="1" customWidth="1"/>
    <col min="3599" max="3599" width="8.44140625" bestFit="1" customWidth="1"/>
    <col min="3600" max="3600" width="9" bestFit="1" customWidth="1"/>
    <col min="3601" max="3601" width="8.33203125" bestFit="1" customWidth="1"/>
    <col min="3841" max="3841" width="34.109375" bestFit="1" customWidth="1"/>
    <col min="3842" max="3842" width="27.6640625" customWidth="1"/>
    <col min="3843" max="3843" width="15.5546875" bestFit="1" customWidth="1"/>
    <col min="3844" max="3844" width="47.5546875" bestFit="1" customWidth="1"/>
    <col min="3845" max="3845" width="33.88671875" bestFit="1" customWidth="1"/>
    <col min="3846" max="3846" width="50" bestFit="1" customWidth="1"/>
    <col min="3847" max="3847" width="21.88671875" bestFit="1" customWidth="1"/>
    <col min="3848" max="3848" width="9" bestFit="1" customWidth="1"/>
    <col min="3849" max="3849" width="6.6640625" bestFit="1" customWidth="1"/>
    <col min="3850" max="3850" width="8.33203125" bestFit="1" customWidth="1"/>
    <col min="3851" max="3851" width="8.5546875" bestFit="1" customWidth="1"/>
    <col min="3852" max="3853" width="9" bestFit="1" customWidth="1"/>
    <col min="3854" max="3854" width="6.44140625" bestFit="1" customWidth="1"/>
    <col min="3855" max="3855" width="8.44140625" bestFit="1" customWidth="1"/>
    <col min="3856" max="3856" width="9" bestFit="1" customWidth="1"/>
    <col min="3857" max="3857" width="8.33203125" bestFit="1" customWidth="1"/>
    <col min="4097" max="4097" width="34.109375" bestFit="1" customWidth="1"/>
    <col min="4098" max="4098" width="27.6640625" customWidth="1"/>
    <col min="4099" max="4099" width="15.5546875" bestFit="1" customWidth="1"/>
    <col min="4100" max="4100" width="47.5546875" bestFit="1" customWidth="1"/>
    <col min="4101" max="4101" width="33.88671875" bestFit="1" customWidth="1"/>
    <col min="4102" max="4102" width="50" bestFit="1" customWidth="1"/>
    <col min="4103" max="4103" width="21.88671875" bestFit="1" customWidth="1"/>
    <col min="4104" max="4104" width="9" bestFit="1" customWidth="1"/>
    <col min="4105" max="4105" width="6.6640625" bestFit="1" customWidth="1"/>
    <col min="4106" max="4106" width="8.33203125" bestFit="1" customWidth="1"/>
    <col min="4107" max="4107" width="8.5546875" bestFit="1" customWidth="1"/>
    <col min="4108" max="4109" width="9" bestFit="1" customWidth="1"/>
    <col min="4110" max="4110" width="6.44140625" bestFit="1" customWidth="1"/>
    <col min="4111" max="4111" width="8.44140625" bestFit="1" customWidth="1"/>
    <col min="4112" max="4112" width="9" bestFit="1" customWidth="1"/>
    <col min="4113" max="4113" width="8.33203125" bestFit="1" customWidth="1"/>
    <col min="4353" max="4353" width="34.109375" bestFit="1" customWidth="1"/>
    <col min="4354" max="4354" width="27.6640625" customWidth="1"/>
    <col min="4355" max="4355" width="15.5546875" bestFit="1" customWidth="1"/>
    <col min="4356" max="4356" width="47.5546875" bestFit="1" customWidth="1"/>
    <col min="4357" max="4357" width="33.88671875" bestFit="1" customWidth="1"/>
    <col min="4358" max="4358" width="50" bestFit="1" customWidth="1"/>
    <col min="4359" max="4359" width="21.88671875" bestFit="1" customWidth="1"/>
    <col min="4360" max="4360" width="9" bestFit="1" customWidth="1"/>
    <col min="4361" max="4361" width="6.6640625" bestFit="1" customWidth="1"/>
    <col min="4362" max="4362" width="8.33203125" bestFit="1" customWidth="1"/>
    <col min="4363" max="4363" width="8.5546875" bestFit="1" customWidth="1"/>
    <col min="4364" max="4365" width="9" bestFit="1" customWidth="1"/>
    <col min="4366" max="4366" width="6.44140625" bestFit="1" customWidth="1"/>
    <col min="4367" max="4367" width="8.44140625" bestFit="1" customWidth="1"/>
    <col min="4368" max="4368" width="9" bestFit="1" customWidth="1"/>
    <col min="4369" max="4369" width="8.33203125" bestFit="1" customWidth="1"/>
    <col min="4609" max="4609" width="34.109375" bestFit="1" customWidth="1"/>
    <col min="4610" max="4610" width="27.6640625" customWidth="1"/>
    <col min="4611" max="4611" width="15.5546875" bestFit="1" customWidth="1"/>
    <col min="4612" max="4612" width="47.5546875" bestFit="1" customWidth="1"/>
    <col min="4613" max="4613" width="33.88671875" bestFit="1" customWidth="1"/>
    <col min="4614" max="4614" width="50" bestFit="1" customWidth="1"/>
    <col min="4615" max="4615" width="21.88671875" bestFit="1" customWidth="1"/>
    <col min="4616" max="4616" width="9" bestFit="1" customWidth="1"/>
    <col min="4617" max="4617" width="6.6640625" bestFit="1" customWidth="1"/>
    <col min="4618" max="4618" width="8.33203125" bestFit="1" customWidth="1"/>
    <col min="4619" max="4619" width="8.5546875" bestFit="1" customWidth="1"/>
    <col min="4620" max="4621" width="9" bestFit="1" customWidth="1"/>
    <col min="4622" max="4622" width="6.44140625" bestFit="1" customWidth="1"/>
    <col min="4623" max="4623" width="8.44140625" bestFit="1" customWidth="1"/>
    <col min="4624" max="4624" width="9" bestFit="1" customWidth="1"/>
    <col min="4625" max="4625" width="8.33203125" bestFit="1" customWidth="1"/>
    <col min="4865" max="4865" width="34.109375" bestFit="1" customWidth="1"/>
    <col min="4866" max="4866" width="27.6640625" customWidth="1"/>
    <col min="4867" max="4867" width="15.5546875" bestFit="1" customWidth="1"/>
    <col min="4868" max="4868" width="47.5546875" bestFit="1" customWidth="1"/>
    <col min="4869" max="4869" width="33.88671875" bestFit="1" customWidth="1"/>
    <col min="4870" max="4870" width="50" bestFit="1" customWidth="1"/>
    <col min="4871" max="4871" width="21.88671875" bestFit="1" customWidth="1"/>
    <col min="4872" max="4872" width="9" bestFit="1" customWidth="1"/>
    <col min="4873" max="4873" width="6.6640625" bestFit="1" customWidth="1"/>
    <col min="4874" max="4874" width="8.33203125" bestFit="1" customWidth="1"/>
    <col min="4875" max="4875" width="8.5546875" bestFit="1" customWidth="1"/>
    <col min="4876" max="4877" width="9" bestFit="1" customWidth="1"/>
    <col min="4878" max="4878" width="6.44140625" bestFit="1" customWidth="1"/>
    <col min="4879" max="4879" width="8.44140625" bestFit="1" customWidth="1"/>
    <col min="4880" max="4880" width="9" bestFit="1" customWidth="1"/>
    <col min="4881" max="4881" width="8.33203125" bestFit="1" customWidth="1"/>
    <col min="5121" max="5121" width="34.109375" bestFit="1" customWidth="1"/>
    <col min="5122" max="5122" width="27.6640625" customWidth="1"/>
    <col min="5123" max="5123" width="15.5546875" bestFit="1" customWidth="1"/>
    <col min="5124" max="5124" width="47.5546875" bestFit="1" customWidth="1"/>
    <col min="5125" max="5125" width="33.88671875" bestFit="1" customWidth="1"/>
    <col min="5126" max="5126" width="50" bestFit="1" customWidth="1"/>
    <col min="5127" max="5127" width="21.88671875" bestFit="1" customWidth="1"/>
    <col min="5128" max="5128" width="9" bestFit="1" customWidth="1"/>
    <col min="5129" max="5129" width="6.6640625" bestFit="1" customWidth="1"/>
    <col min="5130" max="5130" width="8.33203125" bestFit="1" customWidth="1"/>
    <col min="5131" max="5131" width="8.5546875" bestFit="1" customWidth="1"/>
    <col min="5132" max="5133" width="9" bestFit="1" customWidth="1"/>
    <col min="5134" max="5134" width="6.44140625" bestFit="1" customWidth="1"/>
    <col min="5135" max="5135" width="8.44140625" bestFit="1" customWidth="1"/>
    <col min="5136" max="5136" width="9" bestFit="1" customWidth="1"/>
    <col min="5137" max="5137" width="8.33203125" bestFit="1" customWidth="1"/>
    <col min="5377" max="5377" width="34.109375" bestFit="1" customWidth="1"/>
    <col min="5378" max="5378" width="27.6640625" customWidth="1"/>
    <col min="5379" max="5379" width="15.5546875" bestFit="1" customWidth="1"/>
    <col min="5380" max="5380" width="47.5546875" bestFit="1" customWidth="1"/>
    <col min="5381" max="5381" width="33.88671875" bestFit="1" customWidth="1"/>
    <col min="5382" max="5382" width="50" bestFit="1" customWidth="1"/>
    <col min="5383" max="5383" width="21.88671875" bestFit="1" customWidth="1"/>
    <col min="5384" max="5384" width="9" bestFit="1" customWidth="1"/>
    <col min="5385" max="5385" width="6.6640625" bestFit="1" customWidth="1"/>
    <col min="5386" max="5386" width="8.33203125" bestFit="1" customWidth="1"/>
    <col min="5387" max="5387" width="8.5546875" bestFit="1" customWidth="1"/>
    <col min="5388" max="5389" width="9" bestFit="1" customWidth="1"/>
    <col min="5390" max="5390" width="6.44140625" bestFit="1" customWidth="1"/>
    <col min="5391" max="5391" width="8.44140625" bestFit="1" customWidth="1"/>
    <col min="5392" max="5392" width="9" bestFit="1" customWidth="1"/>
    <col min="5393" max="5393" width="8.33203125" bestFit="1" customWidth="1"/>
    <col min="5633" max="5633" width="34.109375" bestFit="1" customWidth="1"/>
    <col min="5634" max="5634" width="27.6640625" customWidth="1"/>
    <col min="5635" max="5635" width="15.5546875" bestFit="1" customWidth="1"/>
    <col min="5636" max="5636" width="47.5546875" bestFit="1" customWidth="1"/>
    <col min="5637" max="5637" width="33.88671875" bestFit="1" customWidth="1"/>
    <col min="5638" max="5638" width="50" bestFit="1" customWidth="1"/>
    <col min="5639" max="5639" width="21.88671875" bestFit="1" customWidth="1"/>
    <col min="5640" max="5640" width="9" bestFit="1" customWidth="1"/>
    <col min="5641" max="5641" width="6.6640625" bestFit="1" customWidth="1"/>
    <col min="5642" max="5642" width="8.33203125" bestFit="1" customWidth="1"/>
    <col min="5643" max="5643" width="8.5546875" bestFit="1" customWidth="1"/>
    <col min="5644" max="5645" width="9" bestFit="1" customWidth="1"/>
    <col min="5646" max="5646" width="6.44140625" bestFit="1" customWidth="1"/>
    <col min="5647" max="5647" width="8.44140625" bestFit="1" customWidth="1"/>
    <col min="5648" max="5648" width="9" bestFit="1" customWidth="1"/>
    <col min="5649" max="5649" width="8.33203125" bestFit="1" customWidth="1"/>
    <col min="5889" max="5889" width="34.109375" bestFit="1" customWidth="1"/>
    <col min="5890" max="5890" width="27.6640625" customWidth="1"/>
    <col min="5891" max="5891" width="15.5546875" bestFit="1" customWidth="1"/>
    <col min="5892" max="5892" width="47.5546875" bestFit="1" customWidth="1"/>
    <col min="5893" max="5893" width="33.88671875" bestFit="1" customWidth="1"/>
    <col min="5894" max="5894" width="50" bestFit="1" customWidth="1"/>
    <col min="5895" max="5895" width="21.88671875" bestFit="1" customWidth="1"/>
    <col min="5896" max="5896" width="9" bestFit="1" customWidth="1"/>
    <col min="5897" max="5897" width="6.6640625" bestFit="1" customWidth="1"/>
    <col min="5898" max="5898" width="8.33203125" bestFit="1" customWidth="1"/>
    <col min="5899" max="5899" width="8.5546875" bestFit="1" customWidth="1"/>
    <col min="5900" max="5901" width="9" bestFit="1" customWidth="1"/>
    <col min="5902" max="5902" width="6.44140625" bestFit="1" customWidth="1"/>
    <col min="5903" max="5903" width="8.44140625" bestFit="1" customWidth="1"/>
    <col min="5904" max="5904" width="9" bestFit="1" customWidth="1"/>
    <col min="5905" max="5905" width="8.33203125" bestFit="1" customWidth="1"/>
    <col min="6145" max="6145" width="34.109375" bestFit="1" customWidth="1"/>
    <col min="6146" max="6146" width="27.6640625" customWidth="1"/>
    <col min="6147" max="6147" width="15.5546875" bestFit="1" customWidth="1"/>
    <col min="6148" max="6148" width="47.5546875" bestFit="1" customWidth="1"/>
    <col min="6149" max="6149" width="33.88671875" bestFit="1" customWidth="1"/>
    <col min="6150" max="6150" width="50" bestFit="1" customWidth="1"/>
    <col min="6151" max="6151" width="21.88671875" bestFit="1" customWidth="1"/>
    <col min="6152" max="6152" width="9" bestFit="1" customWidth="1"/>
    <col min="6153" max="6153" width="6.6640625" bestFit="1" customWidth="1"/>
    <col min="6154" max="6154" width="8.33203125" bestFit="1" customWidth="1"/>
    <col min="6155" max="6155" width="8.5546875" bestFit="1" customWidth="1"/>
    <col min="6156" max="6157" width="9" bestFit="1" customWidth="1"/>
    <col min="6158" max="6158" width="6.44140625" bestFit="1" customWidth="1"/>
    <col min="6159" max="6159" width="8.44140625" bestFit="1" customWidth="1"/>
    <col min="6160" max="6160" width="9" bestFit="1" customWidth="1"/>
    <col min="6161" max="6161" width="8.33203125" bestFit="1" customWidth="1"/>
    <col min="6401" max="6401" width="34.109375" bestFit="1" customWidth="1"/>
    <col min="6402" max="6402" width="27.6640625" customWidth="1"/>
    <col min="6403" max="6403" width="15.5546875" bestFit="1" customWidth="1"/>
    <col min="6404" max="6404" width="47.5546875" bestFit="1" customWidth="1"/>
    <col min="6405" max="6405" width="33.88671875" bestFit="1" customWidth="1"/>
    <col min="6406" max="6406" width="50" bestFit="1" customWidth="1"/>
    <col min="6407" max="6407" width="21.88671875" bestFit="1" customWidth="1"/>
    <col min="6408" max="6408" width="9" bestFit="1" customWidth="1"/>
    <col min="6409" max="6409" width="6.6640625" bestFit="1" customWidth="1"/>
    <col min="6410" max="6410" width="8.33203125" bestFit="1" customWidth="1"/>
    <col min="6411" max="6411" width="8.5546875" bestFit="1" customWidth="1"/>
    <col min="6412" max="6413" width="9" bestFit="1" customWidth="1"/>
    <col min="6414" max="6414" width="6.44140625" bestFit="1" customWidth="1"/>
    <col min="6415" max="6415" width="8.44140625" bestFit="1" customWidth="1"/>
    <col min="6416" max="6416" width="9" bestFit="1" customWidth="1"/>
    <col min="6417" max="6417" width="8.33203125" bestFit="1" customWidth="1"/>
    <col min="6657" max="6657" width="34.109375" bestFit="1" customWidth="1"/>
    <col min="6658" max="6658" width="27.6640625" customWidth="1"/>
    <col min="6659" max="6659" width="15.5546875" bestFit="1" customWidth="1"/>
    <col min="6660" max="6660" width="47.5546875" bestFit="1" customWidth="1"/>
    <col min="6661" max="6661" width="33.88671875" bestFit="1" customWidth="1"/>
    <col min="6662" max="6662" width="50" bestFit="1" customWidth="1"/>
    <col min="6663" max="6663" width="21.88671875" bestFit="1" customWidth="1"/>
    <col min="6664" max="6664" width="9" bestFit="1" customWidth="1"/>
    <col min="6665" max="6665" width="6.6640625" bestFit="1" customWidth="1"/>
    <col min="6666" max="6666" width="8.33203125" bestFit="1" customWidth="1"/>
    <col min="6667" max="6667" width="8.5546875" bestFit="1" customWidth="1"/>
    <col min="6668" max="6669" width="9" bestFit="1" customWidth="1"/>
    <col min="6670" max="6670" width="6.44140625" bestFit="1" customWidth="1"/>
    <col min="6671" max="6671" width="8.44140625" bestFit="1" customWidth="1"/>
    <col min="6672" max="6672" width="9" bestFit="1" customWidth="1"/>
    <col min="6673" max="6673" width="8.33203125" bestFit="1" customWidth="1"/>
    <col min="6913" max="6913" width="34.109375" bestFit="1" customWidth="1"/>
    <col min="6914" max="6914" width="27.6640625" customWidth="1"/>
    <col min="6915" max="6915" width="15.5546875" bestFit="1" customWidth="1"/>
    <col min="6916" max="6916" width="47.5546875" bestFit="1" customWidth="1"/>
    <col min="6917" max="6917" width="33.88671875" bestFit="1" customWidth="1"/>
    <col min="6918" max="6918" width="50" bestFit="1" customWidth="1"/>
    <col min="6919" max="6919" width="21.88671875" bestFit="1" customWidth="1"/>
    <col min="6920" max="6920" width="9" bestFit="1" customWidth="1"/>
    <col min="6921" max="6921" width="6.6640625" bestFit="1" customWidth="1"/>
    <col min="6922" max="6922" width="8.33203125" bestFit="1" customWidth="1"/>
    <col min="6923" max="6923" width="8.5546875" bestFit="1" customWidth="1"/>
    <col min="6924" max="6925" width="9" bestFit="1" customWidth="1"/>
    <col min="6926" max="6926" width="6.44140625" bestFit="1" customWidth="1"/>
    <col min="6927" max="6927" width="8.44140625" bestFit="1" customWidth="1"/>
    <col min="6928" max="6928" width="9" bestFit="1" customWidth="1"/>
    <col min="6929" max="6929" width="8.33203125" bestFit="1" customWidth="1"/>
    <col min="7169" max="7169" width="34.109375" bestFit="1" customWidth="1"/>
    <col min="7170" max="7170" width="27.6640625" customWidth="1"/>
    <col min="7171" max="7171" width="15.5546875" bestFit="1" customWidth="1"/>
    <col min="7172" max="7172" width="47.5546875" bestFit="1" customWidth="1"/>
    <col min="7173" max="7173" width="33.88671875" bestFit="1" customWidth="1"/>
    <col min="7174" max="7174" width="50" bestFit="1" customWidth="1"/>
    <col min="7175" max="7175" width="21.88671875" bestFit="1" customWidth="1"/>
    <col min="7176" max="7176" width="9" bestFit="1" customWidth="1"/>
    <col min="7177" max="7177" width="6.6640625" bestFit="1" customWidth="1"/>
    <col min="7178" max="7178" width="8.33203125" bestFit="1" customWidth="1"/>
    <col min="7179" max="7179" width="8.5546875" bestFit="1" customWidth="1"/>
    <col min="7180" max="7181" width="9" bestFit="1" customWidth="1"/>
    <col min="7182" max="7182" width="6.44140625" bestFit="1" customWidth="1"/>
    <col min="7183" max="7183" width="8.44140625" bestFit="1" customWidth="1"/>
    <col min="7184" max="7184" width="9" bestFit="1" customWidth="1"/>
    <col min="7185" max="7185" width="8.33203125" bestFit="1" customWidth="1"/>
    <col min="7425" max="7425" width="34.109375" bestFit="1" customWidth="1"/>
    <col min="7426" max="7426" width="27.6640625" customWidth="1"/>
    <col min="7427" max="7427" width="15.5546875" bestFit="1" customWidth="1"/>
    <col min="7428" max="7428" width="47.5546875" bestFit="1" customWidth="1"/>
    <col min="7429" max="7429" width="33.88671875" bestFit="1" customWidth="1"/>
    <col min="7430" max="7430" width="50" bestFit="1" customWidth="1"/>
    <col min="7431" max="7431" width="21.88671875" bestFit="1" customWidth="1"/>
    <col min="7432" max="7432" width="9" bestFit="1" customWidth="1"/>
    <col min="7433" max="7433" width="6.6640625" bestFit="1" customWidth="1"/>
    <col min="7434" max="7434" width="8.33203125" bestFit="1" customWidth="1"/>
    <col min="7435" max="7435" width="8.5546875" bestFit="1" customWidth="1"/>
    <col min="7436" max="7437" width="9" bestFit="1" customWidth="1"/>
    <col min="7438" max="7438" width="6.44140625" bestFit="1" customWidth="1"/>
    <col min="7439" max="7439" width="8.44140625" bestFit="1" customWidth="1"/>
    <col min="7440" max="7440" width="9" bestFit="1" customWidth="1"/>
    <col min="7441" max="7441" width="8.33203125" bestFit="1" customWidth="1"/>
    <col min="7681" max="7681" width="34.109375" bestFit="1" customWidth="1"/>
    <col min="7682" max="7682" width="27.6640625" customWidth="1"/>
    <col min="7683" max="7683" width="15.5546875" bestFit="1" customWidth="1"/>
    <col min="7684" max="7684" width="47.5546875" bestFit="1" customWidth="1"/>
    <col min="7685" max="7685" width="33.88671875" bestFit="1" customWidth="1"/>
    <col min="7686" max="7686" width="50" bestFit="1" customWidth="1"/>
    <col min="7687" max="7687" width="21.88671875" bestFit="1" customWidth="1"/>
    <col min="7688" max="7688" width="9" bestFit="1" customWidth="1"/>
    <col min="7689" max="7689" width="6.6640625" bestFit="1" customWidth="1"/>
    <col min="7690" max="7690" width="8.33203125" bestFit="1" customWidth="1"/>
    <col min="7691" max="7691" width="8.5546875" bestFit="1" customWidth="1"/>
    <col min="7692" max="7693" width="9" bestFit="1" customWidth="1"/>
    <col min="7694" max="7694" width="6.44140625" bestFit="1" customWidth="1"/>
    <col min="7695" max="7695" width="8.44140625" bestFit="1" customWidth="1"/>
    <col min="7696" max="7696" width="9" bestFit="1" customWidth="1"/>
    <col min="7697" max="7697" width="8.33203125" bestFit="1" customWidth="1"/>
    <col min="7937" max="7937" width="34.109375" bestFit="1" customWidth="1"/>
    <col min="7938" max="7938" width="27.6640625" customWidth="1"/>
    <col min="7939" max="7939" width="15.5546875" bestFit="1" customWidth="1"/>
    <col min="7940" max="7940" width="47.5546875" bestFit="1" customWidth="1"/>
    <col min="7941" max="7941" width="33.88671875" bestFit="1" customWidth="1"/>
    <col min="7942" max="7942" width="50" bestFit="1" customWidth="1"/>
    <col min="7943" max="7943" width="21.88671875" bestFit="1" customWidth="1"/>
    <col min="7944" max="7944" width="9" bestFit="1" customWidth="1"/>
    <col min="7945" max="7945" width="6.6640625" bestFit="1" customWidth="1"/>
    <col min="7946" max="7946" width="8.33203125" bestFit="1" customWidth="1"/>
    <col min="7947" max="7947" width="8.5546875" bestFit="1" customWidth="1"/>
    <col min="7948" max="7949" width="9" bestFit="1" customWidth="1"/>
    <col min="7950" max="7950" width="6.44140625" bestFit="1" customWidth="1"/>
    <col min="7951" max="7951" width="8.44140625" bestFit="1" customWidth="1"/>
    <col min="7952" max="7952" width="9" bestFit="1" customWidth="1"/>
    <col min="7953" max="7953" width="8.33203125" bestFit="1" customWidth="1"/>
    <col min="8193" max="8193" width="34.109375" bestFit="1" customWidth="1"/>
    <col min="8194" max="8194" width="27.6640625" customWidth="1"/>
    <col min="8195" max="8195" width="15.5546875" bestFit="1" customWidth="1"/>
    <col min="8196" max="8196" width="47.5546875" bestFit="1" customWidth="1"/>
    <col min="8197" max="8197" width="33.88671875" bestFit="1" customWidth="1"/>
    <col min="8198" max="8198" width="50" bestFit="1" customWidth="1"/>
    <col min="8199" max="8199" width="21.88671875" bestFit="1" customWidth="1"/>
    <col min="8200" max="8200" width="9" bestFit="1" customWidth="1"/>
    <col min="8201" max="8201" width="6.6640625" bestFit="1" customWidth="1"/>
    <col min="8202" max="8202" width="8.33203125" bestFit="1" customWidth="1"/>
    <col min="8203" max="8203" width="8.5546875" bestFit="1" customWidth="1"/>
    <col min="8204" max="8205" width="9" bestFit="1" customWidth="1"/>
    <col min="8206" max="8206" width="6.44140625" bestFit="1" customWidth="1"/>
    <col min="8207" max="8207" width="8.44140625" bestFit="1" customWidth="1"/>
    <col min="8208" max="8208" width="9" bestFit="1" customWidth="1"/>
    <col min="8209" max="8209" width="8.33203125" bestFit="1" customWidth="1"/>
    <col min="8449" max="8449" width="34.109375" bestFit="1" customWidth="1"/>
    <col min="8450" max="8450" width="27.6640625" customWidth="1"/>
    <col min="8451" max="8451" width="15.5546875" bestFit="1" customWidth="1"/>
    <col min="8452" max="8452" width="47.5546875" bestFit="1" customWidth="1"/>
    <col min="8453" max="8453" width="33.88671875" bestFit="1" customWidth="1"/>
    <col min="8454" max="8454" width="50" bestFit="1" customWidth="1"/>
    <col min="8455" max="8455" width="21.88671875" bestFit="1" customWidth="1"/>
    <col min="8456" max="8456" width="9" bestFit="1" customWidth="1"/>
    <col min="8457" max="8457" width="6.6640625" bestFit="1" customWidth="1"/>
    <col min="8458" max="8458" width="8.33203125" bestFit="1" customWidth="1"/>
    <col min="8459" max="8459" width="8.5546875" bestFit="1" customWidth="1"/>
    <col min="8460" max="8461" width="9" bestFit="1" customWidth="1"/>
    <col min="8462" max="8462" width="6.44140625" bestFit="1" customWidth="1"/>
    <col min="8463" max="8463" width="8.44140625" bestFit="1" customWidth="1"/>
    <col min="8464" max="8464" width="9" bestFit="1" customWidth="1"/>
    <col min="8465" max="8465" width="8.33203125" bestFit="1" customWidth="1"/>
    <col min="8705" max="8705" width="34.109375" bestFit="1" customWidth="1"/>
    <col min="8706" max="8706" width="27.6640625" customWidth="1"/>
    <col min="8707" max="8707" width="15.5546875" bestFit="1" customWidth="1"/>
    <col min="8708" max="8708" width="47.5546875" bestFit="1" customWidth="1"/>
    <col min="8709" max="8709" width="33.88671875" bestFit="1" customWidth="1"/>
    <col min="8710" max="8710" width="50" bestFit="1" customWidth="1"/>
    <col min="8711" max="8711" width="21.88671875" bestFit="1" customWidth="1"/>
    <col min="8712" max="8712" width="9" bestFit="1" customWidth="1"/>
    <col min="8713" max="8713" width="6.6640625" bestFit="1" customWidth="1"/>
    <col min="8714" max="8714" width="8.33203125" bestFit="1" customWidth="1"/>
    <col min="8715" max="8715" width="8.5546875" bestFit="1" customWidth="1"/>
    <col min="8716" max="8717" width="9" bestFit="1" customWidth="1"/>
    <col min="8718" max="8718" width="6.44140625" bestFit="1" customWidth="1"/>
    <col min="8719" max="8719" width="8.44140625" bestFit="1" customWidth="1"/>
    <col min="8720" max="8720" width="9" bestFit="1" customWidth="1"/>
    <col min="8721" max="8721" width="8.33203125" bestFit="1" customWidth="1"/>
    <col min="8961" max="8961" width="34.109375" bestFit="1" customWidth="1"/>
    <col min="8962" max="8962" width="27.6640625" customWidth="1"/>
    <col min="8963" max="8963" width="15.5546875" bestFit="1" customWidth="1"/>
    <col min="8964" max="8964" width="47.5546875" bestFit="1" customWidth="1"/>
    <col min="8965" max="8965" width="33.88671875" bestFit="1" customWidth="1"/>
    <col min="8966" max="8966" width="50" bestFit="1" customWidth="1"/>
    <col min="8967" max="8967" width="21.88671875" bestFit="1" customWidth="1"/>
    <col min="8968" max="8968" width="9" bestFit="1" customWidth="1"/>
    <col min="8969" max="8969" width="6.6640625" bestFit="1" customWidth="1"/>
    <col min="8970" max="8970" width="8.33203125" bestFit="1" customWidth="1"/>
    <col min="8971" max="8971" width="8.5546875" bestFit="1" customWidth="1"/>
    <col min="8972" max="8973" width="9" bestFit="1" customWidth="1"/>
    <col min="8974" max="8974" width="6.44140625" bestFit="1" customWidth="1"/>
    <col min="8975" max="8975" width="8.44140625" bestFit="1" customWidth="1"/>
    <col min="8976" max="8976" width="9" bestFit="1" customWidth="1"/>
    <col min="8977" max="8977" width="8.33203125" bestFit="1" customWidth="1"/>
    <col min="9217" max="9217" width="34.109375" bestFit="1" customWidth="1"/>
    <col min="9218" max="9218" width="27.6640625" customWidth="1"/>
    <col min="9219" max="9219" width="15.5546875" bestFit="1" customWidth="1"/>
    <col min="9220" max="9220" width="47.5546875" bestFit="1" customWidth="1"/>
    <col min="9221" max="9221" width="33.88671875" bestFit="1" customWidth="1"/>
    <col min="9222" max="9222" width="50" bestFit="1" customWidth="1"/>
    <col min="9223" max="9223" width="21.88671875" bestFit="1" customWidth="1"/>
    <col min="9224" max="9224" width="9" bestFit="1" customWidth="1"/>
    <col min="9225" max="9225" width="6.6640625" bestFit="1" customWidth="1"/>
    <col min="9226" max="9226" width="8.33203125" bestFit="1" customWidth="1"/>
    <col min="9227" max="9227" width="8.5546875" bestFit="1" customWidth="1"/>
    <col min="9228" max="9229" width="9" bestFit="1" customWidth="1"/>
    <col min="9230" max="9230" width="6.44140625" bestFit="1" customWidth="1"/>
    <col min="9231" max="9231" width="8.44140625" bestFit="1" customWidth="1"/>
    <col min="9232" max="9232" width="9" bestFit="1" customWidth="1"/>
    <col min="9233" max="9233" width="8.33203125" bestFit="1" customWidth="1"/>
    <col min="9473" max="9473" width="34.109375" bestFit="1" customWidth="1"/>
    <col min="9474" max="9474" width="27.6640625" customWidth="1"/>
    <col min="9475" max="9475" width="15.5546875" bestFit="1" customWidth="1"/>
    <col min="9476" max="9476" width="47.5546875" bestFit="1" customWidth="1"/>
    <col min="9477" max="9477" width="33.88671875" bestFit="1" customWidth="1"/>
    <col min="9478" max="9478" width="50" bestFit="1" customWidth="1"/>
    <col min="9479" max="9479" width="21.88671875" bestFit="1" customWidth="1"/>
    <col min="9480" max="9480" width="9" bestFit="1" customWidth="1"/>
    <col min="9481" max="9481" width="6.6640625" bestFit="1" customWidth="1"/>
    <col min="9482" max="9482" width="8.33203125" bestFit="1" customWidth="1"/>
    <col min="9483" max="9483" width="8.5546875" bestFit="1" customWidth="1"/>
    <col min="9484" max="9485" width="9" bestFit="1" customWidth="1"/>
    <col min="9486" max="9486" width="6.44140625" bestFit="1" customWidth="1"/>
    <col min="9487" max="9487" width="8.44140625" bestFit="1" customWidth="1"/>
    <col min="9488" max="9488" width="9" bestFit="1" customWidth="1"/>
    <col min="9489" max="9489" width="8.33203125" bestFit="1" customWidth="1"/>
    <col min="9729" max="9729" width="34.109375" bestFit="1" customWidth="1"/>
    <col min="9730" max="9730" width="27.6640625" customWidth="1"/>
    <col min="9731" max="9731" width="15.5546875" bestFit="1" customWidth="1"/>
    <col min="9732" max="9732" width="47.5546875" bestFit="1" customWidth="1"/>
    <col min="9733" max="9733" width="33.88671875" bestFit="1" customWidth="1"/>
    <col min="9734" max="9734" width="50" bestFit="1" customWidth="1"/>
    <col min="9735" max="9735" width="21.88671875" bestFit="1" customWidth="1"/>
    <col min="9736" max="9736" width="9" bestFit="1" customWidth="1"/>
    <col min="9737" max="9737" width="6.6640625" bestFit="1" customWidth="1"/>
    <col min="9738" max="9738" width="8.33203125" bestFit="1" customWidth="1"/>
    <col min="9739" max="9739" width="8.5546875" bestFit="1" customWidth="1"/>
    <col min="9740" max="9741" width="9" bestFit="1" customWidth="1"/>
    <col min="9742" max="9742" width="6.44140625" bestFit="1" customWidth="1"/>
    <col min="9743" max="9743" width="8.44140625" bestFit="1" customWidth="1"/>
    <col min="9744" max="9744" width="9" bestFit="1" customWidth="1"/>
    <col min="9745" max="9745" width="8.33203125" bestFit="1" customWidth="1"/>
    <col min="9985" max="9985" width="34.109375" bestFit="1" customWidth="1"/>
    <col min="9986" max="9986" width="27.6640625" customWidth="1"/>
    <col min="9987" max="9987" width="15.5546875" bestFit="1" customWidth="1"/>
    <col min="9988" max="9988" width="47.5546875" bestFit="1" customWidth="1"/>
    <col min="9989" max="9989" width="33.88671875" bestFit="1" customWidth="1"/>
    <col min="9990" max="9990" width="50" bestFit="1" customWidth="1"/>
    <col min="9991" max="9991" width="21.88671875" bestFit="1" customWidth="1"/>
    <col min="9992" max="9992" width="9" bestFit="1" customWidth="1"/>
    <col min="9993" max="9993" width="6.6640625" bestFit="1" customWidth="1"/>
    <col min="9994" max="9994" width="8.33203125" bestFit="1" customWidth="1"/>
    <col min="9995" max="9995" width="8.5546875" bestFit="1" customWidth="1"/>
    <col min="9996" max="9997" width="9" bestFit="1" customWidth="1"/>
    <col min="9998" max="9998" width="6.44140625" bestFit="1" customWidth="1"/>
    <col min="9999" max="9999" width="8.44140625" bestFit="1" customWidth="1"/>
    <col min="10000" max="10000" width="9" bestFit="1" customWidth="1"/>
    <col min="10001" max="10001" width="8.33203125" bestFit="1" customWidth="1"/>
    <col min="10241" max="10241" width="34.109375" bestFit="1" customWidth="1"/>
    <col min="10242" max="10242" width="27.6640625" customWidth="1"/>
    <col min="10243" max="10243" width="15.5546875" bestFit="1" customWidth="1"/>
    <col min="10244" max="10244" width="47.5546875" bestFit="1" customWidth="1"/>
    <col min="10245" max="10245" width="33.88671875" bestFit="1" customWidth="1"/>
    <col min="10246" max="10246" width="50" bestFit="1" customWidth="1"/>
    <col min="10247" max="10247" width="21.88671875" bestFit="1" customWidth="1"/>
    <col min="10248" max="10248" width="9" bestFit="1" customWidth="1"/>
    <col min="10249" max="10249" width="6.6640625" bestFit="1" customWidth="1"/>
    <col min="10250" max="10250" width="8.33203125" bestFit="1" customWidth="1"/>
    <col min="10251" max="10251" width="8.5546875" bestFit="1" customWidth="1"/>
    <col min="10252" max="10253" width="9" bestFit="1" customWidth="1"/>
    <col min="10254" max="10254" width="6.44140625" bestFit="1" customWidth="1"/>
    <col min="10255" max="10255" width="8.44140625" bestFit="1" customWidth="1"/>
    <col min="10256" max="10256" width="9" bestFit="1" customWidth="1"/>
    <col min="10257" max="10257" width="8.33203125" bestFit="1" customWidth="1"/>
    <col min="10497" max="10497" width="34.109375" bestFit="1" customWidth="1"/>
    <col min="10498" max="10498" width="27.6640625" customWidth="1"/>
    <col min="10499" max="10499" width="15.5546875" bestFit="1" customWidth="1"/>
    <col min="10500" max="10500" width="47.5546875" bestFit="1" customWidth="1"/>
    <col min="10501" max="10501" width="33.88671875" bestFit="1" customWidth="1"/>
    <col min="10502" max="10502" width="50" bestFit="1" customWidth="1"/>
    <col min="10503" max="10503" width="21.88671875" bestFit="1" customWidth="1"/>
    <col min="10504" max="10504" width="9" bestFit="1" customWidth="1"/>
    <col min="10505" max="10505" width="6.6640625" bestFit="1" customWidth="1"/>
    <col min="10506" max="10506" width="8.33203125" bestFit="1" customWidth="1"/>
    <col min="10507" max="10507" width="8.5546875" bestFit="1" customWidth="1"/>
    <col min="10508" max="10509" width="9" bestFit="1" customWidth="1"/>
    <col min="10510" max="10510" width="6.44140625" bestFit="1" customWidth="1"/>
    <col min="10511" max="10511" width="8.44140625" bestFit="1" customWidth="1"/>
    <col min="10512" max="10512" width="9" bestFit="1" customWidth="1"/>
    <col min="10513" max="10513" width="8.33203125" bestFit="1" customWidth="1"/>
    <col min="10753" max="10753" width="34.109375" bestFit="1" customWidth="1"/>
    <col min="10754" max="10754" width="27.6640625" customWidth="1"/>
    <col min="10755" max="10755" width="15.5546875" bestFit="1" customWidth="1"/>
    <col min="10756" max="10756" width="47.5546875" bestFit="1" customWidth="1"/>
    <col min="10757" max="10757" width="33.88671875" bestFit="1" customWidth="1"/>
    <col min="10758" max="10758" width="50" bestFit="1" customWidth="1"/>
    <col min="10759" max="10759" width="21.88671875" bestFit="1" customWidth="1"/>
    <col min="10760" max="10760" width="9" bestFit="1" customWidth="1"/>
    <col min="10761" max="10761" width="6.6640625" bestFit="1" customWidth="1"/>
    <col min="10762" max="10762" width="8.33203125" bestFit="1" customWidth="1"/>
    <col min="10763" max="10763" width="8.5546875" bestFit="1" customWidth="1"/>
    <col min="10764" max="10765" width="9" bestFit="1" customWidth="1"/>
    <col min="10766" max="10766" width="6.44140625" bestFit="1" customWidth="1"/>
    <col min="10767" max="10767" width="8.44140625" bestFit="1" customWidth="1"/>
    <col min="10768" max="10768" width="9" bestFit="1" customWidth="1"/>
    <col min="10769" max="10769" width="8.33203125" bestFit="1" customWidth="1"/>
    <col min="11009" max="11009" width="34.109375" bestFit="1" customWidth="1"/>
    <col min="11010" max="11010" width="27.6640625" customWidth="1"/>
    <col min="11011" max="11011" width="15.5546875" bestFit="1" customWidth="1"/>
    <col min="11012" max="11012" width="47.5546875" bestFit="1" customWidth="1"/>
    <col min="11013" max="11013" width="33.88671875" bestFit="1" customWidth="1"/>
    <col min="11014" max="11014" width="50" bestFit="1" customWidth="1"/>
    <col min="11015" max="11015" width="21.88671875" bestFit="1" customWidth="1"/>
    <col min="11016" max="11016" width="9" bestFit="1" customWidth="1"/>
    <col min="11017" max="11017" width="6.6640625" bestFit="1" customWidth="1"/>
    <col min="11018" max="11018" width="8.33203125" bestFit="1" customWidth="1"/>
    <col min="11019" max="11019" width="8.5546875" bestFit="1" customWidth="1"/>
    <col min="11020" max="11021" width="9" bestFit="1" customWidth="1"/>
    <col min="11022" max="11022" width="6.44140625" bestFit="1" customWidth="1"/>
    <col min="11023" max="11023" width="8.44140625" bestFit="1" customWidth="1"/>
    <col min="11024" max="11024" width="9" bestFit="1" customWidth="1"/>
    <col min="11025" max="11025" width="8.33203125" bestFit="1" customWidth="1"/>
    <col min="11265" max="11265" width="34.109375" bestFit="1" customWidth="1"/>
    <col min="11266" max="11266" width="27.6640625" customWidth="1"/>
    <col min="11267" max="11267" width="15.5546875" bestFit="1" customWidth="1"/>
    <col min="11268" max="11268" width="47.5546875" bestFit="1" customWidth="1"/>
    <col min="11269" max="11269" width="33.88671875" bestFit="1" customWidth="1"/>
    <col min="11270" max="11270" width="50" bestFit="1" customWidth="1"/>
    <col min="11271" max="11271" width="21.88671875" bestFit="1" customWidth="1"/>
    <col min="11272" max="11272" width="9" bestFit="1" customWidth="1"/>
    <col min="11273" max="11273" width="6.6640625" bestFit="1" customWidth="1"/>
    <col min="11274" max="11274" width="8.33203125" bestFit="1" customWidth="1"/>
    <col min="11275" max="11275" width="8.5546875" bestFit="1" customWidth="1"/>
    <col min="11276" max="11277" width="9" bestFit="1" customWidth="1"/>
    <col min="11278" max="11278" width="6.44140625" bestFit="1" customWidth="1"/>
    <col min="11279" max="11279" width="8.44140625" bestFit="1" customWidth="1"/>
    <col min="11280" max="11280" width="9" bestFit="1" customWidth="1"/>
    <col min="11281" max="11281" width="8.33203125" bestFit="1" customWidth="1"/>
    <col min="11521" max="11521" width="34.109375" bestFit="1" customWidth="1"/>
    <col min="11522" max="11522" width="27.6640625" customWidth="1"/>
    <col min="11523" max="11523" width="15.5546875" bestFit="1" customWidth="1"/>
    <col min="11524" max="11524" width="47.5546875" bestFit="1" customWidth="1"/>
    <col min="11525" max="11525" width="33.88671875" bestFit="1" customWidth="1"/>
    <col min="11526" max="11526" width="50" bestFit="1" customWidth="1"/>
    <col min="11527" max="11527" width="21.88671875" bestFit="1" customWidth="1"/>
    <col min="11528" max="11528" width="9" bestFit="1" customWidth="1"/>
    <col min="11529" max="11529" width="6.6640625" bestFit="1" customWidth="1"/>
    <col min="11530" max="11530" width="8.33203125" bestFit="1" customWidth="1"/>
    <col min="11531" max="11531" width="8.5546875" bestFit="1" customWidth="1"/>
    <col min="11532" max="11533" width="9" bestFit="1" customWidth="1"/>
    <col min="11534" max="11534" width="6.44140625" bestFit="1" customWidth="1"/>
    <col min="11535" max="11535" width="8.44140625" bestFit="1" customWidth="1"/>
    <col min="11536" max="11536" width="9" bestFit="1" customWidth="1"/>
    <col min="11537" max="11537" width="8.33203125" bestFit="1" customWidth="1"/>
    <col min="11777" max="11777" width="34.109375" bestFit="1" customWidth="1"/>
    <col min="11778" max="11778" width="27.6640625" customWidth="1"/>
    <col min="11779" max="11779" width="15.5546875" bestFit="1" customWidth="1"/>
    <col min="11780" max="11780" width="47.5546875" bestFit="1" customWidth="1"/>
    <col min="11781" max="11781" width="33.88671875" bestFit="1" customWidth="1"/>
    <col min="11782" max="11782" width="50" bestFit="1" customWidth="1"/>
    <col min="11783" max="11783" width="21.88671875" bestFit="1" customWidth="1"/>
    <col min="11784" max="11784" width="9" bestFit="1" customWidth="1"/>
    <col min="11785" max="11785" width="6.6640625" bestFit="1" customWidth="1"/>
    <col min="11786" max="11786" width="8.33203125" bestFit="1" customWidth="1"/>
    <col min="11787" max="11787" width="8.5546875" bestFit="1" customWidth="1"/>
    <col min="11788" max="11789" width="9" bestFit="1" customWidth="1"/>
    <col min="11790" max="11790" width="6.44140625" bestFit="1" customWidth="1"/>
    <col min="11791" max="11791" width="8.44140625" bestFit="1" customWidth="1"/>
    <col min="11792" max="11792" width="9" bestFit="1" customWidth="1"/>
    <col min="11793" max="11793" width="8.33203125" bestFit="1" customWidth="1"/>
    <col min="12033" max="12033" width="34.109375" bestFit="1" customWidth="1"/>
    <col min="12034" max="12034" width="27.6640625" customWidth="1"/>
    <col min="12035" max="12035" width="15.5546875" bestFit="1" customWidth="1"/>
    <col min="12036" max="12036" width="47.5546875" bestFit="1" customWidth="1"/>
    <col min="12037" max="12037" width="33.88671875" bestFit="1" customWidth="1"/>
    <col min="12038" max="12038" width="50" bestFit="1" customWidth="1"/>
    <col min="12039" max="12039" width="21.88671875" bestFit="1" customWidth="1"/>
    <col min="12040" max="12040" width="9" bestFit="1" customWidth="1"/>
    <col min="12041" max="12041" width="6.6640625" bestFit="1" customWidth="1"/>
    <col min="12042" max="12042" width="8.33203125" bestFit="1" customWidth="1"/>
    <col min="12043" max="12043" width="8.5546875" bestFit="1" customWidth="1"/>
    <col min="12044" max="12045" width="9" bestFit="1" customWidth="1"/>
    <col min="12046" max="12046" width="6.44140625" bestFit="1" customWidth="1"/>
    <col min="12047" max="12047" width="8.44140625" bestFit="1" customWidth="1"/>
    <col min="12048" max="12048" width="9" bestFit="1" customWidth="1"/>
    <col min="12049" max="12049" width="8.33203125" bestFit="1" customWidth="1"/>
    <col min="12289" max="12289" width="34.109375" bestFit="1" customWidth="1"/>
    <col min="12290" max="12290" width="27.6640625" customWidth="1"/>
    <col min="12291" max="12291" width="15.5546875" bestFit="1" customWidth="1"/>
    <col min="12292" max="12292" width="47.5546875" bestFit="1" customWidth="1"/>
    <col min="12293" max="12293" width="33.88671875" bestFit="1" customWidth="1"/>
    <col min="12294" max="12294" width="50" bestFit="1" customWidth="1"/>
    <col min="12295" max="12295" width="21.88671875" bestFit="1" customWidth="1"/>
    <col min="12296" max="12296" width="9" bestFit="1" customWidth="1"/>
    <col min="12297" max="12297" width="6.6640625" bestFit="1" customWidth="1"/>
    <col min="12298" max="12298" width="8.33203125" bestFit="1" customWidth="1"/>
    <col min="12299" max="12299" width="8.5546875" bestFit="1" customWidth="1"/>
    <col min="12300" max="12301" width="9" bestFit="1" customWidth="1"/>
    <col min="12302" max="12302" width="6.44140625" bestFit="1" customWidth="1"/>
    <col min="12303" max="12303" width="8.44140625" bestFit="1" customWidth="1"/>
    <col min="12304" max="12304" width="9" bestFit="1" customWidth="1"/>
    <col min="12305" max="12305" width="8.33203125" bestFit="1" customWidth="1"/>
    <col min="12545" max="12545" width="34.109375" bestFit="1" customWidth="1"/>
    <col min="12546" max="12546" width="27.6640625" customWidth="1"/>
    <col min="12547" max="12547" width="15.5546875" bestFit="1" customWidth="1"/>
    <col min="12548" max="12548" width="47.5546875" bestFit="1" customWidth="1"/>
    <col min="12549" max="12549" width="33.88671875" bestFit="1" customWidth="1"/>
    <col min="12550" max="12550" width="50" bestFit="1" customWidth="1"/>
    <col min="12551" max="12551" width="21.88671875" bestFit="1" customWidth="1"/>
    <col min="12552" max="12552" width="9" bestFit="1" customWidth="1"/>
    <col min="12553" max="12553" width="6.6640625" bestFit="1" customWidth="1"/>
    <col min="12554" max="12554" width="8.33203125" bestFit="1" customWidth="1"/>
    <col min="12555" max="12555" width="8.5546875" bestFit="1" customWidth="1"/>
    <col min="12556" max="12557" width="9" bestFit="1" customWidth="1"/>
    <col min="12558" max="12558" width="6.44140625" bestFit="1" customWidth="1"/>
    <col min="12559" max="12559" width="8.44140625" bestFit="1" customWidth="1"/>
    <col min="12560" max="12560" width="9" bestFit="1" customWidth="1"/>
    <col min="12561" max="12561" width="8.33203125" bestFit="1" customWidth="1"/>
    <col min="12801" max="12801" width="34.109375" bestFit="1" customWidth="1"/>
    <col min="12802" max="12802" width="27.6640625" customWidth="1"/>
    <col min="12803" max="12803" width="15.5546875" bestFit="1" customWidth="1"/>
    <col min="12804" max="12804" width="47.5546875" bestFit="1" customWidth="1"/>
    <col min="12805" max="12805" width="33.88671875" bestFit="1" customWidth="1"/>
    <col min="12806" max="12806" width="50" bestFit="1" customWidth="1"/>
    <col min="12807" max="12807" width="21.88671875" bestFit="1" customWidth="1"/>
    <col min="12808" max="12808" width="9" bestFit="1" customWidth="1"/>
    <col min="12809" max="12809" width="6.6640625" bestFit="1" customWidth="1"/>
    <col min="12810" max="12810" width="8.33203125" bestFit="1" customWidth="1"/>
    <col min="12811" max="12811" width="8.5546875" bestFit="1" customWidth="1"/>
    <col min="12812" max="12813" width="9" bestFit="1" customWidth="1"/>
    <col min="12814" max="12814" width="6.44140625" bestFit="1" customWidth="1"/>
    <col min="12815" max="12815" width="8.44140625" bestFit="1" customWidth="1"/>
    <col min="12816" max="12816" width="9" bestFit="1" customWidth="1"/>
    <col min="12817" max="12817" width="8.33203125" bestFit="1" customWidth="1"/>
    <col min="13057" max="13057" width="34.109375" bestFit="1" customWidth="1"/>
    <col min="13058" max="13058" width="27.6640625" customWidth="1"/>
    <col min="13059" max="13059" width="15.5546875" bestFit="1" customWidth="1"/>
    <col min="13060" max="13060" width="47.5546875" bestFit="1" customWidth="1"/>
    <col min="13061" max="13061" width="33.88671875" bestFit="1" customWidth="1"/>
    <col min="13062" max="13062" width="50" bestFit="1" customWidth="1"/>
    <col min="13063" max="13063" width="21.88671875" bestFit="1" customWidth="1"/>
    <col min="13064" max="13064" width="9" bestFit="1" customWidth="1"/>
    <col min="13065" max="13065" width="6.6640625" bestFit="1" customWidth="1"/>
    <col min="13066" max="13066" width="8.33203125" bestFit="1" customWidth="1"/>
    <col min="13067" max="13067" width="8.5546875" bestFit="1" customWidth="1"/>
    <col min="13068" max="13069" width="9" bestFit="1" customWidth="1"/>
    <col min="13070" max="13070" width="6.44140625" bestFit="1" customWidth="1"/>
    <col min="13071" max="13071" width="8.44140625" bestFit="1" customWidth="1"/>
    <col min="13072" max="13072" width="9" bestFit="1" customWidth="1"/>
    <col min="13073" max="13073" width="8.33203125" bestFit="1" customWidth="1"/>
    <col min="13313" max="13313" width="34.109375" bestFit="1" customWidth="1"/>
    <col min="13314" max="13314" width="27.6640625" customWidth="1"/>
    <col min="13315" max="13315" width="15.5546875" bestFit="1" customWidth="1"/>
    <col min="13316" max="13316" width="47.5546875" bestFit="1" customWidth="1"/>
    <col min="13317" max="13317" width="33.88671875" bestFit="1" customWidth="1"/>
    <col min="13318" max="13318" width="50" bestFit="1" customWidth="1"/>
    <col min="13319" max="13319" width="21.88671875" bestFit="1" customWidth="1"/>
    <col min="13320" max="13320" width="9" bestFit="1" customWidth="1"/>
    <col min="13321" max="13321" width="6.6640625" bestFit="1" customWidth="1"/>
    <col min="13322" max="13322" width="8.33203125" bestFit="1" customWidth="1"/>
    <col min="13323" max="13323" width="8.5546875" bestFit="1" customWidth="1"/>
    <col min="13324" max="13325" width="9" bestFit="1" customWidth="1"/>
    <col min="13326" max="13326" width="6.44140625" bestFit="1" customWidth="1"/>
    <col min="13327" max="13327" width="8.44140625" bestFit="1" customWidth="1"/>
    <col min="13328" max="13328" width="9" bestFit="1" customWidth="1"/>
    <col min="13329" max="13329" width="8.33203125" bestFit="1" customWidth="1"/>
    <col min="13569" max="13569" width="34.109375" bestFit="1" customWidth="1"/>
    <col min="13570" max="13570" width="27.6640625" customWidth="1"/>
    <col min="13571" max="13571" width="15.5546875" bestFit="1" customWidth="1"/>
    <col min="13572" max="13572" width="47.5546875" bestFit="1" customWidth="1"/>
    <col min="13573" max="13573" width="33.88671875" bestFit="1" customWidth="1"/>
    <col min="13574" max="13574" width="50" bestFit="1" customWidth="1"/>
    <col min="13575" max="13575" width="21.88671875" bestFit="1" customWidth="1"/>
    <col min="13576" max="13576" width="9" bestFit="1" customWidth="1"/>
    <col min="13577" max="13577" width="6.6640625" bestFit="1" customWidth="1"/>
    <col min="13578" max="13578" width="8.33203125" bestFit="1" customWidth="1"/>
    <col min="13579" max="13579" width="8.5546875" bestFit="1" customWidth="1"/>
    <col min="13580" max="13581" width="9" bestFit="1" customWidth="1"/>
    <col min="13582" max="13582" width="6.44140625" bestFit="1" customWidth="1"/>
    <col min="13583" max="13583" width="8.44140625" bestFit="1" customWidth="1"/>
    <col min="13584" max="13584" width="9" bestFit="1" customWidth="1"/>
    <col min="13585" max="13585" width="8.33203125" bestFit="1" customWidth="1"/>
    <col min="13825" max="13825" width="34.109375" bestFit="1" customWidth="1"/>
    <col min="13826" max="13826" width="27.6640625" customWidth="1"/>
    <col min="13827" max="13827" width="15.5546875" bestFit="1" customWidth="1"/>
    <col min="13828" max="13828" width="47.5546875" bestFit="1" customWidth="1"/>
    <col min="13829" max="13829" width="33.88671875" bestFit="1" customWidth="1"/>
    <col min="13830" max="13830" width="50" bestFit="1" customWidth="1"/>
    <col min="13831" max="13831" width="21.88671875" bestFit="1" customWidth="1"/>
    <col min="13832" max="13832" width="9" bestFit="1" customWidth="1"/>
    <col min="13833" max="13833" width="6.6640625" bestFit="1" customWidth="1"/>
    <col min="13834" max="13834" width="8.33203125" bestFit="1" customWidth="1"/>
    <col min="13835" max="13835" width="8.5546875" bestFit="1" customWidth="1"/>
    <col min="13836" max="13837" width="9" bestFit="1" customWidth="1"/>
    <col min="13838" max="13838" width="6.44140625" bestFit="1" customWidth="1"/>
    <col min="13839" max="13839" width="8.44140625" bestFit="1" customWidth="1"/>
    <col min="13840" max="13840" width="9" bestFit="1" customWidth="1"/>
    <col min="13841" max="13841" width="8.33203125" bestFit="1" customWidth="1"/>
    <col min="14081" max="14081" width="34.109375" bestFit="1" customWidth="1"/>
    <col min="14082" max="14082" width="27.6640625" customWidth="1"/>
    <col min="14083" max="14083" width="15.5546875" bestFit="1" customWidth="1"/>
    <col min="14084" max="14084" width="47.5546875" bestFit="1" customWidth="1"/>
    <col min="14085" max="14085" width="33.88671875" bestFit="1" customWidth="1"/>
    <col min="14086" max="14086" width="50" bestFit="1" customWidth="1"/>
    <col min="14087" max="14087" width="21.88671875" bestFit="1" customWidth="1"/>
    <col min="14088" max="14088" width="9" bestFit="1" customWidth="1"/>
    <col min="14089" max="14089" width="6.6640625" bestFit="1" customWidth="1"/>
    <col min="14090" max="14090" width="8.33203125" bestFit="1" customWidth="1"/>
    <col min="14091" max="14091" width="8.5546875" bestFit="1" customWidth="1"/>
    <col min="14092" max="14093" width="9" bestFit="1" customWidth="1"/>
    <col min="14094" max="14094" width="6.44140625" bestFit="1" customWidth="1"/>
    <col min="14095" max="14095" width="8.44140625" bestFit="1" customWidth="1"/>
    <col min="14096" max="14096" width="9" bestFit="1" customWidth="1"/>
    <col min="14097" max="14097" width="8.33203125" bestFit="1" customWidth="1"/>
    <col min="14337" max="14337" width="34.109375" bestFit="1" customWidth="1"/>
    <col min="14338" max="14338" width="27.6640625" customWidth="1"/>
    <col min="14339" max="14339" width="15.5546875" bestFit="1" customWidth="1"/>
    <col min="14340" max="14340" width="47.5546875" bestFit="1" customWidth="1"/>
    <col min="14341" max="14341" width="33.88671875" bestFit="1" customWidth="1"/>
    <col min="14342" max="14342" width="50" bestFit="1" customWidth="1"/>
    <col min="14343" max="14343" width="21.88671875" bestFit="1" customWidth="1"/>
    <col min="14344" max="14344" width="9" bestFit="1" customWidth="1"/>
    <col min="14345" max="14345" width="6.6640625" bestFit="1" customWidth="1"/>
    <col min="14346" max="14346" width="8.33203125" bestFit="1" customWidth="1"/>
    <col min="14347" max="14347" width="8.5546875" bestFit="1" customWidth="1"/>
    <col min="14348" max="14349" width="9" bestFit="1" customWidth="1"/>
    <col min="14350" max="14350" width="6.44140625" bestFit="1" customWidth="1"/>
    <col min="14351" max="14351" width="8.44140625" bestFit="1" customWidth="1"/>
    <col min="14352" max="14352" width="9" bestFit="1" customWidth="1"/>
    <col min="14353" max="14353" width="8.33203125" bestFit="1" customWidth="1"/>
    <col min="14593" max="14593" width="34.109375" bestFit="1" customWidth="1"/>
    <col min="14594" max="14594" width="27.6640625" customWidth="1"/>
    <col min="14595" max="14595" width="15.5546875" bestFit="1" customWidth="1"/>
    <col min="14596" max="14596" width="47.5546875" bestFit="1" customWidth="1"/>
    <col min="14597" max="14597" width="33.88671875" bestFit="1" customWidth="1"/>
    <col min="14598" max="14598" width="50" bestFit="1" customWidth="1"/>
    <col min="14599" max="14599" width="21.88671875" bestFit="1" customWidth="1"/>
    <col min="14600" max="14600" width="9" bestFit="1" customWidth="1"/>
    <col min="14601" max="14601" width="6.6640625" bestFit="1" customWidth="1"/>
    <col min="14602" max="14602" width="8.33203125" bestFit="1" customWidth="1"/>
    <col min="14603" max="14603" width="8.5546875" bestFit="1" customWidth="1"/>
    <col min="14604" max="14605" width="9" bestFit="1" customWidth="1"/>
    <col min="14606" max="14606" width="6.44140625" bestFit="1" customWidth="1"/>
    <col min="14607" max="14607" width="8.44140625" bestFit="1" customWidth="1"/>
    <col min="14608" max="14608" width="9" bestFit="1" customWidth="1"/>
    <col min="14609" max="14609" width="8.33203125" bestFit="1" customWidth="1"/>
    <col min="14849" max="14849" width="34.109375" bestFit="1" customWidth="1"/>
    <col min="14850" max="14850" width="27.6640625" customWidth="1"/>
    <col min="14851" max="14851" width="15.5546875" bestFit="1" customWidth="1"/>
    <col min="14852" max="14852" width="47.5546875" bestFit="1" customWidth="1"/>
    <col min="14853" max="14853" width="33.88671875" bestFit="1" customWidth="1"/>
    <col min="14854" max="14854" width="50" bestFit="1" customWidth="1"/>
    <col min="14855" max="14855" width="21.88671875" bestFit="1" customWidth="1"/>
    <col min="14856" max="14856" width="9" bestFit="1" customWidth="1"/>
    <col min="14857" max="14857" width="6.6640625" bestFit="1" customWidth="1"/>
    <col min="14858" max="14858" width="8.33203125" bestFit="1" customWidth="1"/>
    <col min="14859" max="14859" width="8.5546875" bestFit="1" customWidth="1"/>
    <col min="14860" max="14861" width="9" bestFit="1" customWidth="1"/>
    <col min="14862" max="14862" width="6.44140625" bestFit="1" customWidth="1"/>
    <col min="14863" max="14863" width="8.44140625" bestFit="1" customWidth="1"/>
    <col min="14864" max="14864" width="9" bestFit="1" customWidth="1"/>
    <col min="14865" max="14865" width="8.33203125" bestFit="1" customWidth="1"/>
    <col min="15105" max="15105" width="34.109375" bestFit="1" customWidth="1"/>
    <col min="15106" max="15106" width="27.6640625" customWidth="1"/>
    <col min="15107" max="15107" width="15.5546875" bestFit="1" customWidth="1"/>
    <col min="15108" max="15108" width="47.5546875" bestFit="1" customWidth="1"/>
    <col min="15109" max="15109" width="33.88671875" bestFit="1" customWidth="1"/>
    <col min="15110" max="15110" width="50" bestFit="1" customWidth="1"/>
    <col min="15111" max="15111" width="21.88671875" bestFit="1" customWidth="1"/>
    <col min="15112" max="15112" width="9" bestFit="1" customWidth="1"/>
    <col min="15113" max="15113" width="6.6640625" bestFit="1" customWidth="1"/>
    <col min="15114" max="15114" width="8.33203125" bestFit="1" customWidth="1"/>
    <col min="15115" max="15115" width="8.5546875" bestFit="1" customWidth="1"/>
    <col min="15116" max="15117" width="9" bestFit="1" customWidth="1"/>
    <col min="15118" max="15118" width="6.44140625" bestFit="1" customWidth="1"/>
    <col min="15119" max="15119" width="8.44140625" bestFit="1" customWidth="1"/>
    <col min="15120" max="15120" width="9" bestFit="1" customWidth="1"/>
    <col min="15121" max="15121" width="8.33203125" bestFit="1" customWidth="1"/>
    <col min="15361" max="15361" width="34.109375" bestFit="1" customWidth="1"/>
    <col min="15362" max="15362" width="27.6640625" customWidth="1"/>
    <col min="15363" max="15363" width="15.5546875" bestFit="1" customWidth="1"/>
    <col min="15364" max="15364" width="47.5546875" bestFit="1" customWidth="1"/>
    <col min="15365" max="15365" width="33.88671875" bestFit="1" customWidth="1"/>
    <col min="15366" max="15366" width="50" bestFit="1" customWidth="1"/>
    <col min="15367" max="15367" width="21.88671875" bestFit="1" customWidth="1"/>
    <col min="15368" max="15368" width="9" bestFit="1" customWidth="1"/>
    <col min="15369" max="15369" width="6.6640625" bestFit="1" customWidth="1"/>
    <col min="15370" max="15370" width="8.33203125" bestFit="1" customWidth="1"/>
    <col min="15371" max="15371" width="8.5546875" bestFit="1" customWidth="1"/>
    <col min="15372" max="15373" width="9" bestFit="1" customWidth="1"/>
    <col min="15374" max="15374" width="6.44140625" bestFit="1" customWidth="1"/>
    <col min="15375" max="15375" width="8.44140625" bestFit="1" customWidth="1"/>
    <col min="15376" max="15376" width="9" bestFit="1" customWidth="1"/>
    <col min="15377" max="15377" width="8.33203125" bestFit="1" customWidth="1"/>
    <col min="15617" max="15617" width="34.109375" bestFit="1" customWidth="1"/>
    <col min="15618" max="15618" width="27.6640625" customWidth="1"/>
    <col min="15619" max="15619" width="15.5546875" bestFit="1" customWidth="1"/>
    <col min="15620" max="15620" width="47.5546875" bestFit="1" customWidth="1"/>
    <col min="15621" max="15621" width="33.88671875" bestFit="1" customWidth="1"/>
    <col min="15622" max="15622" width="50" bestFit="1" customWidth="1"/>
    <col min="15623" max="15623" width="21.88671875" bestFit="1" customWidth="1"/>
    <col min="15624" max="15624" width="9" bestFit="1" customWidth="1"/>
    <col min="15625" max="15625" width="6.6640625" bestFit="1" customWidth="1"/>
    <col min="15626" max="15626" width="8.33203125" bestFit="1" customWidth="1"/>
    <col min="15627" max="15627" width="8.5546875" bestFit="1" customWidth="1"/>
    <col min="15628" max="15629" width="9" bestFit="1" customWidth="1"/>
    <col min="15630" max="15630" width="6.44140625" bestFit="1" customWidth="1"/>
    <col min="15631" max="15631" width="8.44140625" bestFit="1" customWidth="1"/>
    <col min="15632" max="15632" width="9" bestFit="1" customWidth="1"/>
    <col min="15633" max="15633" width="8.33203125" bestFit="1" customWidth="1"/>
    <col min="15873" max="15873" width="34.109375" bestFit="1" customWidth="1"/>
    <col min="15874" max="15874" width="27.6640625" customWidth="1"/>
    <col min="15875" max="15875" width="15.5546875" bestFit="1" customWidth="1"/>
    <col min="15876" max="15876" width="47.5546875" bestFit="1" customWidth="1"/>
    <col min="15877" max="15877" width="33.88671875" bestFit="1" customWidth="1"/>
    <col min="15878" max="15878" width="50" bestFit="1" customWidth="1"/>
    <col min="15879" max="15879" width="21.88671875" bestFit="1" customWidth="1"/>
    <col min="15880" max="15880" width="9" bestFit="1" customWidth="1"/>
    <col min="15881" max="15881" width="6.6640625" bestFit="1" customWidth="1"/>
    <col min="15882" max="15882" width="8.33203125" bestFit="1" customWidth="1"/>
    <col min="15883" max="15883" width="8.5546875" bestFit="1" customWidth="1"/>
    <col min="15884" max="15885" width="9" bestFit="1" customWidth="1"/>
    <col min="15886" max="15886" width="6.44140625" bestFit="1" customWidth="1"/>
    <col min="15887" max="15887" width="8.44140625" bestFit="1" customWidth="1"/>
    <col min="15888" max="15888" width="9" bestFit="1" customWidth="1"/>
    <col min="15889" max="15889" width="8.33203125" bestFit="1" customWidth="1"/>
    <col min="16129" max="16129" width="34.109375" bestFit="1" customWidth="1"/>
    <col min="16130" max="16130" width="27.6640625" customWidth="1"/>
    <col min="16131" max="16131" width="15.5546875" bestFit="1" customWidth="1"/>
    <col min="16132" max="16132" width="47.5546875" bestFit="1" customWidth="1"/>
    <col min="16133" max="16133" width="33.88671875" bestFit="1" customWidth="1"/>
    <col min="16134" max="16134" width="50" bestFit="1" customWidth="1"/>
    <col min="16135" max="16135" width="21.88671875" bestFit="1" customWidth="1"/>
    <col min="16136" max="16136" width="9" bestFit="1" customWidth="1"/>
    <col min="16137" max="16137" width="6.6640625" bestFit="1" customWidth="1"/>
    <col min="16138" max="16138" width="8.33203125" bestFit="1" customWidth="1"/>
    <col min="16139" max="16139" width="8.5546875" bestFit="1" customWidth="1"/>
    <col min="16140" max="16141" width="9" bestFit="1" customWidth="1"/>
    <col min="16142" max="16142" width="6.44140625" bestFit="1" customWidth="1"/>
    <col min="16143" max="16143" width="8.44140625" bestFit="1" customWidth="1"/>
    <col min="16144" max="16144" width="9" bestFit="1" customWidth="1"/>
    <col min="16145" max="16145" width="8.33203125" bestFit="1" customWidth="1"/>
  </cols>
  <sheetData>
    <row r="1" spans="1:17" ht="45" x14ac:dyDescent="0.25">
      <c r="A1" s="119" t="s">
        <v>29</v>
      </c>
      <c r="B1" s="119" t="s">
        <v>378</v>
      </c>
      <c r="C1" s="119" t="s">
        <v>30</v>
      </c>
      <c r="D1" s="119" t="s">
        <v>41</v>
      </c>
      <c r="E1" s="119" t="s">
        <v>379</v>
      </c>
      <c r="F1" s="119" t="s">
        <v>42</v>
      </c>
      <c r="G1" s="119" t="s">
        <v>123</v>
      </c>
      <c r="H1" s="119" t="s">
        <v>33</v>
      </c>
      <c r="I1" s="119" t="s">
        <v>0</v>
      </c>
      <c r="J1" s="119" t="s">
        <v>118</v>
      </c>
      <c r="K1" s="119" t="s">
        <v>119</v>
      </c>
      <c r="L1" s="119" t="s">
        <v>114</v>
      </c>
      <c r="M1" s="119" t="s">
        <v>380</v>
      </c>
      <c r="N1" s="119" t="s">
        <v>112</v>
      </c>
      <c r="O1" s="119" t="s">
        <v>120</v>
      </c>
      <c r="P1" s="119" t="s">
        <v>113</v>
      </c>
      <c r="Q1" s="119" t="s">
        <v>121</v>
      </c>
    </row>
    <row r="2" spans="1:17" ht="15" x14ac:dyDescent="0.25">
      <c r="A2" s="28" t="s">
        <v>381</v>
      </c>
      <c r="B2" s="28" t="s">
        <v>382</v>
      </c>
      <c r="C2" s="28" t="s">
        <v>36</v>
      </c>
      <c r="D2" s="28" t="s">
        <v>383</v>
      </c>
      <c r="E2" s="28" t="s">
        <v>384</v>
      </c>
      <c r="F2" s="28" t="s">
        <v>385</v>
      </c>
      <c r="G2" s="28" t="s">
        <v>134</v>
      </c>
      <c r="H2" s="29">
        <v>24039</v>
      </c>
      <c r="I2" s="29">
        <v>145</v>
      </c>
      <c r="J2" s="29">
        <v>16</v>
      </c>
      <c r="K2" s="29">
        <v>812</v>
      </c>
      <c r="L2" s="29">
        <v>16301</v>
      </c>
      <c r="M2" s="29">
        <v>13.45</v>
      </c>
      <c r="N2" s="29">
        <v>0</v>
      </c>
      <c r="O2" s="29">
        <v>0</v>
      </c>
      <c r="P2" s="29">
        <v>0</v>
      </c>
      <c r="Q2" s="29">
        <v>0</v>
      </c>
    </row>
    <row r="3" spans="1:17" ht="15" x14ac:dyDescent="0.25">
      <c r="A3" s="28" t="s">
        <v>381</v>
      </c>
      <c r="B3" s="28" t="s">
        <v>382</v>
      </c>
      <c r="C3" s="28" t="s">
        <v>36</v>
      </c>
      <c r="D3" s="28" t="s">
        <v>386</v>
      </c>
      <c r="E3" s="28" t="s">
        <v>387</v>
      </c>
      <c r="F3" s="28" t="s">
        <v>385</v>
      </c>
      <c r="G3" s="28" t="s">
        <v>134</v>
      </c>
      <c r="H3" s="29">
        <v>223623</v>
      </c>
      <c r="I3" s="29">
        <v>2463</v>
      </c>
      <c r="J3" s="29">
        <v>706</v>
      </c>
      <c r="K3" s="29">
        <v>39797</v>
      </c>
      <c r="L3" s="29">
        <v>176524</v>
      </c>
      <c r="M3" s="29">
        <v>16.79</v>
      </c>
      <c r="N3" s="29">
        <v>0</v>
      </c>
      <c r="O3" s="29">
        <v>0</v>
      </c>
      <c r="P3" s="29">
        <v>0</v>
      </c>
      <c r="Q3" s="29">
        <v>0</v>
      </c>
    </row>
    <row r="4" spans="1:17" ht="15" x14ac:dyDescent="0.25">
      <c r="A4" s="28" t="s">
        <v>381</v>
      </c>
      <c r="B4" s="28" t="s">
        <v>382</v>
      </c>
      <c r="C4" s="28" t="s">
        <v>36</v>
      </c>
      <c r="D4" s="28" t="s">
        <v>388</v>
      </c>
      <c r="E4" s="28" t="s">
        <v>389</v>
      </c>
      <c r="F4" s="28" t="s">
        <v>385</v>
      </c>
      <c r="G4" s="28" t="s">
        <v>134</v>
      </c>
      <c r="H4" s="29">
        <v>37586</v>
      </c>
      <c r="I4" s="29">
        <v>309</v>
      </c>
      <c r="J4" s="29">
        <v>49</v>
      </c>
      <c r="K4" s="29">
        <v>2534</v>
      </c>
      <c r="L4" s="29">
        <v>23225</v>
      </c>
      <c r="M4" s="29">
        <v>13.24</v>
      </c>
      <c r="N4" s="29">
        <v>0</v>
      </c>
      <c r="O4" s="29">
        <v>0</v>
      </c>
      <c r="P4" s="29">
        <v>0</v>
      </c>
      <c r="Q4" s="29">
        <v>0</v>
      </c>
    </row>
    <row r="5" spans="1:17" ht="15" x14ac:dyDescent="0.25">
      <c r="A5" s="28" t="s">
        <v>381</v>
      </c>
      <c r="B5" s="28" t="s">
        <v>382</v>
      </c>
      <c r="C5" s="28" t="s">
        <v>36</v>
      </c>
      <c r="D5" s="28" t="s">
        <v>390</v>
      </c>
      <c r="E5" s="28" t="s">
        <v>391</v>
      </c>
      <c r="F5" s="28" t="s">
        <v>385</v>
      </c>
      <c r="G5" s="28" t="s">
        <v>134</v>
      </c>
      <c r="H5" s="29">
        <v>24056</v>
      </c>
      <c r="I5" s="29">
        <v>132</v>
      </c>
      <c r="J5" s="29">
        <v>34</v>
      </c>
      <c r="K5" s="29">
        <v>2503</v>
      </c>
      <c r="L5" s="29">
        <v>17867</v>
      </c>
      <c r="M5" s="29">
        <v>14.14</v>
      </c>
      <c r="N5" s="29">
        <v>0</v>
      </c>
      <c r="O5" s="29">
        <v>0</v>
      </c>
      <c r="P5" s="29">
        <v>0</v>
      </c>
      <c r="Q5" s="29">
        <v>0</v>
      </c>
    </row>
    <row r="6" spans="1:17" ht="15" x14ac:dyDescent="0.25">
      <c r="A6" s="28" t="s">
        <v>381</v>
      </c>
      <c r="B6" s="28" t="s">
        <v>382</v>
      </c>
      <c r="C6" s="28" t="s">
        <v>36</v>
      </c>
      <c r="D6" s="28" t="s">
        <v>392</v>
      </c>
      <c r="E6" s="28" t="s">
        <v>393</v>
      </c>
      <c r="F6" s="28" t="s">
        <v>385</v>
      </c>
      <c r="G6" s="28" t="s">
        <v>134</v>
      </c>
      <c r="H6" s="29">
        <v>21344</v>
      </c>
      <c r="I6" s="29">
        <v>156</v>
      </c>
      <c r="J6" s="29">
        <v>16</v>
      </c>
      <c r="K6" s="29">
        <v>685</v>
      </c>
      <c r="L6" s="29">
        <v>16787</v>
      </c>
      <c r="M6" s="29">
        <v>16.93</v>
      </c>
      <c r="N6" s="29">
        <v>0</v>
      </c>
      <c r="O6" s="29">
        <v>0</v>
      </c>
      <c r="P6" s="29">
        <v>0</v>
      </c>
      <c r="Q6" s="29">
        <v>0</v>
      </c>
    </row>
    <row r="7" spans="1:17" ht="15" x14ac:dyDescent="0.25">
      <c r="A7" s="28" t="s">
        <v>381</v>
      </c>
      <c r="B7" s="28" t="s">
        <v>382</v>
      </c>
      <c r="C7" s="28" t="s">
        <v>36</v>
      </c>
      <c r="D7" s="28" t="s">
        <v>394</v>
      </c>
      <c r="E7" s="28" t="s">
        <v>395</v>
      </c>
      <c r="F7" s="28" t="s">
        <v>385</v>
      </c>
      <c r="G7" s="28" t="s">
        <v>134</v>
      </c>
      <c r="H7" s="29">
        <v>42816</v>
      </c>
      <c r="I7" s="29">
        <v>362</v>
      </c>
      <c r="J7" s="29">
        <v>118</v>
      </c>
      <c r="K7" s="29">
        <v>8053</v>
      </c>
      <c r="L7" s="29">
        <v>33160</v>
      </c>
      <c r="M7" s="29">
        <v>15.09</v>
      </c>
      <c r="N7" s="29">
        <v>0</v>
      </c>
      <c r="O7" s="29">
        <v>0</v>
      </c>
      <c r="P7" s="29">
        <v>0</v>
      </c>
      <c r="Q7" s="29">
        <v>0</v>
      </c>
    </row>
    <row r="8" spans="1:17" ht="15" x14ac:dyDescent="0.25">
      <c r="A8" s="28" t="s">
        <v>381</v>
      </c>
      <c r="B8" s="28" t="s">
        <v>382</v>
      </c>
      <c r="C8" s="28" t="s">
        <v>36</v>
      </c>
      <c r="D8" s="28" t="s">
        <v>396</v>
      </c>
      <c r="E8" s="28" t="s">
        <v>397</v>
      </c>
      <c r="F8" s="28" t="s">
        <v>398</v>
      </c>
      <c r="G8" s="28" t="s">
        <v>137</v>
      </c>
      <c r="H8" s="29">
        <v>21271</v>
      </c>
      <c r="I8" s="29">
        <v>37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</row>
    <row r="9" spans="1:17" ht="15" x14ac:dyDescent="0.25">
      <c r="A9" s="28" t="s">
        <v>381</v>
      </c>
      <c r="B9" s="28" t="s">
        <v>382</v>
      </c>
      <c r="C9" s="28" t="s">
        <v>36</v>
      </c>
      <c r="D9" s="28" t="s">
        <v>396</v>
      </c>
      <c r="E9" s="28" t="s">
        <v>397</v>
      </c>
      <c r="F9" s="28" t="s">
        <v>399</v>
      </c>
      <c r="G9" s="28" t="s">
        <v>137</v>
      </c>
      <c r="H9" s="29">
        <v>2825</v>
      </c>
      <c r="I9" s="29">
        <v>5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</row>
    <row r="10" spans="1:17" ht="15" x14ac:dyDescent="0.25">
      <c r="A10" s="28" t="s">
        <v>381</v>
      </c>
      <c r="B10" s="28" t="s">
        <v>382</v>
      </c>
      <c r="C10" s="28" t="s">
        <v>36</v>
      </c>
      <c r="D10" s="28" t="s">
        <v>396</v>
      </c>
      <c r="E10" s="28" t="s">
        <v>397</v>
      </c>
      <c r="F10" s="28" t="s">
        <v>400</v>
      </c>
      <c r="G10" s="28" t="s">
        <v>137</v>
      </c>
      <c r="H10" s="29">
        <v>40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</row>
    <row r="11" spans="1:17" ht="15" x14ac:dyDescent="0.25">
      <c r="A11" s="28" t="s">
        <v>381</v>
      </c>
      <c r="B11" s="28" t="s">
        <v>382</v>
      </c>
      <c r="C11" s="28" t="s">
        <v>36</v>
      </c>
      <c r="D11" s="28" t="s">
        <v>401</v>
      </c>
      <c r="E11" s="28" t="s">
        <v>402</v>
      </c>
      <c r="F11" s="28" t="s">
        <v>398</v>
      </c>
      <c r="G11" s="28" t="s">
        <v>137</v>
      </c>
      <c r="H11" s="29">
        <v>197388</v>
      </c>
      <c r="I11" s="29">
        <v>295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</row>
    <row r="12" spans="1:17" ht="15" x14ac:dyDescent="0.25">
      <c r="A12" s="28" t="s">
        <v>381</v>
      </c>
      <c r="B12" s="28" t="s">
        <v>382</v>
      </c>
      <c r="C12" s="28" t="s">
        <v>36</v>
      </c>
      <c r="D12" s="28" t="s">
        <v>401</v>
      </c>
      <c r="E12" s="28" t="s">
        <v>402</v>
      </c>
      <c r="F12" s="28" t="s">
        <v>399</v>
      </c>
      <c r="G12" s="28" t="s">
        <v>137</v>
      </c>
      <c r="H12" s="29">
        <v>26178</v>
      </c>
      <c r="I12" s="29">
        <v>34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</row>
    <row r="13" spans="1:17" ht="15" x14ac:dyDescent="0.25">
      <c r="A13" s="28" t="s">
        <v>381</v>
      </c>
      <c r="B13" s="28" t="s">
        <v>382</v>
      </c>
      <c r="C13" s="28" t="s">
        <v>36</v>
      </c>
      <c r="D13" s="28" t="s">
        <v>401</v>
      </c>
      <c r="E13" s="28" t="s">
        <v>402</v>
      </c>
      <c r="F13" s="28" t="s">
        <v>400</v>
      </c>
      <c r="G13" s="28" t="s">
        <v>137</v>
      </c>
      <c r="H13" s="29">
        <v>307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</row>
    <row r="14" spans="1:17" ht="15" x14ac:dyDescent="0.25">
      <c r="A14" s="28" t="s">
        <v>381</v>
      </c>
      <c r="B14" s="28" t="s">
        <v>382</v>
      </c>
      <c r="C14" s="28" t="s">
        <v>36</v>
      </c>
      <c r="D14" s="28" t="s">
        <v>403</v>
      </c>
      <c r="E14" s="28" t="s">
        <v>404</v>
      </c>
      <c r="F14" s="28" t="s">
        <v>398</v>
      </c>
      <c r="G14" s="28" t="s">
        <v>137</v>
      </c>
      <c r="H14" s="29">
        <v>33356</v>
      </c>
      <c r="I14" s="29">
        <v>70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</row>
    <row r="15" spans="1:17" ht="15" x14ac:dyDescent="0.25">
      <c r="A15" s="28" t="s">
        <v>381</v>
      </c>
      <c r="B15" s="28" t="s">
        <v>382</v>
      </c>
      <c r="C15" s="28" t="s">
        <v>36</v>
      </c>
      <c r="D15" s="28" t="s">
        <v>403</v>
      </c>
      <c r="E15" s="28" t="s">
        <v>404</v>
      </c>
      <c r="F15" s="28" t="s">
        <v>399</v>
      </c>
      <c r="G15" s="28" t="s">
        <v>137</v>
      </c>
      <c r="H15" s="29">
        <v>4180</v>
      </c>
      <c r="I15" s="29">
        <v>16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</row>
    <row r="16" spans="1:17" ht="15" x14ac:dyDescent="0.25">
      <c r="A16" s="28" t="s">
        <v>381</v>
      </c>
      <c r="B16" s="28" t="s">
        <v>382</v>
      </c>
      <c r="C16" s="28" t="s">
        <v>36</v>
      </c>
      <c r="D16" s="28" t="s">
        <v>403</v>
      </c>
      <c r="E16" s="28" t="s">
        <v>404</v>
      </c>
      <c r="F16" s="28" t="s">
        <v>400</v>
      </c>
      <c r="G16" s="28" t="s">
        <v>137</v>
      </c>
      <c r="H16" s="29">
        <v>66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</row>
    <row r="17" spans="1:17" ht="15" x14ac:dyDescent="0.25">
      <c r="A17" s="28" t="s">
        <v>381</v>
      </c>
      <c r="B17" s="28" t="s">
        <v>382</v>
      </c>
      <c r="C17" s="28" t="s">
        <v>36</v>
      </c>
      <c r="D17" s="28" t="s">
        <v>405</v>
      </c>
      <c r="E17" s="28" t="s">
        <v>406</v>
      </c>
      <c r="F17" s="28" t="s">
        <v>398</v>
      </c>
      <c r="G17" s="28" t="s">
        <v>137</v>
      </c>
      <c r="H17" s="29">
        <v>21097</v>
      </c>
      <c r="I17" s="29">
        <v>22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</row>
    <row r="18" spans="1:17" ht="15" x14ac:dyDescent="0.25">
      <c r="A18" s="28" t="s">
        <v>381</v>
      </c>
      <c r="B18" s="28" t="s">
        <v>382</v>
      </c>
      <c r="C18" s="28" t="s">
        <v>36</v>
      </c>
      <c r="D18" s="28" t="s">
        <v>405</v>
      </c>
      <c r="E18" s="28" t="s">
        <v>406</v>
      </c>
      <c r="F18" s="28" t="s">
        <v>399</v>
      </c>
      <c r="G18" s="28" t="s">
        <v>137</v>
      </c>
      <c r="H18" s="29">
        <v>2808</v>
      </c>
      <c r="I18" s="29">
        <v>6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</row>
    <row r="19" spans="1:17" ht="15" x14ac:dyDescent="0.25">
      <c r="A19" s="28" t="s">
        <v>381</v>
      </c>
      <c r="B19" s="28" t="s">
        <v>382</v>
      </c>
      <c r="C19" s="28" t="s">
        <v>36</v>
      </c>
      <c r="D19" s="28" t="s">
        <v>405</v>
      </c>
      <c r="E19" s="28" t="s">
        <v>406</v>
      </c>
      <c r="F19" s="28" t="s">
        <v>400</v>
      </c>
      <c r="G19" s="28" t="s">
        <v>137</v>
      </c>
      <c r="H19" s="29">
        <v>18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</row>
    <row r="20" spans="1:17" ht="15" x14ac:dyDescent="0.25">
      <c r="A20" s="28" t="s">
        <v>381</v>
      </c>
      <c r="B20" s="28" t="s">
        <v>382</v>
      </c>
      <c r="C20" s="28" t="s">
        <v>36</v>
      </c>
      <c r="D20" s="28" t="s">
        <v>407</v>
      </c>
      <c r="E20" s="28" t="s">
        <v>408</v>
      </c>
      <c r="F20" s="28" t="s">
        <v>398</v>
      </c>
      <c r="G20" s="28" t="s">
        <v>137</v>
      </c>
      <c r="H20" s="29">
        <v>20944</v>
      </c>
      <c r="I20" s="29">
        <v>35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</row>
    <row r="21" spans="1:17" ht="15" x14ac:dyDescent="0.25">
      <c r="A21" s="28" t="s">
        <v>381</v>
      </c>
      <c r="B21" s="28" t="s">
        <v>382</v>
      </c>
      <c r="C21" s="28" t="s">
        <v>36</v>
      </c>
      <c r="D21" s="28" t="s">
        <v>407</v>
      </c>
      <c r="E21" s="28" t="s">
        <v>408</v>
      </c>
      <c r="F21" s="28" t="s">
        <v>399</v>
      </c>
      <c r="G21" s="28" t="s">
        <v>137</v>
      </c>
      <c r="H21" s="29">
        <v>2741</v>
      </c>
      <c r="I21" s="29">
        <v>2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</row>
    <row r="22" spans="1:17" ht="15" x14ac:dyDescent="0.25">
      <c r="A22" s="28" t="s">
        <v>381</v>
      </c>
      <c r="B22" s="28" t="s">
        <v>382</v>
      </c>
      <c r="C22" s="28" t="s">
        <v>36</v>
      </c>
      <c r="D22" s="28" t="s">
        <v>407</v>
      </c>
      <c r="E22" s="28" t="s">
        <v>408</v>
      </c>
      <c r="F22" s="28" t="s">
        <v>400</v>
      </c>
      <c r="G22" s="28" t="s">
        <v>137</v>
      </c>
      <c r="H22" s="29">
        <v>44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</row>
    <row r="23" spans="1:17" ht="15" x14ac:dyDescent="0.25">
      <c r="A23" s="28" t="s">
        <v>381</v>
      </c>
      <c r="B23" s="28" t="s">
        <v>382</v>
      </c>
      <c r="C23" s="28" t="s">
        <v>36</v>
      </c>
      <c r="D23" s="28" t="s">
        <v>409</v>
      </c>
      <c r="E23" s="28" t="s">
        <v>410</v>
      </c>
      <c r="F23" s="28" t="s">
        <v>398</v>
      </c>
      <c r="G23" s="28" t="s">
        <v>137</v>
      </c>
      <c r="H23" s="29">
        <v>37433</v>
      </c>
      <c r="I23" s="29">
        <v>49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</row>
    <row r="24" spans="1:17" ht="15" x14ac:dyDescent="0.25">
      <c r="A24" s="28" t="s">
        <v>381</v>
      </c>
      <c r="B24" s="28" t="s">
        <v>382</v>
      </c>
      <c r="C24" s="28" t="s">
        <v>36</v>
      </c>
      <c r="D24" s="28" t="s">
        <v>409</v>
      </c>
      <c r="E24" s="28" t="s">
        <v>410</v>
      </c>
      <c r="F24" s="28" t="s">
        <v>399</v>
      </c>
      <c r="G24" s="28" t="s">
        <v>137</v>
      </c>
      <c r="H24" s="29">
        <v>5042</v>
      </c>
      <c r="I24" s="29">
        <v>10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</row>
    <row r="25" spans="1:17" ht="15" x14ac:dyDescent="0.25">
      <c r="A25" s="28" t="s">
        <v>381</v>
      </c>
      <c r="B25" s="28" t="s">
        <v>382</v>
      </c>
      <c r="C25" s="28" t="s">
        <v>36</v>
      </c>
      <c r="D25" s="28" t="s">
        <v>409</v>
      </c>
      <c r="E25" s="28" t="s">
        <v>410</v>
      </c>
      <c r="F25" s="28" t="s">
        <v>400</v>
      </c>
      <c r="G25" s="28" t="s">
        <v>137</v>
      </c>
      <c r="H25" s="29">
        <v>38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</row>
    <row r="26" spans="1:17" ht="15" x14ac:dyDescent="0.25">
      <c r="A26" s="28" t="s">
        <v>381</v>
      </c>
      <c r="B26" s="28" t="s">
        <v>382</v>
      </c>
      <c r="C26" s="28" t="s">
        <v>37</v>
      </c>
      <c r="D26" s="28" t="s">
        <v>411</v>
      </c>
      <c r="E26" s="28" t="s">
        <v>412</v>
      </c>
      <c r="F26" s="28" t="s">
        <v>413</v>
      </c>
      <c r="G26" s="28" t="s">
        <v>151</v>
      </c>
      <c r="H26" s="29">
        <v>102815</v>
      </c>
      <c r="I26" s="29">
        <v>68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</row>
    <row r="27" spans="1:17" ht="15" x14ac:dyDescent="0.25">
      <c r="A27" s="28" t="s">
        <v>381</v>
      </c>
      <c r="B27" s="28" t="s">
        <v>382</v>
      </c>
      <c r="C27" s="28" t="s">
        <v>37</v>
      </c>
      <c r="D27" s="28" t="s">
        <v>414</v>
      </c>
      <c r="E27" s="28" t="s">
        <v>415</v>
      </c>
      <c r="F27" s="28" t="s">
        <v>413</v>
      </c>
      <c r="G27" s="28" t="s">
        <v>151</v>
      </c>
      <c r="H27" s="29">
        <v>483348</v>
      </c>
      <c r="I27" s="29">
        <v>453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</row>
    <row r="28" spans="1:17" ht="15" x14ac:dyDescent="0.25">
      <c r="A28" s="28" t="s">
        <v>381</v>
      </c>
      <c r="B28" s="28" t="s">
        <v>382</v>
      </c>
      <c r="C28" s="28" t="s">
        <v>37</v>
      </c>
      <c r="D28" s="28" t="s">
        <v>416</v>
      </c>
      <c r="E28" s="28" t="s">
        <v>417</v>
      </c>
      <c r="F28" s="28" t="s">
        <v>413</v>
      </c>
      <c r="G28" s="28" t="s">
        <v>151</v>
      </c>
      <c r="H28" s="29">
        <v>226432</v>
      </c>
      <c r="I28" s="29">
        <v>339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</row>
    <row r="29" spans="1:17" ht="15" x14ac:dyDescent="0.25">
      <c r="A29" s="28" t="s">
        <v>381</v>
      </c>
      <c r="B29" s="28" t="s">
        <v>382</v>
      </c>
      <c r="C29" s="28" t="s">
        <v>37</v>
      </c>
      <c r="D29" s="28" t="s">
        <v>418</v>
      </c>
      <c r="E29" s="28" t="s">
        <v>419</v>
      </c>
      <c r="F29" s="28" t="s">
        <v>413</v>
      </c>
      <c r="G29" s="28" t="s">
        <v>151</v>
      </c>
      <c r="H29" s="29">
        <v>174361</v>
      </c>
      <c r="I29" s="29">
        <v>201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</row>
    <row r="30" spans="1:17" x14ac:dyDescent="0.3">
      <c r="A30" s="28" t="s">
        <v>381</v>
      </c>
      <c r="B30" s="28" t="s">
        <v>382</v>
      </c>
      <c r="C30" s="28" t="s">
        <v>37</v>
      </c>
      <c r="D30" s="28" t="s">
        <v>420</v>
      </c>
      <c r="E30" s="28" t="s">
        <v>421</v>
      </c>
      <c r="F30" s="28" t="s">
        <v>413</v>
      </c>
      <c r="G30" s="28" t="s">
        <v>151</v>
      </c>
      <c r="H30" s="29">
        <v>58420</v>
      </c>
      <c r="I30" s="29">
        <v>46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</row>
    <row r="31" spans="1:17" x14ac:dyDescent="0.3">
      <c r="A31" s="28" t="s">
        <v>381</v>
      </c>
      <c r="B31" s="28" t="s">
        <v>382</v>
      </c>
      <c r="C31" s="28" t="s">
        <v>37</v>
      </c>
      <c r="D31" s="28" t="s">
        <v>422</v>
      </c>
      <c r="E31" s="28" t="s">
        <v>423</v>
      </c>
      <c r="F31" s="28" t="s">
        <v>413</v>
      </c>
      <c r="G31" s="28" t="s">
        <v>151</v>
      </c>
      <c r="H31" s="29">
        <v>177326</v>
      </c>
      <c r="I31" s="29">
        <v>94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</row>
    <row r="32" spans="1:17" x14ac:dyDescent="0.3">
      <c r="A32" s="28" t="s">
        <v>381</v>
      </c>
      <c r="B32" s="28" t="s">
        <v>382</v>
      </c>
      <c r="C32" s="28" t="s">
        <v>37</v>
      </c>
      <c r="D32" s="28" t="s">
        <v>424</v>
      </c>
      <c r="E32" s="28" t="s">
        <v>425</v>
      </c>
      <c r="F32" s="28" t="s">
        <v>398</v>
      </c>
      <c r="G32" s="28" t="s">
        <v>137</v>
      </c>
      <c r="H32" s="29">
        <v>74970</v>
      </c>
      <c r="I32" s="29">
        <v>113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</row>
    <row r="33" spans="1:17" x14ac:dyDescent="0.3">
      <c r="A33" s="28" t="s">
        <v>381</v>
      </c>
      <c r="B33" s="28" t="s">
        <v>382</v>
      </c>
      <c r="C33" s="28" t="s">
        <v>37</v>
      </c>
      <c r="D33" s="28" t="s">
        <v>424</v>
      </c>
      <c r="E33" s="28" t="s">
        <v>425</v>
      </c>
      <c r="F33" s="28" t="s">
        <v>399</v>
      </c>
      <c r="G33" s="28" t="s">
        <v>137</v>
      </c>
      <c r="H33" s="29">
        <v>5531</v>
      </c>
      <c r="I33" s="29">
        <v>3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</row>
    <row r="34" spans="1:17" x14ac:dyDescent="0.3">
      <c r="A34" s="28" t="s">
        <v>381</v>
      </c>
      <c r="B34" s="28" t="s">
        <v>382</v>
      </c>
      <c r="C34" s="28" t="s">
        <v>37</v>
      </c>
      <c r="D34" s="28" t="s">
        <v>424</v>
      </c>
      <c r="E34" s="28" t="s">
        <v>425</v>
      </c>
      <c r="F34" s="28" t="s">
        <v>400</v>
      </c>
      <c r="G34" s="28" t="s">
        <v>137</v>
      </c>
      <c r="H34" s="29">
        <v>37</v>
      </c>
      <c r="I34" s="29">
        <v>1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</row>
    <row r="35" spans="1:17" x14ac:dyDescent="0.3">
      <c r="A35" s="28" t="s">
        <v>381</v>
      </c>
      <c r="B35" s="28" t="s">
        <v>382</v>
      </c>
      <c r="C35" s="28" t="s">
        <v>37</v>
      </c>
      <c r="D35" s="28" t="s">
        <v>426</v>
      </c>
      <c r="E35" s="28" t="s">
        <v>427</v>
      </c>
      <c r="F35" s="28" t="s">
        <v>398</v>
      </c>
      <c r="G35" s="28" t="s">
        <v>137</v>
      </c>
      <c r="H35" s="29">
        <v>709291</v>
      </c>
      <c r="I35" s="29">
        <v>756</v>
      </c>
      <c r="J35" s="29">
        <v>0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</row>
    <row r="36" spans="1:17" x14ac:dyDescent="0.3">
      <c r="A36" s="28" t="s">
        <v>381</v>
      </c>
      <c r="B36" s="28" t="s">
        <v>382</v>
      </c>
      <c r="C36" s="28" t="s">
        <v>37</v>
      </c>
      <c r="D36" s="28" t="s">
        <v>426</v>
      </c>
      <c r="E36" s="28" t="s">
        <v>427</v>
      </c>
      <c r="F36" s="28" t="s">
        <v>399</v>
      </c>
      <c r="G36" s="28" t="s">
        <v>137</v>
      </c>
      <c r="H36" s="29">
        <v>115512</v>
      </c>
      <c r="I36" s="29">
        <v>129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</row>
    <row r="37" spans="1:17" x14ac:dyDescent="0.3">
      <c r="A37" s="28" t="s">
        <v>381</v>
      </c>
      <c r="B37" s="28" t="s">
        <v>382</v>
      </c>
      <c r="C37" s="28" t="s">
        <v>37</v>
      </c>
      <c r="D37" s="28" t="s">
        <v>426</v>
      </c>
      <c r="E37" s="28" t="s">
        <v>427</v>
      </c>
      <c r="F37" s="28" t="s">
        <v>400</v>
      </c>
      <c r="G37" s="28" t="s">
        <v>137</v>
      </c>
      <c r="H37" s="29">
        <v>1509</v>
      </c>
      <c r="I37" s="29">
        <v>1</v>
      </c>
      <c r="J37" s="29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</row>
    <row r="38" spans="1:17" x14ac:dyDescent="0.3">
      <c r="A38" s="28" t="s">
        <v>381</v>
      </c>
      <c r="B38" s="28" t="s">
        <v>382</v>
      </c>
      <c r="C38" s="28" t="s">
        <v>37</v>
      </c>
      <c r="D38" s="28" t="s">
        <v>428</v>
      </c>
      <c r="E38" s="28" t="s">
        <v>429</v>
      </c>
      <c r="F38" s="28" t="s">
        <v>398</v>
      </c>
      <c r="G38" s="28" t="s">
        <v>137</v>
      </c>
      <c r="H38" s="29">
        <v>170709</v>
      </c>
      <c r="I38" s="29">
        <v>220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</row>
    <row r="39" spans="1:17" x14ac:dyDescent="0.3">
      <c r="A39" s="28" t="s">
        <v>381</v>
      </c>
      <c r="B39" s="28" t="s">
        <v>382</v>
      </c>
      <c r="C39" s="28" t="s">
        <v>37</v>
      </c>
      <c r="D39" s="28" t="s">
        <v>428</v>
      </c>
      <c r="E39" s="28" t="s">
        <v>429</v>
      </c>
      <c r="F39" s="28" t="s">
        <v>399</v>
      </c>
      <c r="G39" s="28" t="s">
        <v>137</v>
      </c>
      <c r="H39" s="29">
        <v>13604</v>
      </c>
      <c r="I39" s="29">
        <v>33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</row>
    <row r="40" spans="1:17" x14ac:dyDescent="0.3">
      <c r="A40" s="28" t="s">
        <v>381</v>
      </c>
      <c r="B40" s="28" t="s">
        <v>382</v>
      </c>
      <c r="C40" s="28" t="s">
        <v>37</v>
      </c>
      <c r="D40" s="28" t="s">
        <v>428</v>
      </c>
      <c r="E40" s="28" t="s">
        <v>429</v>
      </c>
      <c r="F40" s="28" t="s">
        <v>400</v>
      </c>
      <c r="G40" s="28" t="s">
        <v>137</v>
      </c>
      <c r="H40" s="29">
        <v>144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</row>
    <row r="41" spans="1:17" x14ac:dyDescent="0.3">
      <c r="A41" s="28" t="s">
        <v>381</v>
      </c>
      <c r="B41" s="28" t="s">
        <v>382</v>
      </c>
      <c r="C41" s="28" t="s">
        <v>37</v>
      </c>
      <c r="D41" s="28" t="s">
        <v>430</v>
      </c>
      <c r="E41" s="28" t="s">
        <v>431</v>
      </c>
      <c r="F41" s="28" t="s">
        <v>398</v>
      </c>
      <c r="G41" s="28" t="s">
        <v>137</v>
      </c>
      <c r="H41" s="29">
        <v>166110</v>
      </c>
      <c r="I41" s="29">
        <v>192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</row>
    <row r="42" spans="1:17" x14ac:dyDescent="0.3">
      <c r="A42" s="28" t="s">
        <v>381</v>
      </c>
      <c r="B42" s="28" t="s">
        <v>382</v>
      </c>
      <c r="C42" s="28" t="s">
        <v>37</v>
      </c>
      <c r="D42" s="28" t="s">
        <v>430</v>
      </c>
      <c r="E42" s="28" t="s">
        <v>431</v>
      </c>
      <c r="F42" s="28" t="s">
        <v>399</v>
      </c>
      <c r="G42" s="28" t="s">
        <v>137</v>
      </c>
      <c r="H42" s="29">
        <v>22262</v>
      </c>
      <c r="I42" s="29">
        <v>31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</row>
    <row r="43" spans="1:17" x14ac:dyDescent="0.3">
      <c r="A43" s="28" t="s">
        <v>381</v>
      </c>
      <c r="B43" s="28" t="s">
        <v>382</v>
      </c>
      <c r="C43" s="28" t="s">
        <v>37</v>
      </c>
      <c r="D43" s="28" t="s">
        <v>430</v>
      </c>
      <c r="E43" s="28" t="s">
        <v>431</v>
      </c>
      <c r="F43" s="28" t="s">
        <v>400</v>
      </c>
      <c r="G43" s="28" t="s">
        <v>137</v>
      </c>
      <c r="H43" s="29">
        <v>18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</row>
    <row r="44" spans="1:17" x14ac:dyDescent="0.3">
      <c r="A44" s="28" t="s">
        <v>381</v>
      </c>
      <c r="B44" s="28" t="s">
        <v>382</v>
      </c>
      <c r="C44" s="28" t="s">
        <v>37</v>
      </c>
      <c r="D44" s="28" t="s">
        <v>432</v>
      </c>
      <c r="E44" s="28" t="s">
        <v>433</v>
      </c>
      <c r="F44" s="28" t="s">
        <v>398</v>
      </c>
      <c r="G44" s="28" t="s">
        <v>137</v>
      </c>
      <c r="H44" s="29">
        <v>48292</v>
      </c>
      <c r="I44" s="29">
        <v>54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</row>
    <row r="45" spans="1:17" x14ac:dyDescent="0.3">
      <c r="A45" s="28" t="s">
        <v>381</v>
      </c>
      <c r="B45" s="28" t="s">
        <v>382</v>
      </c>
      <c r="C45" s="28" t="s">
        <v>37</v>
      </c>
      <c r="D45" s="28" t="s">
        <v>432</v>
      </c>
      <c r="E45" s="28" t="s">
        <v>433</v>
      </c>
      <c r="F45" s="28" t="s">
        <v>399</v>
      </c>
      <c r="G45" s="28" t="s">
        <v>137</v>
      </c>
      <c r="H45" s="29">
        <v>5320</v>
      </c>
      <c r="I45" s="29">
        <v>13</v>
      </c>
      <c r="J45" s="29">
        <v>0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29">
        <v>0</v>
      </c>
      <c r="Q45" s="29">
        <v>0</v>
      </c>
    </row>
    <row r="46" spans="1:17" x14ac:dyDescent="0.3">
      <c r="A46" s="28" t="s">
        <v>381</v>
      </c>
      <c r="B46" s="28" t="s">
        <v>382</v>
      </c>
      <c r="C46" s="28" t="s">
        <v>37</v>
      </c>
      <c r="D46" s="28" t="s">
        <v>432</v>
      </c>
      <c r="E46" s="28" t="s">
        <v>433</v>
      </c>
      <c r="F46" s="28" t="s">
        <v>400</v>
      </c>
      <c r="G46" s="28" t="s">
        <v>137</v>
      </c>
      <c r="H46" s="29">
        <v>36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</row>
    <row r="47" spans="1:17" x14ac:dyDescent="0.3">
      <c r="A47" s="28" t="s">
        <v>381</v>
      </c>
      <c r="B47" s="28" t="s">
        <v>382</v>
      </c>
      <c r="C47" s="28" t="s">
        <v>37</v>
      </c>
      <c r="D47" s="28" t="s">
        <v>434</v>
      </c>
      <c r="E47" s="28" t="s">
        <v>435</v>
      </c>
      <c r="F47" s="28" t="s">
        <v>398</v>
      </c>
      <c r="G47" s="28" t="s">
        <v>137</v>
      </c>
      <c r="H47" s="29">
        <v>192002</v>
      </c>
      <c r="I47" s="29">
        <v>132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</row>
    <row r="48" spans="1:17" x14ac:dyDescent="0.3">
      <c r="A48" s="28" t="s">
        <v>381</v>
      </c>
      <c r="B48" s="28" t="s">
        <v>382</v>
      </c>
      <c r="C48" s="28" t="s">
        <v>37</v>
      </c>
      <c r="D48" s="28" t="s">
        <v>434</v>
      </c>
      <c r="E48" s="28" t="s">
        <v>435</v>
      </c>
      <c r="F48" s="28" t="s">
        <v>399</v>
      </c>
      <c r="G48" s="28" t="s">
        <v>137</v>
      </c>
      <c r="H48" s="29">
        <v>13437</v>
      </c>
      <c r="I48" s="29">
        <v>16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</row>
    <row r="49" spans="1:17" x14ac:dyDescent="0.3">
      <c r="A49" s="28" t="s">
        <v>381</v>
      </c>
      <c r="B49" s="28" t="s">
        <v>382</v>
      </c>
      <c r="C49" s="28" t="s">
        <v>38</v>
      </c>
      <c r="D49" s="28" t="s">
        <v>436</v>
      </c>
      <c r="E49" s="28" t="s">
        <v>437</v>
      </c>
      <c r="F49" s="28" t="s">
        <v>438</v>
      </c>
      <c r="G49" s="28" t="s">
        <v>134</v>
      </c>
      <c r="H49" s="29">
        <v>21897</v>
      </c>
      <c r="I49" s="29">
        <v>150</v>
      </c>
      <c r="J49" s="29">
        <v>17</v>
      </c>
      <c r="K49" s="29">
        <v>265</v>
      </c>
      <c r="L49" s="29">
        <v>14865</v>
      </c>
      <c r="M49" s="29">
        <v>5.58</v>
      </c>
      <c r="N49" s="29">
        <v>0</v>
      </c>
      <c r="O49" s="29">
        <v>0</v>
      </c>
      <c r="P49" s="29">
        <v>0</v>
      </c>
      <c r="Q49" s="29">
        <v>0</v>
      </c>
    </row>
    <row r="50" spans="1:17" x14ac:dyDescent="0.3">
      <c r="A50" s="28" t="s">
        <v>381</v>
      </c>
      <c r="B50" s="28" t="s">
        <v>382</v>
      </c>
      <c r="C50" s="28" t="s">
        <v>38</v>
      </c>
      <c r="D50" s="28" t="s">
        <v>439</v>
      </c>
      <c r="E50" s="28" t="s">
        <v>440</v>
      </c>
      <c r="F50" s="28" t="s">
        <v>438</v>
      </c>
      <c r="G50" s="28" t="s">
        <v>134</v>
      </c>
      <c r="H50" s="29">
        <v>52770</v>
      </c>
      <c r="I50" s="29">
        <v>378</v>
      </c>
      <c r="J50" s="29">
        <v>38</v>
      </c>
      <c r="K50" s="29">
        <v>1458</v>
      </c>
      <c r="L50" s="29">
        <v>36465</v>
      </c>
      <c r="M50" s="29">
        <v>6.13</v>
      </c>
      <c r="N50" s="29">
        <v>0</v>
      </c>
      <c r="O50" s="29">
        <v>0</v>
      </c>
      <c r="P50" s="29">
        <v>0</v>
      </c>
      <c r="Q50" s="29">
        <v>0</v>
      </c>
    </row>
    <row r="51" spans="1:17" x14ac:dyDescent="0.3">
      <c r="A51" s="28" t="s">
        <v>381</v>
      </c>
      <c r="B51" s="28" t="s">
        <v>382</v>
      </c>
      <c r="C51" s="28" t="s">
        <v>38</v>
      </c>
      <c r="D51" s="28" t="s">
        <v>441</v>
      </c>
      <c r="E51" s="28" t="s">
        <v>442</v>
      </c>
      <c r="F51" s="28" t="s">
        <v>438</v>
      </c>
      <c r="G51" s="28" t="s">
        <v>134</v>
      </c>
      <c r="H51" s="29">
        <v>15991</v>
      </c>
      <c r="I51" s="29">
        <v>118</v>
      </c>
      <c r="J51" s="29">
        <v>14</v>
      </c>
      <c r="K51" s="29">
        <v>281</v>
      </c>
      <c r="L51" s="29">
        <v>10671</v>
      </c>
      <c r="M51" s="29">
        <v>5.82</v>
      </c>
      <c r="N51" s="29">
        <v>0</v>
      </c>
      <c r="O51" s="29">
        <v>0</v>
      </c>
      <c r="P51" s="29">
        <v>0</v>
      </c>
      <c r="Q51" s="29">
        <v>0</v>
      </c>
    </row>
    <row r="52" spans="1:17" x14ac:dyDescent="0.3">
      <c r="A52" s="28" t="s">
        <v>381</v>
      </c>
      <c r="B52" s="28" t="s">
        <v>382</v>
      </c>
      <c r="C52" s="28" t="s">
        <v>38</v>
      </c>
      <c r="D52" s="28" t="s">
        <v>443</v>
      </c>
      <c r="E52" s="28" t="s">
        <v>444</v>
      </c>
      <c r="F52" s="28" t="s">
        <v>438</v>
      </c>
      <c r="G52" s="28" t="s">
        <v>134</v>
      </c>
      <c r="H52" s="29">
        <v>18494</v>
      </c>
      <c r="I52" s="29">
        <v>70</v>
      </c>
      <c r="J52" s="29">
        <v>14</v>
      </c>
      <c r="K52" s="29">
        <v>870</v>
      </c>
      <c r="L52" s="29">
        <v>14080</v>
      </c>
      <c r="M52" s="29">
        <v>6.23</v>
      </c>
      <c r="N52" s="29">
        <v>0</v>
      </c>
      <c r="O52" s="29">
        <v>0</v>
      </c>
      <c r="P52" s="29">
        <v>0</v>
      </c>
      <c r="Q52" s="29">
        <v>0</v>
      </c>
    </row>
    <row r="53" spans="1:17" x14ac:dyDescent="0.3">
      <c r="A53" s="28" t="s">
        <v>381</v>
      </c>
      <c r="B53" s="28" t="s">
        <v>382</v>
      </c>
      <c r="C53" s="28" t="s">
        <v>38</v>
      </c>
      <c r="D53" s="28" t="s">
        <v>445</v>
      </c>
      <c r="E53" s="28" t="s">
        <v>446</v>
      </c>
      <c r="F53" s="28" t="s">
        <v>438</v>
      </c>
      <c r="G53" s="28" t="s">
        <v>134</v>
      </c>
      <c r="H53" s="29">
        <v>23318</v>
      </c>
      <c r="I53" s="29">
        <v>154</v>
      </c>
      <c r="J53" s="29">
        <v>22</v>
      </c>
      <c r="K53" s="29">
        <v>328</v>
      </c>
      <c r="L53" s="29">
        <v>16470</v>
      </c>
      <c r="M53" s="29">
        <v>5.91</v>
      </c>
      <c r="N53" s="29">
        <v>0</v>
      </c>
      <c r="O53" s="29">
        <v>0</v>
      </c>
      <c r="P53" s="29">
        <v>0</v>
      </c>
      <c r="Q53" s="29">
        <v>0</v>
      </c>
    </row>
    <row r="54" spans="1:17" x14ac:dyDescent="0.3">
      <c r="A54" s="28" t="s">
        <v>381</v>
      </c>
      <c r="B54" s="28" t="s">
        <v>382</v>
      </c>
      <c r="C54" s="28" t="s">
        <v>38</v>
      </c>
      <c r="D54" s="28" t="s">
        <v>447</v>
      </c>
      <c r="E54" s="28" t="s">
        <v>448</v>
      </c>
      <c r="F54" s="28" t="s">
        <v>438</v>
      </c>
      <c r="G54" s="28" t="s">
        <v>134</v>
      </c>
      <c r="H54" s="29">
        <v>24007</v>
      </c>
      <c r="I54" s="29">
        <v>147</v>
      </c>
      <c r="J54" s="29">
        <v>22</v>
      </c>
      <c r="K54" s="29">
        <v>453</v>
      </c>
      <c r="L54" s="29">
        <v>16475</v>
      </c>
      <c r="M54" s="29">
        <v>5.69</v>
      </c>
      <c r="N54" s="29">
        <v>0</v>
      </c>
      <c r="O54" s="29">
        <v>0</v>
      </c>
      <c r="P54" s="29">
        <v>0</v>
      </c>
      <c r="Q54" s="29">
        <v>0</v>
      </c>
    </row>
    <row r="55" spans="1:17" x14ac:dyDescent="0.3">
      <c r="A55" s="28" t="s">
        <v>381</v>
      </c>
      <c r="B55" s="28" t="s">
        <v>382</v>
      </c>
      <c r="C55" s="28" t="s">
        <v>38</v>
      </c>
      <c r="D55" s="28" t="s">
        <v>449</v>
      </c>
      <c r="E55" s="28" t="s">
        <v>450</v>
      </c>
      <c r="F55" s="28" t="s">
        <v>398</v>
      </c>
      <c r="G55" s="28" t="s">
        <v>137</v>
      </c>
      <c r="H55" s="29">
        <v>15498</v>
      </c>
      <c r="I55" s="29">
        <v>15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</row>
    <row r="56" spans="1:17" x14ac:dyDescent="0.3">
      <c r="A56" s="28" t="s">
        <v>381</v>
      </c>
      <c r="B56" s="28" t="s">
        <v>382</v>
      </c>
      <c r="C56" s="28" t="s">
        <v>38</v>
      </c>
      <c r="D56" s="28" t="s">
        <v>449</v>
      </c>
      <c r="E56" s="28" t="s">
        <v>450</v>
      </c>
      <c r="F56" s="28" t="s">
        <v>399</v>
      </c>
      <c r="G56" s="28" t="s">
        <v>137</v>
      </c>
      <c r="H56" s="29">
        <v>729</v>
      </c>
      <c r="I56" s="29">
        <v>1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</row>
    <row r="57" spans="1:17" x14ac:dyDescent="0.3">
      <c r="A57" s="28" t="s">
        <v>381</v>
      </c>
      <c r="B57" s="28" t="s">
        <v>382</v>
      </c>
      <c r="C57" s="28" t="s">
        <v>38</v>
      </c>
      <c r="D57" s="28" t="s">
        <v>449</v>
      </c>
      <c r="E57" s="28" t="s">
        <v>450</v>
      </c>
      <c r="F57" s="28" t="s">
        <v>400</v>
      </c>
      <c r="G57" s="28" t="s">
        <v>137</v>
      </c>
      <c r="H57" s="29">
        <v>7</v>
      </c>
      <c r="I57" s="29">
        <v>0</v>
      </c>
      <c r="J57" s="29">
        <v>0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29">
        <v>0</v>
      </c>
    </row>
    <row r="58" spans="1:17" x14ac:dyDescent="0.3">
      <c r="A58" s="28" t="s">
        <v>381</v>
      </c>
      <c r="B58" s="28" t="s">
        <v>382</v>
      </c>
      <c r="C58" s="28" t="s">
        <v>38</v>
      </c>
      <c r="D58" s="28" t="s">
        <v>451</v>
      </c>
      <c r="E58" s="28" t="s">
        <v>452</v>
      </c>
      <c r="F58" s="28" t="s">
        <v>398</v>
      </c>
      <c r="G58" s="28" t="s">
        <v>137</v>
      </c>
      <c r="H58" s="29">
        <v>67975</v>
      </c>
      <c r="I58" s="29">
        <v>100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</row>
    <row r="59" spans="1:17" x14ac:dyDescent="0.3">
      <c r="A59" s="28" t="s">
        <v>381</v>
      </c>
      <c r="B59" s="28" t="s">
        <v>382</v>
      </c>
      <c r="C59" s="28" t="s">
        <v>38</v>
      </c>
      <c r="D59" s="28" t="s">
        <v>451</v>
      </c>
      <c r="E59" s="28" t="s">
        <v>452</v>
      </c>
      <c r="F59" s="28" t="s">
        <v>399</v>
      </c>
      <c r="G59" s="28" t="s">
        <v>137</v>
      </c>
      <c r="H59" s="29">
        <v>6290</v>
      </c>
      <c r="I59" s="29">
        <v>12</v>
      </c>
      <c r="J59" s="29">
        <v>0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</row>
    <row r="60" spans="1:17" x14ac:dyDescent="0.3">
      <c r="A60" s="28" t="s">
        <v>381</v>
      </c>
      <c r="B60" s="28" t="s">
        <v>382</v>
      </c>
      <c r="C60" s="28" t="s">
        <v>38</v>
      </c>
      <c r="D60" s="28" t="s">
        <v>451</v>
      </c>
      <c r="E60" s="28" t="s">
        <v>452</v>
      </c>
      <c r="F60" s="28" t="s">
        <v>400</v>
      </c>
      <c r="G60" s="28" t="s">
        <v>137</v>
      </c>
      <c r="H60" s="29">
        <v>68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</row>
    <row r="61" spans="1:17" x14ac:dyDescent="0.3">
      <c r="A61" s="28" t="s">
        <v>381</v>
      </c>
      <c r="B61" s="28" t="s">
        <v>382</v>
      </c>
      <c r="C61" s="28" t="s">
        <v>38</v>
      </c>
      <c r="D61" s="28" t="s">
        <v>453</v>
      </c>
      <c r="E61" s="28" t="s">
        <v>454</v>
      </c>
      <c r="F61" s="28" t="s">
        <v>398</v>
      </c>
      <c r="G61" s="28" t="s">
        <v>137</v>
      </c>
      <c r="H61" s="29">
        <v>9917</v>
      </c>
      <c r="I61" s="29">
        <v>13</v>
      </c>
      <c r="J61" s="29">
        <v>0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29">
        <v>0</v>
      </c>
      <c r="Q61" s="29">
        <v>0</v>
      </c>
    </row>
    <row r="62" spans="1:17" x14ac:dyDescent="0.3">
      <c r="A62" s="28" t="s">
        <v>381</v>
      </c>
      <c r="B62" s="28" t="s">
        <v>382</v>
      </c>
      <c r="C62" s="28" t="s">
        <v>38</v>
      </c>
      <c r="D62" s="28" t="s">
        <v>453</v>
      </c>
      <c r="E62" s="28" t="s">
        <v>454</v>
      </c>
      <c r="F62" s="28" t="s">
        <v>399</v>
      </c>
      <c r="G62" s="28" t="s">
        <v>137</v>
      </c>
      <c r="H62" s="29">
        <v>479</v>
      </c>
      <c r="I62" s="29">
        <v>1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</row>
    <row r="63" spans="1:17" x14ac:dyDescent="0.3">
      <c r="A63" s="28" t="s">
        <v>381</v>
      </c>
      <c r="B63" s="28" t="s">
        <v>382</v>
      </c>
      <c r="C63" s="28" t="s">
        <v>38</v>
      </c>
      <c r="D63" s="28" t="s">
        <v>453</v>
      </c>
      <c r="E63" s="28" t="s">
        <v>454</v>
      </c>
      <c r="F63" s="28" t="s">
        <v>400</v>
      </c>
      <c r="G63" s="28" t="s">
        <v>137</v>
      </c>
      <c r="H63" s="29">
        <v>3</v>
      </c>
      <c r="I63" s="29">
        <v>0</v>
      </c>
      <c r="J63" s="29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29">
        <v>0</v>
      </c>
      <c r="Q63" s="29">
        <v>0</v>
      </c>
    </row>
    <row r="64" spans="1:17" x14ac:dyDescent="0.3">
      <c r="A64" s="28" t="s">
        <v>381</v>
      </c>
      <c r="B64" s="28" t="s">
        <v>382</v>
      </c>
      <c r="C64" s="28" t="s">
        <v>38</v>
      </c>
      <c r="D64" s="28" t="s">
        <v>455</v>
      </c>
      <c r="E64" s="28" t="s">
        <v>456</v>
      </c>
      <c r="F64" s="28" t="s">
        <v>398</v>
      </c>
      <c r="G64" s="28" t="s">
        <v>137</v>
      </c>
      <c r="H64" s="29">
        <v>16757</v>
      </c>
      <c r="I64" s="29">
        <v>14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</row>
    <row r="65" spans="1:17" x14ac:dyDescent="0.3">
      <c r="A65" s="28" t="s">
        <v>381</v>
      </c>
      <c r="B65" s="28" t="s">
        <v>382</v>
      </c>
      <c r="C65" s="28" t="s">
        <v>38</v>
      </c>
      <c r="D65" s="28" t="s">
        <v>455</v>
      </c>
      <c r="E65" s="28" t="s">
        <v>456</v>
      </c>
      <c r="F65" s="28" t="s">
        <v>399</v>
      </c>
      <c r="G65" s="28" t="s">
        <v>137</v>
      </c>
      <c r="H65" s="29">
        <v>891</v>
      </c>
      <c r="I65" s="29">
        <v>1</v>
      </c>
      <c r="J65" s="29">
        <v>0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29">
        <v>0</v>
      </c>
      <c r="Q65" s="29">
        <v>0</v>
      </c>
    </row>
    <row r="66" spans="1:17" x14ac:dyDescent="0.3">
      <c r="A66" s="28" t="s">
        <v>381</v>
      </c>
      <c r="B66" s="28" t="s">
        <v>382</v>
      </c>
      <c r="C66" s="28" t="s">
        <v>38</v>
      </c>
      <c r="D66" s="28" t="s">
        <v>455</v>
      </c>
      <c r="E66" s="28" t="s">
        <v>456</v>
      </c>
      <c r="F66" s="28" t="s">
        <v>400</v>
      </c>
      <c r="G66" s="28" t="s">
        <v>137</v>
      </c>
      <c r="H66" s="29">
        <v>3</v>
      </c>
      <c r="I66" s="29">
        <v>0</v>
      </c>
      <c r="J66" s="29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</row>
    <row r="67" spans="1:17" x14ac:dyDescent="0.3">
      <c r="A67" s="28" t="s">
        <v>381</v>
      </c>
      <c r="B67" s="28" t="s">
        <v>382</v>
      </c>
      <c r="C67" s="28" t="s">
        <v>38</v>
      </c>
      <c r="D67" s="28" t="s">
        <v>457</v>
      </c>
      <c r="E67" s="28" t="s">
        <v>458</v>
      </c>
      <c r="F67" s="28" t="s">
        <v>398</v>
      </c>
      <c r="G67" s="28" t="s">
        <v>137</v>
      </c>
      <c r="H67" s="29">
        <v>15901</v>
      </c>
      <c r="I67" s="29">
        <v>12</v>
      </c>
      <c r="J67" s="29">
        <v>0</v>
      </c>
      <c r="K67" s="29">
        <v>0</v>
      </c>
      <c r="L67" s="29">
        <v>0</v>
      </c>
      <c r="M67" s="29">
        <v>0</v>
      </c>
      <c r="N67" s="29">
        <v>0</v>
      </c>
      <c r="O67" s="29">
        <v>0</v>
      </c>
      <c r="P67" s="29">
        <v>0</v>
      </c>
      <c r="Q67" s="29">
        <v>0</v>
      </c>
    </row>
    <row r="68" spans="1:17" x14ac:dyDescent="0.3">
      <c r="A68" s="28" t="s">
        <v>381</v>
      </c>
      <c r="B68" s="28" t="s">
        <v>382</v>
      </c>
      <c r="C68" s="28" t="s">
        <v>38</v>
      </c>
      <c r="D68" s="28" t="s">
        <v>457</v>
      </c>
      <c r="E68" s="28" t="s">
        <v>458</v>
      </c>
      <c r="F68" s="28" t="s">
        <v>399</v>
      </c>
      <c r="G68" s="28" t="s">
        <v>137</v>
      </c>
      <c r="H68" s="29">
        <v>676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</row>
    <row r="69" spans="1:17" x14ac:dyDescent="0.3">
      <c r="A69" s="28" t="s">
        <v>381</v>
      </c>
      <c r="B69" s="28" t="s">
        <v>382</v>
      </c>
      <c r="C69" s="28" t="s">
        <v>38</v>
      </c>
      <c r="D69" s="28" t="s">
        <v>457</v>
      </c>
      <c r="E69" s="28" t="s">
        <v>458</v>
      </c>
      <c r="F69" s="28" t="s">
        <v>400</v>
      </c>
      <c r="G69" s="28" t="s">
        <v>137</v>
      </c>
      <c r="H69" s="29">
        <v>7</v>
      </c>
      <c r="I69" s="29">
        <v>0</v>
      </c>
      <c r="J69" s="29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</row>
    <row r="70" spans="1:17" x14ac:dyDescent="0.3">
      <c r="A70" s="28" t="s">
        <v>381</v>
      </c>
      <c r="B70" s="28" t="s">
        <v>382</v>
      </c>
      <c r="C70" s="28" t="s">
        <v>38</v>
      </c>
      <c r="D70" s="28" t="s">
        <v>459</v>
      </c>
      <c r="E70" s="28" t="s">
        <v>460</v>
      </c>
      <c r="F70" s="28" t="s">
        <v>398</v>
      </c>
      <c r="G70" s="28" t="s">
        <v>137</v>
      </c>
      <c r="H70" s="29">
        <v>15013</v>
      </c>
      <c r="I70" s="29">
        <v>25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</row>
    <row r="71" spans="1:17" x14ac:dyDescent="0.3">
      <c r="A71" s="28" t="s">
        <v>381</v>
      </c>
      <c r="B71" s="28" t="s">
        <v>382</v>
      </c>
      <c r="C71" s="28" t="s">
        <v>38</v>
      </c>
      <c r="D71" s="28" t="s">
        <v>459</v>
      </c>
      <c r="E71" s="28" t="s">
        <v>460</v>
      </c>
      <c r="F71" s="28" t="s">
        <v>399</v>
      </c>
      <c r="G71" s="28" t="s">
        <v>137</v>
      </c>
      <c r="H71" s="29">
        <v>911</v>
      </c>
      <c r="I71" s="29">
        <v>1</v>
      </c>
      <c r="J71" s="29">
        <v>0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</row>
    <row r="72" spans="1:17" x14ac:dyDescent="0.3">
      <c r="A72" s="28" t="s">
        <v>381</v>
      </c>
      <c r="B72" s="28" t="s">
        <v>382</v>
      </c>
      <c r="C72" s="28" t="s">
        <v>38</v>
      </c>
      <c r="D72" s="28" t="s">
        <v>459</v>
      </c>
      <c r="E72" s="28" t="s">
        <v>460</v>
      </c>
      <c r="F72" s="28" t="s">
        <v>400</v>
      </c>
      <c r="G72" s="28" t="s">
        <v>137</v>
      </c>
      <c r="H72" s="29">
        <v>4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</row>
    <row r="73" spans="1:17" x14ac:dyDescent="0.3">
      <c r="A73" s="28" t="s">
        <v>381</v>
      </c>
      <c r="B73" s="28" t="s">
        <v>382</v>
      </c>
      <c r="C73" s="28" t="s">
        <v>39</v>
      </c>
      <c r="D73" s="28" t="s">
        <v>461</v>
      </c>
      <c r="E73" s="28" t="s">
        <v>462</v>
      </c>
      <c r="F73" s="28" t="s">
        <v>463</v>
      </c>
      <c r="G73" s="28" t="s">
        <v>137</v>
      </c>
      <c r="H73" s="29">
        <v>36350</v>
      </c>
      <c r="I73" s="29">
        <v>64</v>
      </c>
      <c r="J73" s="29">
        <v>0</v>
      </c>
      <c r="K73" s="29">
        <v>0</v>
      </c>
      <c r="L73" s="29">
        <v>0</v>
      </c>
      <c r="M73" s="29">
        <v>0</v>
      </c>
      <c r="N73" s="29">
        <v>0</v>
      </c>
      <c r="O73" s="29">
        <v>0</v>
      </c>
      <c r="P73" s="29">
        <v>0</v>
      </c>
      <c r="Q73" s="29">
        <v>0</v>
      </c>
    </row>
    <row r="74" spans="1:17" x14ac:dyDescent="0.3">
      <c r="A74" s="28" t="s">
        <v>381</v>
      </c>
      <c r="B74" s="28" t="s">
        <v>382</v>
      </c>
      <c r="C74" s="28" t="s">
        <v>39</v>
      </c>
      <c r="D74" s="28" t="s">
        <v>464</v>
      </c>
      <c r="E74" s="28" t="s">
        <v>465</v>
      </c>
      <c r="F74" s="28" t="s">
        <v>463</v>
      </c>
      <c r="G74" s="28" t="s">
        <v>137</v>
      </c>
      <c r="H74" s="29">
        <v>13833</v>
      </c>
      <c r="I74" s="29">
        <v>31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</row>
    <row r="75" spans="1:17" x14ac:dyDescent="0.3">
      <c r="A75" s="28" t="s">
        <v>381</v>
      </c>
      <c r="B75" s="28" t="s">
        <v>382</v>
      </c>
      <c r="C75" s="28" t="s">
        <v>39</v>
      </c>
      <c r="D75" s="28" t="s">
        <v>466</v>
      </c>
      <c r="E75" s="28" t="s">
        <v>467</v>
      </c>
      <c r="F75" s="28" t="s">
        <v>468</v>
      </c>
      <c r="G75" s="28" t="s">
        <v>151</v>
      </c>
      <c r="H75" s="29">
        <v>1</v>
      </c>
      <c r="I75" s="29">
        <v>1</v>
      </c>
      <c r="J75" s="29">
        <v>0</v>
      </c>
      <c r="K75" s="29">
        <v>0</v>
      </c>
      <c r="L75" s="29">
        <v>0</v>
      </c>
      <c r="M75" s="29">
        <v>0</v>
      </c>
      <c r="N75" s="29">
        <v>0</v>
      </c>
      <c r="O75" s="29">
        <v>0</v>
      </c>
      <c r="P75" s="29">
        <v>0</v>
      </c>
      <c r="Q75" s="29">
        <v>0</v>
      </c>
    </row>
    <row r="76" spans="1:17" x14ac:dyDescent="0.3">
      <c r="A76" s="28" t="s">
        <v>381</v>
      </c>
      <c r="B76" s="28" t="s">
        <v>382</v>
      </c>
      <c r="C76" s="28" t="s">
        <v>39</v>
      </c>
      <c r="D76" s="28" t="s">
        <v>466</v>
      </c>
      <c r="E76" s="28" t="s">
        <v>467</v>
      </c>
      <c r="F76" s="28" t="s">
        <v>463</v>
      </c>
      <c r="G76" s="28" t="s">
        <v>137</v>
      </c>
      <c r="H76" s="29">
        <v>13366</v>
      </c>
      <c r="I76" s="29">
        <v>31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</row>
    <row r="77" spans="1:17" x14ac:dyDescent="0.3">
      <c r="A77" s="28" t="s">
        <v>381</v>
      </c>
      <c r="B77" s="28" t="s">
        <v>382</v>
      </c>
      <c r="C77" s="28" t="s">
        <v>39</v>
      </c>
      <c r="D77" s="28" t="s">
        <v>469</v>
      </c>
      <c r="E77" s="28" t="s">
        <v>470</v>
      </c>
      <c r="F77" s="28" t="s">
        <v>468</v>
      </c>
      <c r="G77" s="28" t="s">
        <v>151</v>
      </c>
      <c r="H77" s="29">
        <v>27</v>
      </c>
      <c r="I77" s="29">
        <v>0</v>
      </c>
      <c r="J77" s="29">
        <v>0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29">
        <v>0</v>
      </c>
      <c r="Q77" s="29">
        <v>0</v>
      </c>
    </row>
    <row r="78" spans="1:17" x14ac:dyDescent="0.3">
      <c r="A78" s="28" t="s">
        <v>381</v>
      </c>
      <c r="B78" s="28" t="s">
        <v>382</v>
      </c>
      <c r="C78" s="28" t="s">
        <v>39</v>
      </c>
      <c r="D78" s="28" t="s">
        <v>469</v>
      </c>
      <c r="E78" s="28" t="s">
        <v>470</v>
      </c>
      <c r="F78" s="28" t="s">
        <v>463</v>
      </c>
      <c r="G78" s="28" t="s">
        <v>137</v>
      </c>
      <c r="H78" s="29">
        <v>42009</v>
      </c>
      <c r="I78" s="29">
        <v>60</v>
      </c>
      <c r="J78" s="29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</row>
    <row r="79" spans="1:17" x14ac:dyDescent="0.3">
      <c r="A79" s="28" t="s">
        <v>381</v>
      </c>
      <c r="B79" s="28" t="s">
        <v>382</v>
      </c>
      <c r="C79" s="28" t="s">
        <v>39</v>
      </c>
      <c r="D79" s="28" t="s">
        <v>471</v>
      </c>
      <c r="E79" s="28" t="s">
        <v>472</v>
      </c>
      <c r="F79" s="28" t="s">
        <v>473</v>
      </c>
      <c r="G79" s="28" t="s">
        <v>151</v>
      </c>
      <c r="H79" s="29">
        <v>39204</v>
      </c>
      <c r="I79" s="29">
        <v>86</v>
      </c>
      <c r="J79" s="29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</row>
    <row r="80" spans="1:17" x14ac:dyDescent="0.3">
      <c r="A80" s="28" t="s">
        <v>381</v>
      </c>
      <c r="B80" s="28" t="s">
        <v>382</v>
      </c>
      <c r="C80" s="28" t="s">
        <v>39</v>
      </c>
      <c r="D80" s="28" t="s">
        <v>474</v>
      </c>
      <c r="E80" s="28" t="s">
        <v>475</v>
      </c>
      <c r="F80" s="28" t="s">
        <v>473</v>
      </c>
      <c r="G80" s="28" t="s">
        <v>151</v>
      </c>
      <c r="H80" s="29">
        <v>23</v>
      </c>
      <c r="I80" s="29">
        <v>0</v>
      </c>
      <c r="J80" s="29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</row>
    <row r="81" spans="1:17" x14ac:dyDescent="0.3">
      <c r="A81" s="28" t="s">
        <v>381</v>
      </c>
      <c r="B81" s="28" t="s">
        <v>382</v>
      </c>
      <c r="C81" s="28" t="s">
        <v>39</v>
      </c>
      <c r="D81" s="28" t="s">
        <v>474</v>
      </c>
      <c r="E81" s="28" t="s">
        <v>475</v>
      </c>
      <c r="F81" s="28" t="s">
        <v>476</v>
      </c>
      <c r="G81" s="28" t="s">
        <v>137</v>
      </c>
      <c r="H81" s="29">
        <v>20886</v>
      </c>
      <c r="I81" s="29">
        <v>35</v>
      </c>
      <c r="J81" s="29">
        <v>0</v>
      </c>
      <c r="K81" s="29">
        <v>0</v>
      </c>
      <c r="L81" s="29">
        <v>0</v>
      </c>
      <c r="M81" s="29">
        <v>0</v>
      </c>
      <c r="N81" s="29">
        <v>0</v>
      </c>
      <c r="O81" s="29">
        <v>0</v>
      </c>
      <c r="P81" s="29">
        <v>0</v>
      </c>
      <c r="Q81" s="29">
        <v>0</v>
      </c>
    </row>
    <row r="82" spans="1:17" x14ac:dyDescent="0.3">
      <c r="A82" s="28" t="s">
        <v>381</v>
      </c>
      <c r="B82" s="28" t="s">
        <v>382</v>
      </c>
      <c r="C82" s="28" t="s">
        <v>39</v>
      </c>
      <c r="D82" s="28" t="s">
        <v>474</v>
      </c>
      <c r="E82" s="28" t="s">
        <v>477</v>
      </c>
      <c r="F82" s="28" t="s">
        <v>473</v>
      </c>
      <c r="G82" s="28" t="s">
        <v>151</v>
      </c>
      <c r="H82" s="29">
        <v>25</v>
      </c>
      <c r="I82" s="29">
        <v>1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</row>
    <row r="83" spans="1:17" x14ac:dyDescent="0.3">
      <c r="A83" s="28" t="s">
        <v>381</v>
      </c>
      <c r="B83" s="28" t="s">
        <v>382</v>
      </c>
      <c r="C83" s="28" t="s">
        <v>39</v>
      </c>
      <c r="D83" s="28" t="s">
        <v>474</v>
      </c>
      <c r="E83" s="28" t="s">
        <v>477</v>
      </c>
      <c r="F83" s="28" t="s">
        <v>476</v>
      </c>
      <c r="G83" s="28" t="s">
        <v>137</v>
      </c>
      <c r="H83" s="29">
        <v>20792</v>
      </c>
      <c r="I83" s="29">
        <v>37</v>
      </c>
      <c r="J83" s="29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29">
        <v>0</v>
      </c>
      <c r="Q83" s="29">
        <v>0</v>
      </c>
    </row>
    <row r="84" spans="1:17" x14ac:dyDescent="0.3">
      <c r="A84" s="28" t="s">
        <v>381</v>
      </c>
      <c r="B84" s="28" t="s">
        <v>382</v>
      </c>
      <c r="C84" s="28" t="s">
        <v>39</v>
      </c>
      <c r="D84" s="28" t="s">
        <v>478</v>
      </c>
      <c r="E84" s="28" t="s">
        <v>479</v>
      </c>
      <c r="F84" s="28" t="s">
        <v>473</v>
      </c>
      <c r="G84" s="28" t="s">
        <v>151</v>
      </c>
      <c r="H84" s="29">
        <v>1</v>
      </c>
      <c r="I84" s="29">
        <v>1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</row>
    <row r="85" spans="1:17" x14ac:dyDescent="0.3">
      <c r="A85" s="28" t="s">
        <v>381</v>
      </c>
      <c r="B85" s="28" t="s">
        <v>382</v>
      </c>
      <c r="C85" s="28" t="s">
        <v>39</v>
      </c>
      <c r="D85" s="28" t="s">
        <v>478</v>
      </c>
      <c r="E85" s="28" t="s">
        <v>479</v>
      </c>
      <c r="F85" s="28" t="s">
        <v>476</v>
      </c>
      <c r="G85" s="28" t="s">
        <v>137</v>
      </c>
      <c r="H85" s="29">
        <v>12681</v>
      </c>
      <c r="I85" s="29">
        <v>42</v>
      </c>
      <c r="J85" s="29">
        <v>0</v>
      </c>
      <c r="K85" s="29">
        <v>0</v>
      </c>
      <c r="L85" s="29">
        <v>0</v>
      </c>
      <c r="M85" s="29">
        <v>0</v>
      </c>
      <c r="N85" s="29">
        <v>0</v>
      </c>
      <c r="O85" s="29">
        <v>0</v>
      </c>
      <c r="P85" s="29">
        <v>0</v>
      </c>
      <c r="Q85" s="29">
        <v>0</v>
      </c>
    </row>
    <row r="86" spans="1:17" x14ac:dyDescent="0.3">
      <c r="A86" s="28" t="s">
        <v>381</v>
      </c>
      <c r="B86" s="28" t="s">
        <v>382</v>
      </c>
      <c r="C86" s="28" t="s">
        <v>39</v>
      </c>
      <c r="D86" s="28" t="s">
        <v>480</v>
      </c>
      <c r="E86" s="28" t="s">
        <v>481</v>
      </c>
      <c r="F86" s="28" t="s">
        <v>476</v>
      </c>
      <c r="G86" s="28" t="s">
        <v>137</v>
      </c>
      <c r="H86" s="29">
        <v>11967</v>
      </c>
      <c r="I86" s="29">
        <v>42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</row>
    <row r="87" spans="1:17" x14ac:dyDescent="0.3">
      <c r="A87" s="28" t="s">
        <v>381</v>
      </c>
      <c r="B87" s="28" t="s">
        <v>382</v>
      </c>
      <c r="C87" s="28" t="s">
        <v>39</v>
      </c>
      <c r="D87" s="28" t="s">
        <v>482</v>
      </c>
      <c r="E87" s="28" t="s">
        <v>483</v>
      </c>
      <c r="F87" s="28" t="s">
        <v>473</v>
      </c>
      <c r="G87" s="28" t="s">
        <v>151</v>
      </c>
      <c r="H87" s="29">
        <v>14</v>
      </c>
      <c r="I87" s="29">
        <v>0</v>
      </c>
      <c r="J87" s="29">
        <v>0</v>
      </c>
      <c r="K87" s="29">
        <v>0</v>
      </c>
      <c r="L87" s="29">
        <v>0</v>
      </c>
      <c r="M87" s="29">
        <v>0</v>
      </c>
      <c r="N87" s="29">
        <v>0</v>
      </c>
      <c r="O87" s="29">
        <v>0</v>
      </c>
      <c r="P87" s="29">
        <v>0</v>
      </c>
      <c r="Q87" s="29">
        <v>0</v>
      </c>
    </row>
    <row r="88" spans="1:17" x14ac:dyDescent="0.3">
      <c r="A88" s="28" t="s">
        <v>381</v>
      </c>
      <c r="B88" s="28" t="s">
        <v>382</v>
      </c>
      <c r="C88" s="28" t="s">
        <v>39</v>
      </c>
      <c r="D88" s="28" t="s">
        <v>482</v>
      </c>
      <c r="E88" s="28" t="s">
        <v>483</v>
      </c>
      <c r="F88" s="28" t="s">
        <v>476</v>
      </c>
      <c r="G88" s="28" t="s">
        <v>137</v>
      </c>
      <c r="H88" s="29">
        <v>12057</v>
      </c>
      <c r="I88" s="29">
        <v>56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</row>
    <row r="89" spans="1:17" x14ac:dyDescent="0.3">
      <c r="A89" s="28" t="s">
        <v>381</v>
      </c>
      <c r="B89" s="28" t="s">
        <v>382</v>
      </c>
      <c r="C89" s="28" t="s">
        <v>39</v>
      </c>
      <c r="D89" s="28" t="s">
        <v>484</v>
      </c>
      <c r="E89" s="28" t="s">
        <v>472</v>
      </c>
      <c r="F89" s="28" t="s">
        <v>473</v>
      </c>
      <c r="G89" s="28" t="s">
        <v>151</v>
      </c>
      <c r="H89" s="29">
        <v>1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</row>
    <row r="90" spans="1:17" x14ac:dyDescent="0.3">
      <c r="A90" s="28" t="s">
        <v>381</v>
      </c>
      <c r="B90" s="28" t="s">
        <v>382</v>
      </c>
      <c r="C90" s="28" t="s">
        <v>39</v>
      </c>
      <c r="D90" s="28" t="s">
        <v>484</v>
      </c>
      <c r="E90" s="28" t="s">
        <v>485</v>
      </c>
      <c r="F90" s="28" t="s">
        <v>473</v>
      </c>
      <c r="G90" s="28" t="s">
        <v>151</v>
      </c>
      <c r="H90" s="29">
        <v>13</v>
      </c>
      <c r="I90" s="29">
        <v>1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</row>
    <row r="91" spans="1:17" x14ac:dyDescent="0.3">
      <c r="A91" s="28" t="s">
        <v>381</v>
      </c>
      <c r="B91" s="28" t="s">
        <v>382</v>
      </c>
      <c r="C91" s="28" t="s">
        <v>39</v>
      </c>
      <c r="D91" s="28" t="s">
        <v>484</v>
      </c>
      <c r="E91" s="28" t="s">
        <v>485</v>
      </c>
      <c r="F91" s="28" t="s">
        <v>476</v>
      </c>
      <c r="G91" s="28" t="s">
        <v>137</v>
      </c>
      <c r="H91" s="29">
        <v>48896</v>
      </c>
      <c r="I91" s="29">
        <v>101</v>
      </c>
      <c r="J91" s="29">
        <v>0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  <c r="P91" s="29">
        <v>0</v>
      </c>
      <c r="Q91" s="29">
        <v>0</v>
      </c>
    </row>
    <row r="92" spans="1:17" x14ac:dyDescent="0.3">
      <c r="A92" s="28" t="s">
        <v>381</v>
      </c>
      <c r="B92" s="28" t="s">
        <v>382</v>
      </c>
      <c r="C92" s="28" t="s">
        <v>39</v>
      </c>
      <c r="D92" s="28" t="s">
        <v>486</v>
      </c>
      <c r="E92" s="28" t="s">
        <v>487</v>
      </c>
      <c r="F92" s="28" t="s">
        <v>413</v>
      </c>
      <c r="G92" s="28" t="s">
        <v>151</v>
      </c>
      <c r="H92" s="29">
        <v>20547</v>
      </c>
      <c r="I92" s="29">
        <v>38</v>
      </c>
      <c r="J92" s="29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</row>
    <row r="93" spans="1:17" x14ac:dyDescent="0.3">
      <c r="A93" s="28" t="s">
        <v>381</v>
      </c>
      <c r="B93" s="28" t="s">
        <v>382</v>
      </c>
      <c r="C93" s="28" t="s">
        <v>39</v>
      </c>
      <c r="D93" s="28" t="s">
        <v>488</v>
      </c>
      <c r="E93" s="28" t="s">
        <v>489</v>
      </c>
      <c r="F93" s="28" t="s">
        <v>413</v>
      </c>
      <c r="G93" s="28" t="s">
        <v>151</v>
      </c>
      <c r="H93" s="29">
        <v>45037</v>
      </c>
      <c r="I93" s="29">
        <v>58</v>
      </c>
      <c r="J93" s="29">
        <v>0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  <c r="P93" s="29">
        <v>0</v>
      </c>
      <c r="Q93" s="29">
        <v>0</v>
      </c>
    </row>
    <row r="94" spans="1:17" x14ac:dyDescent="0.3">
      <c r="A94" s="28" t="s">
        <v>381</v>
      </c>
      <c r="B94" s="28" t="s">
        <v>382</v>
      </c>
      <c r="C94" s="28" t="s">
        <v>39</v>
      </c>
      <c r="D94" s="28" t="s">
        <v>490</v>
      </c>
      <c r="E94" s="28" t="s">
        <v>491</v>
      </c>
      <c r="F94" s="28" t="s">
        <v>413</v>
      </c>
      <c r="G94" s="28" t="s">
        <v>151</v>
      </c>
      <c r="H94" s="29">
        <v>14175</v>
      </c>
      <c r="I94" s="29">
        <v>37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</row>
    <row r="95" spans="1:17" x14ac:dyDescent="0.3">
      <c r="A95" s="28" t="s">
        <v>381</v>
      </c>
      <c r="B95" s="28" t="s">
        <v>382</v>
      </c>
      <c r="C95" s="28" t="s">
        <v>39</v>
      </c>
      <c r="D95" s="28" t="s">
        <v>492</v>
      </c>
      <c r="E95" s="28" t="s">
        <v>493</v>
      </c>
      <c r="F95" s="28" t="s">
        <v>413</v>
      </c>
      <c r="G95" s="28" t="s">
        <v>151</v>
      </c>
      <c r="H95" s="29">
        <v>13497</v>
      </c>
      <c r="I95" s="29">
        <v>37</v>
      </c>
      <c r="J95" s="29">
        <v>0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29">
        <v>0</v>
      </c>
      <c r="Q95" s="29">
        <v>0</v>
      </c>
    </row>
    <row r="96" spans="1:17" x14ac:dyDescent="0.3">
      <c r="A96" s="28" t="s">
        <v>381</v>
      </c>
      <c r="B96" s="28" t="s">
        <v>382</v>
      </c>
      <c r="C96" s="28" t="s">
        <v>39</v>
      </c>
      <c r="D96" s="28" t="s">
        <v>494</v>
      </c>
      <c r="E96" s="28" t="s">
        <v>495</v>
      </c>
      <c r="F96" s="28" t="s">
        <v>413</v>
      </c>
      <c r="G96" s="28" t="s">
        <v>151</v>
      </c>
      <c r="H96" s="29">
        <v>46329</v>
      </c>
      <c r="I96" s="29">
        <v>50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</row>
    <row r="97" spans="1:17" x14ac:dyDescent="0.3">
      <c r="A97" s="28" t="s">
        <v>381</v>
      </c>
      <c r="B97" s="28" t="s">
        <v>382</v>
      </c>
      <c r="C97" s="28" t="s">
        <v>39</v>
      </c>
      <c r="D97" s="28" t="s">
        <v>496</v>
      </c>
      <c r="E97" s="28" t="s">
        <v>497</v>
      </c>
      <c r="F97" s="28" t="s">
        <v>498</v>
      </c>
      <c r="G97" s="28" t="s">
        <v>151</v>
      </c>
      <c r="H97" s="29">
        <v>29480</v>
      </c>
      <c r="I97" s="29">
        <v>43</v>
      </c>
      <c r="J97" s="29">
        <v>0</v>
      </c>
      <c r="K97" s="29">
        <v>0</v>
      </c>
      <c r="L97" s="29">
        <v>0</v>
      </c>
      <c r="M97" s="29">
        <v>0</v>
      </c>
      <c r="N97" s="29">
        <v>0</v>
      </c>
      <c r="O97" s="29">
        <v>0</v>
      </c>
      <c r="P97" s="29">
        <v>0</v>
      </c>
      <c r="Q97" s="29">
        <v>0</v>
      </c>
    </row>
    <row r="98" spans="1:17" x14ac:dyDescent="0.3">
      <c r="A98" s="28" t="s">
        <v>381</v>
      </c>
      <c r="B98" s="28" t="s">
        <v>382</v>
      </c>
      <c r="C98" s="28" t="s">
        <v>39</v>
      </c>
      <c r="D98" s="28" t="s">
        <v>499</v>
      </c>
      <c r="E98" s="28" t="s">
        <v>500</v>
      </c>
      <c r="F98" s="28" t="s">
        <v>498</v>
      </c>
      <c r="G98" s="28" t="s">
        <v>151</v>
      </c>
      <c r="H98" s="29">
        <v>42806</v>
      </c>
      <c r="I98" s="29">
        <v>71</v>
      </c>
      <c r="J98" s="29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</row>
    <row r="99" spans="1:17" x14ac:dyDescent="0.3">
      <c r="A99" s="28" t="s">
        <v>381</v>
      </c>
      <c r="B99" s="28" t="s">
        <v>382</v>
      </c>
      <c r="C99" s="28" t="s">
        <v>39</v>
      </c>
      <c r="D99" s="28" t="s">
        <v>501</v>
      </c>
      <c r="E99" s="28" t="s">
        <v>502</v>
      </c>
      <c r="F99" s="28" t="s">
        <v>498</v>
      </c>
      <c r="G99" s="28" t="s">
        <v>151</v>
      </c>
      <c r="H99" s="29">
        <v>25561</v>
      </c>
      <c r="I99" s="29">
        <v>53</v>
      </c>
      <c r="J99" s="29">
        <v>0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</row>
    <row r="100" spans="1:17" x14ac:dyDescent="0.3">
      <c r="A100" s="28" t="s">
        <v>381</v>
      </c>
      <c r="B100" s="28" t="s">
        <v>382</v>
      </c>
      <c r="C100" s="28" t="s">
        <v>39</v>
      </c>
      <c r="D100" s="28" t="s">
        <v>503</v>
      </c>
      <c r="E100" s="28" t="s">
        <v>504</v>
      </c>
      <c r="F100" s="28" t="s">
        <v>498</v>
      </c>
      <c r="G100" s="28" t="s">
        <v>151</v>
      </c>
      <c r="H100" s="29">
        <v>21650</v>
      </c>
      <c r="I100" s="29">
        <v>51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</row>
    <row r="101" spans="1:17" x14ac:dyDescent="0.3">
      <c r="A101" s="28" t="s">
        <v>381</v>
      </c>
      <c r="B101" s="28" t="s">
        <v>382</v>
      </c>
      <c r="C101" s="28" t="s">
        <v>39</v>
      </c>
      <c r="D101" s="28" t="s">
        <v>505</v>
      </c>
      <c r="E101" s="28" t="s">
        <v>506</v>
      </c>
      <c r="F101" s="28" t="s">
        <v>498</v>
      </c>
      <c r="G101" s="28" t="s">
        <v>151</v>
      </c>
      <c r="H101" s="29">
        <v>13280</v>
      </c>
      <c r="I101" s="29">
        <v>53</v>
      </c>
      <c r="J101" s="29">
        <v>0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  <c r="P101" s="29">
        <v>0</v>
      </c>
      <c r="Q101" s="29">
        <v>0</v>
      </c>
    </row>
    <row r="102" spans="1:17" x14ac:dyDescent="0.3">
      <c r="A102" s="28" t="s">
        <v>381</v>
      </c>
      <c r="B102" s="28" t="s">
        <v>382</v>
      </c>
      <c r="C102" s="28" t="s">
        <v>39</v>
      </c>
      <c r="D102" s="28" t="s">
        <v>507</v>
      </c>
      <c r="E102" s="28" t="s">
        <v>508</v>
      </c>
      <c r="F102" s="28" t="s">
        <v>498</v>
      </c>
      <c r="G102" s="28" t="s">
        <v>151</v>
      </c>
      <c r="H102" s="29">
        <v>39551</v>
      </c>
      <c r="I102" s="29">
        <v>65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</row>
    <row r="103" spans="1:17" x14ac:dyDescent="0.3">
      <c r="A103" s="28" t="s">
        <v>381</v>
      </c>
      <c r="B103" s="28" t="s">
        <v>382</v>
      </c>
      <c r="C103" s="28" t="s">
        <v>39</v>
      </c>
      <c r="D103" s="28" t="s">
        <v>509</v>
      </c>
      <c r="E103" s="28" t="s">
        <v>510</v>
      </c>
      <c r="F103" s="28" t="s">
        <v>398</v>
      </c>
      <c r="G103" s="28" t="s">
        <v>137</v>
      </c>
      <c r="H103" s="29">
        <v>16576</v>
      </c>
      <c r="I103" s="29">
        <v>29</v>
      </c>
      <c r="J103" s="29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29">
        <v>0</v>
      </c>
      <c r="Q103" s="29">
        <v>0</v>
      </c>
    </row>
    <row r="104" spans="1:17" x14ac:dyDescent="0.3">
      <c r="A104" s="28" t="s">
        <v>381</v>
      </c>
      <c r="B104" s="28" t="s">
        <v>382</v>
      </c>
      <c r="C104" s="28" t="s">
        <v>39</v>
      </c>
      <c r="D104" s="28" t="s">
        <v>509</v>
      </c>
      <c r="E104" s="28" t="s">
        <v>510</v>
      </c>
      <c r="F104" s="28" t="s">
        <v>399</v>
      </c>
      <c r="G104" s="28" t="s">
        <v>137</v>
      </c>
      <c r="H104" s="29">
        <v>2480</v>
      </c>
      <c r="I104" s="29">
        <v>4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</row>
    <row r="105" spans="1:17" x14ac:dyDescent="0.3">
      <c r="A105" s="28" t="s">
        <v>381</v>
      </c>
      <c r="B105" s="28" t="s">
        <v>382</v>
      </c>
      <c r="C105" s="28" t="s">
        <v>39</v>
      </c>
      <c r="D105" s="28" t="s">
        <v>509</v>
      </c>
      <c r="E105" s="28" t="s">
        <v>510</v>
      </c>
      <c r="F105" s="28" t="s">
        <v>400</v>
      </c>
      <c r="G105" s="28" t="s">
        <v>137</v>
      </c>
      <c r="H105" s="29">
        <v>1</v>
      </c>
      <c r="I105" s="29">
        <v>1</v>
      </c>
      <c r="J105" s="29">
        <v>0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  <c r="P105" s="29">
        <v>0</v>
      </c>
      <c r="Q105" s="29">
        <v>0</v>
      </c>
    </row>
    <row r="106" spans="1:17" x14ac:dyDescent="0.3">
      <c r="A106" s="28" t="s">
        <v>381</v>
      </c>
      <c r="B106" s="28" t="s">
        <v>382</v>
      </c>
      <c r="C106" s="28" t="s">
        <v>39</v>
      </c>
      <c r="D106" s="28" t="s">
        <v>511</v>
      </c>
      <c r="E106" s="28" t="s">
        <v>512</v>
      </c>
      <c r="F106" s="28" t="s">
        <v>513</v>
      </c>
      <c r="G106" s="28" t="s">
        <v>151</v>
      </c>
      <c r="H106" s="29">
        <v>117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</row>
    <row r="107" spans="1:17" x14ac:dyDescent="0.3">
      <c r="A107" s="28" t="s">
        <v>381</v>
      </c>
      <c r="B107" s="28" t="s">
        <v>382</v>
      </c>
      <c r="C107" s="28" t="s">
        <v>39</v>
      </c>
      <c r="D107" s="28" t="s">
        <v>511</v>
      </c>
      <c r="E107" s="28" t="s">
        <v>514</v>
      </c>
      <c r="F107" s="28" t="s">
        <v>398</v>
      </c>
      <c r="G107" s="28" t="s">
        <v>137</v>
      </c>
      <c r="H107" s="29">
        <v>64922</v>
      </c>
      <c r="I107" s="29">
        <v>59</v>
      </c>
      <c r="J107" s="29">
        <v>0</v>
      </c>
      <c r="K107" s="29">
        <v>0</v>
      </c>
      <c r="L107" s="29">
        <v>0</v>
      </c>
      <c r="M107" s="29">
        <v>0</v>
      </c>
      <c r="N107" s="29">
        <v>0</v>
      </c>
      <c r="O107" s="29">
        <v>0</v>
      </c>
      <c r="P107" s="29">
        <v>0</v>
      </c>
      <c r="Q107" s="29">
        <v>0</v>
      </c>
    </row>
    <row r="108" spans="1:17" x14ac:dyDescent="0.3">
      <c r="A108" s="28" t="s">
        <v>381</v>
      </c>
      <c r="B108" s="28" t="s">
        <v>382</v>
      </c>
      <c r="C108" s="28" t="s">
        <v>39</v>
      </c>
      <c r="D108" s="28" t="s">
        <v>511</v>
      </c>
      <c r="E108" s="28" t="s">
        <v>514</v>
      </c>
      <c r="F108" s="28" t="s">
        <v>399</v>
      </c>
      <c r="G108" s="28" t="s">
        <v>137</v>
      </c>
      <c r="H108" s="29">
        <v>10982</v>
      </c>
      <c r="I108" s="29">
        <v>1</v>
      </c>
      <c r="J108" s="29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</row>
    <row r="109" spans="1:17" x14ac:dyDescent="0.3">
      <c r="A109" s="28" t="s">
        <v>381</v>
      </c>
      <c r="B109" s="28" t="s">
        <v>382</v>
      </c>
      <c r="C109" s="28" t="s">
        <v>39</v>
      </c>
      <c r="D109" s="28" t="s">
        <v>511</v>
      </c>
      <c r="E109" s="28" t="s">
        <v>514</v>
      </c>
      <c r="F109" s="28" t="s">
        <v>400</v>
      </c>
      <c r="G109" s="28" t="s">
        <v>137</v>
      </c>
      <c r="H109" s="29">
        <v>278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</row>
    <row r="110" spans="1:17" x14ac:dyDescent="0.3">
      <c r="A110" s="28" t="s">
        <v>381</v>
      </c>
      <c r="B110" s="28" t="s">
        <v>382</v>
      </c>
      <c r="C110" s="28" t="s">
        <v>39</v>
      </c>
      <c r="D110" s="28" t="s">
        <v>515</v>
      </c>
      <c r="E110" s="28" t="s">
        <v>512</v>
      </c>
      <c r="F110" s="28" t="s">
        <v>513</v>
      </c>
      <c r="G110" s="28" t="s">
        <v>151</v>
      </c>
      <c r="H110" s="29">
        <v>23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</row>
    <row r="111" spans="1:17" x14ac:dyDescent="0.3">
      <c r="A111" s="28" t="s">
        <v>381</v>
      </c>
      <c r="B111" s="28" t="s">
        <v>382</v>
      </c>
      <c r="C111" s="28" t="s">
        <v>39</v>
      </c>
      <c r="D111" s="28" t="s">
        <v>515</v>
      </c>
      <c r="E111" s="28" t="s">
        <v>516</v>
      </c>
      <c r="F111" s="28" t="s">
        <v>398</v>
      </c>
      <c r="G111" s="28" t="s">
        <v>137</v>
      </c>
      <c r="H111" s="29">
        <v>12216</v>
      </c>
      <c r="I111" s="29">
        <v>46</v>
      </c>
      <c r="J111" s="29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</row>
    <row r="112" spans="1:17" x14ac:dyDescent="0.3">
      <c r="A112" s="28" t="s">
        <v>381</v>
      </c>
      <c r="B112" s="28" t="s">
        <v>382</v>
      </c>
      <c r="C112" s="28" t="s">
        <v>39</v>
      </c>
      <c r="D112" s="28" t="s">
        <v>515</v>
      </c>
      <c r="E112" s="28" t="s">
        <v>516</v>
      </c>
      <c r="F112" s="28" t="s">
        <v>399</v>
      </c>
      <c r="G112" s="28" t="s">
        <v>137</v>
      </c>
      <c r="H112" s="29">
        <v>1603</v>
      </c>
      <c r="I112" s="29">
        <v>6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</row>
    <row r="113" spans="1:17" x14ac:dyDescent="0.3">
      <c r="A113" s="28" t="s">
        <v>381</v>
      </c>
      <c r="B113" s="28" t="s">
        <v>382</v>
      </c>
      <c r="C113" s="28" t="s">
        <v>39</v>
      </c>
      <c r="D113" s="28" t="s">
        <v>515</v>
      </c>
      <c r="E113" s="28" t="s">
        <v>516</v>
      </c>
      <c r="F113" s="28" t="s">
        <v>400</v>
      </c>
      <c r="G113" s="28" t="s">
        <v>137</v>
      </c>
      <c r="H113" s="29">
        <v>4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29">
        <v>0</v>
      </c>
    </row>
    <row r="114" spans="1:17" x14ac:dyDescent="0.3">
      <c r="A114" s="28" t="s">
        <v>381</v>
      </c>
      <c r="B114" s="28" t="s">
        <v>382</v>
      </c>
      <c r="C114" s="28" t="s">
        <v>39</v>
      </c>
      <c r="D114" s="28" t="s">
        <v>517</v>
      </c>
      <c r="E114" s="28" t="s">
        <v>512</v>
      </c>
      <c r="F114" s="28" t="s">
        <v>513</v>
      </c>
      <c r="G114" s="28" t="s">
        <v>151</v>
      </c>
      <c r="H114" s="29">
        <v>10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</row>
    <row r="115" spans="1:17" x14ac:dyDescent="0.3">
      <c r="A115" s="28" t="s">
        <v>381</v>
      </c>
      <c r="B115" s="28" t="s">
        <v>382</v>
      </c>
      <c r="C115" s="28" t="s">
        <v>39</v>
      </c>
      <c r="D115" s="28" t="s">
        <v>517</v>
      </c>
      <c r="E115" s="28" t="s">
        <v>518</v>
      </c>
      <c r="F115" s="28" t="s">
        <v>398</v>
      </c>
      <c r="G115" s="28" t="s">
        <v>137</v>
      </c>
      <c r="H115" s="29">
        <v>12745</v>
      </c>
      <c r="I115" s="29">
        <v>30</v>
      </c>
      <c r="J115" s="29">
        <v>0</v>
      </c>
      <c r="K115" s="29">
        <v>0</v>
      </c>
      <c r="L115" s="29">
        <v>0</v>
      </c>
      <c r="M115" s="29">
        <v>0</v>
      </c>
      <c r="N115" s="29">
        <v>0</v>
      </c>
      <c r="O115" s="29">
        <v>0</v>
      </c>
      <c r="P115" s="29">
        <v>0</v>
      </c>
      <c r="Q115" s="29">
        <v>0</v>
      </c>
    </row>
    <row r="116" spans="1:17" x14ac:dyDescent="0.3">
      <c r="A116" s="28" t="s">
        <v>381</v>
      </c>
      <c r="B116" s="28" t="s">
        <v>382</v>
      </c>
      <c r="C116" s="28" t="s">
        <v>39</v>
      </c>
      <c r="D116" s="28" t="s">
        <v>517</v>
      </c>
      <c r="E116" s="28" t="s">
        <v>518</v>
      </c>
      <c r="F116" s="28" t="s">
        <v>399</v>
      </c>
      <c r="G116" s="28" t="s">
        <v>137</v>
      </c>
      <c r="H116" s="29">
        <v>2052</v>
      </c>
      <c r="I116" s="29">
        <v>4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</row>
    <row r="117" spans="1:17" x14ac:dyDescent="0.3">
      <c r="A117" s="28" t="s">
        <v>381</v>
      </c>
      <c r="B117" s="28" t="s">
        <v>382</v>
      </c>
      <c r="C117" s="28" t="s">
        <v>39</v>
      </c>
      <c r="D117" s="28" t="s">
        <v>517</v>
      </c>
      <c r="E117" s="28" t="s">
        <v>518</v>
      </c>
      <c r="F117" s="28" t="s">
        <v>400</v>
      </c>
      <c r="G117" s="28" t="s">
        <v>137</v>
      </c>
      <c r="H117" s="29">
        <v>40</v>
      </c>
      <c r="I117" s="29">
        <v>1</v>
      </c>
      <c r="J117" s="29">
        <v>0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  <c r="P117" s="29">
        <v>0</v>
      </c>
      <c r="Q117" s="29">
        <v>0</v>
      </c>
    </row>
    <row r="118" spans="1:17" x14ac:dyDescent="0.3">
      <c r="A118" s="28" t="s">
        <v>381</v>
      </c>
      <c r="B118" s="28" t="s">
        <v>382</v>
      </c>
      <c r="C118" s="28" t="s">
        <v>39</v>
      </c>
      <c r="D118" s="28" t="s">
        <v>519</v>
      </c>
      <c r="E118" s="28" t="s">
        <v>512</v>
      </c>
      <c r="F118" s="28" t="s">
        <v>513</v>
      </c>
      <c r="G118" s="28" t="s">
        <v>151</v>
      </c>
      <c r="H118" s="29">
        <v>12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</row>
    <row r="119" spans="1:17" x14ac:dyDescent="0.3">
      <c r="A119" s="28" t="s">
        <v>381</v>
      </c>
      <c r="B119" s="28" t="s">
        <v>382</v>
      </c>
      <c r="C119" s="28" t="s">
        <v>39</v>
      </c>
      <c r="D119" s="28" t="s">
        <v>519</v>
      </c>
      <c r="E119" s="28" t="s">
        <v>520</v>
      </c>
      <c r="F119" s="28" t="s">
        <v>398</v>
      </c>
      <c r="G119" s="28" t="s">
        <v>137</v>
      </c>
      <c r="H119" s="29">
        <v>12081</v>
      </c>
      <c r="I119" s="29">
        <v>28</v>
      </c>
      <c r="J119" s="29">
        <v>0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</row>
    <row r="120" spans="1:17" x14ac:dyDescent="0.3">
      <c r="A120" s="28" t="s">
        <v>381</v>
      </c>
      <c r="B120" s="28" t="s">
        <v>382</v>
      </c>
      <c r="C120" s="28" t="s">
        <v>39</v>
      </c>
      <c r="D120" s="28" t="s">
        <v>519</v>
      </c>
      <c r="E120" s="28" t="s">
        <v>520</v>
      </c>
      <c r="F120" s="28" t="s">
        <v>399</v>
      </c>
      <c r="G120" s="28" t="s">
        <v>137</v>
      </c>
      <c r="H120" s="29">
        <v>1604</v>
      </c>
      <c r="I120" s="29">
        <v>4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</row>
    <row r="121" spans="1:17" x14ac:dyDescent="0.3">
      <c r="A121" s="28" t="s">
        <v>381</v>
      </c>
      <c r="B121" s="28" t="s">
        <v>382</v>
      </c>
      <c r="C121" s="28" t="s">
        <v>39</v>
      </c>
      <c r="D121" s="28" t="s">
        <v>519</v>
      </c>
      <c r="E121" s="28" t="s">
        <v>520</v>
      </c>
      <c r="F121" s="28" t="s">
        <v>400</v>
      </c>
      <c r="G121" s="28" t="s">
        <v>137</v>
      </c>
      <c r="H121" s="29">
        <v>5</v>
      </c>
      <c r="I121" s="29">
        <v>1</v>
      </c>
      <c r="J121" s="29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29">
        <v>0</v>
      </c>
      <c r="Q121" s="29">
        <v>0</v>
      </c>
    </row>
    <row r="122" spans="1:17" x14ac:dyDescent="0.3">
      <c r="A122" s="28" t="s">
        <v>381</v>
      </c>
      <c r="B122" s="28" t="s">
        <v>382</v>
      </c>
      <c r="C122" s="28" t="s">
        <v>39</v>
      </c>
      <c r="D122" s="28" t="s">
        <v>521</v>
      </c>
      <c r="E122" s="28" t="s">
        <v>512</v>
      </c>
      <c r="F122" s="28" t="s">
        <v>513</v>
      </c>
      <c r="G122" s="28" t="s">
        <v>151</v>
      </c>
      <c r="H122" s="29">
        <v>12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</row>
    <row r="123" spans="1:17" x14ac:dyDescent="0.3">
      <c r="A123" s="28" t="s">
        <v>381</v>
      </c>
      <c r="B123" s="28" t="s">
        <v>382</v>
      </c>
      <c r="C123" s="28" t="s">
        <v>39</v>
      </c>
      <c r="D123" s="28" t="s">
        <v>521</v>
      </c>
      <c r="E123" s="28" t="s">
        <v>522</v>
      </c>
      <c r="F123" s="28" t="s">
        <v>398</v>
      </c>
      <c r="G123" s="28" t="s">
        <v>137</v>
      </c>
      <c r="H123" s="29">
        <v>42447</v>
      </c>
      <c r="I123" s="29">
        <v>57</v>
      </c>
      <c r="J123" s="29">
        <v>0</v>
      </c>
      <c r="K123" s="29">
        <v>0</v>
      </c>
      <c r="L123" s="29">
        <v>0</v>
      </c>
      <c r="M123" s="29">
        <v>0</v>
      </c>
      <c r="N123" s="29">
        <v>0</v>
      </c>
      <c r="O123" s="29">
        <v>0</v>
      </c>
      <c r="P123" s="29">
        <v>0</v>
      </c>
      <c r="Q123" s="29">
        <v>0</v>
      </c>
    </row>
    <row r="124" spans="1:17" x14ac:dyDescent="0.3">
      <c r="A124" s="28" t="s">
        <v>381</v>
      </c>
      <c r="B124" s="28" t="s">
        <v>382</v>
      </c>
      <c r="C124" s="28" t="s">
        <v>39</v>
      </c>
      <c r="D124" s="28" t="s">
        <v>521</v>
      </c>
      <c r="E124" s="28" t="s">
        <v>522</v>
      </c>
      <c r="F124" s="28" t="s">
        <v>399</v>
      </c>
      <c r="G124" s="28" t="s">
        <v>137</v>
      </c>
      <c r="H124" s="29">
        <v>4799</v>
      </c>
      <c r="I124" s="29">
        <v>6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</row>
    <row r="125" spans="1:17" x14ac:dyDescent="0.3">
      <c r="A125" s="28" t="s">
        <v>381</v>
      </c>
      <c r="B125" s="28" t="s">
        <v>382</v>
      </c>
      <c r="C125" s="28" t="s">
        <v>39</v>
      </c>
      <c r="D125" s="28" t="s">
        <v>521</v>
      </c>
      <c r="E125" s="28" t="s">
        <v>522</v>
      </c>
      <c r="F125" s="28" t="s">
        <v>400</v>
      </c>
      <c r="G125" s="28" t="s">
        <v>137</v>
      </c>
      <c r="H125" s="29">
        <v>16</v>
      </c>
      <c r="I125" s="29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  <c r="P125" s="29">
        <v>0</v>
      </c>
      <c r="Q125" s="29">
        <v>0</v>
      </c>
    </row>
    <row r="126" spans="1:17" x14ac:dyDescent="0.3">
      <c r="A126" s="28" t="s">
        <v>381</v>
      </c>
      <c r="B126" s="28" t="s">
        <v>382</v>
      </c>
      <c r="C126" s="28" t="s">
        <v>39</v>
      </c>
      <c r="D126" s="28" t="s">
        <v>523</v>
      </c>
      <c r="E126" s="28" t="s">
        <v>512</v>
      </c>
      <c r="F126" s="28" t="s">
        <v>513</v>
      </c>
      <c r="G126" s="28" t="s">
        <v>151</v>
      </c>
      <c r="H126" s="29">
        <v>67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</row>
    <row r="127" spans="1:17" x14ac:dyDescent="0.3">
      <c r="A127" s="28" t="s">
        <v>381</v>
      </c>
      <c r="B127" s="28" t="s">
        <v>382</v>
      </c>
      <c r="C127" s="28" t="s">
        <v>39</v>
      </c>
      <c r="D127" s="28" t="s">
        <v>523</v>
      </c>
      <c r="E127" s="28" t="s">
        <v>524</v>
      </c>
      <c r="F127" s="28" t="s">
        <v>525</v>
      </c>
      <c r="G127" s="28" t="s">
        <v>137</v>
      </c>
      <c r="H127" s="29">
        <v>9748</v>
      </c>
      <c r="I127" s="29">
        <v>55</v>
      </c>
      <c r="J127" s="29">
        <v>0</v>
      </c>
      <c r="K127" s="29">
        <v>0</v>
      </c>
      <c r="L127" s="29">
        <v>0</v>
      </c>
      <c r="M127" s="29">
        <v>0</v>
      </c>
      <c r="N127" s="29">
        <v>0</v>
      </c>
      <c r="O127" s="29">
        <v>0</v>
      </c>
      <c r="P127" s="29">
        <v>0</v>
      </c>
      <c r="Q127" s="29">
        <v>0</v>
      </c>
    </row>
    <row r="128" spans="1:17" x14ac:dyDescent="0.3">
      <c r="A128" s="28" t="s">
        <v>381</v>
      </c>
      <c r="B128" s="28" t="s">
        <v>382</v>
      </c>
      <c r="C128" s="28" t="s">
        <v>39</v>
      </c>
      <c r="D128" s="28" t="s">
        <v>523</v>
      </c>
      <c r="E128" s="28" t="s">
        <v>524</v>
      </c>
      <c r="F128" s="28" t="s">
        <v>526</v>
      </c>
      <c r="G128" s="28" t="s">
        <v>137</v>
      </c>
      <c r="H128" s="29">
        <v>71416</v>
      </c>
      <c r="I128" s="29">
        <v>245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</row>
    <row r="129" spans="1:17" x14ac:dyDescent="0.3">
      <c r="A129" s="28" t="s">
        <v>381</v>
      </c>
      <c r="B129" s="28" t="s">
        <v>382</v>
      </c>
      <c r="C129" s="28" t="s">
        <v>39</v>
      </c>
      <c r="D129" s="28" t="s">
        <v>523</v>
      </c>
      <c r="E129" s="28" t="s">
        <v>524</v>
      </c>
      <c r="F129" s="28" t="s">
        <v>527</v>
      </c>
      <c r="G129" s="28" t="s">
        <v>137</v>
      </c>
      <c r="H129" s="29">
        <v>64</v>
      </c>
      <c r="I129" s="29">
        <v>2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</row>
    <row r="130" spans="1:17" x14ac:dyDescent="0.3">
      <c r="A130" s="28" t="s">
        <v>381</v>
      </c>
      <c r="B130" s="28" t="s">
        <v>382</v>
      </c>
      <c r="C130" s="28" t="s">
        <v>39</v>
      </c>
      <c r="D130" s="28" t="s">
        <v>528</v>
      </c>
      <c r="E130" s="28" t="s">
        <v>512</v>
      </c>
      <c r="F130" s="28" t="s">
        <v>513</v>
      </c>
      <c r="G130" s="28" t="s">
        <v>151</v>
      </c>
      <c r="H130" s="29">
        <v>7</v>
      </c>
      <c r="I130" s="29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</row>
    <row r="131" spans="1:17" x14ac:dyDescent="0.3">
      <c r="A131" s="28" t="s">
        <v>381</v>
      </c>
      <c r="B131" s="28" t="s">
        <v>382</v>
      </c>
      <c r="C131" s="28" t="s">
        <v>39</v>
      </c>
      <c r="D131" s="28" t="s">
        <v>528</v>
      </c>
      <c r="E131" s="28" t="s">
        <v>529</v>
      </c>
      <c r="F131" s="28" t="s">
        <v>525</v>
      </c>
      <c r="G131" s="28" t="s">
        <v>137</v>
      </c>
      <c r="H131" s="29">
        <v>1618</v>
      </c>
      <c r="I131" s="29">
        <v>16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</row>
    <row r="132" spans="1:17" x14ac:dyDescent="0.3">
      <c r="A132" s="28" t="s">
        <v>381</v>
      </c>
      <c r="B132" s="28" t="s">
        <v>382</v>
      </c>
      <c r="C132" s="28" t="s">
        <v>39</v>
      </c>
      <c r="D132" s="28" t="s">
        <v>528</v>
      </c>
      <c r="E132" s="28" t="s">
        <v>529</v>
      </c>
      <c r="F132" s="28" t="s">
        <v>526</v>
      </c>
      <c r="G132" s="28" t="s">
        <v>137</v>
      </c>
      <c r="H132" s="29">
        <v>12463</v>
      </c>
      <c r="I132" s="29">
        <v>64</v>
      </c>
      <c r="J132" s="29">
        <v>0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</row>
    <row r="133" spans="1:17" x14ac:dyDescent="0.3">
      <c r="A133" s="28" t="s">
        <v>381</v>
      </c>
      <c r="B133" s="28" t="s">
        <v>382</v>
      </c>
      <c r="C133" s="28" t="s">
        <v>39</v>
      </c>
      <c r="D133" s="28" t="s">
        <v>528</v>
      </c>
      <c r="E133" s="28" t="s">
        <v>529</v>
      </c>
      <c r="F133" s="28" t="s">
        <v>527</v>
      </c>
      <c r="G133" s="28" t="s">
        <v>137</v>
      </c>
      <c r="H133" s="29">
        <v>42</v>
      </c>
      <c r="I133" s="29">
        <v>0</v>
      </c>
      <c r="J133" s="29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29">
        <v>0</v>
      </c>
      <c r="Q133" s="29">
        <v>0</v>
      </c>
    </row>
    <row r="134" spans="1:17" x14ac:dyDescent="0.3">
      <c r="A134" s="28" t="s">
        <v>381</v>
      </c>
      <c r="B134" s="28" t="s">
        <v>382</v>
      </c>
      <c r="C134" s="28" t="s">
        <v>39</v>
      </c>
      <c r="D134" s="28" t="s">
        <v>530</v>
      </c>
      <c r="E134" s="28" t="s">
        <v>512</v>
      </c>
      <c r="F134" s="28" t="s">
        <v>513</v>
      </c>
      <c r="G134" s="28" t="s">
        <v>151</v>
      </c>
      <c r="H134" s="29">
        <v>3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</row>
    <row r="135" spans="1:17" x14ac:dyDescent="0.3">
      <c r="A135" s="28" t="s">
        <v>381</v>
      </c>
      <c r="B135" s="28" t="s">
        <v>382</v>
      </c>
      <c r="C135" s="28" t="s">
        <v>39</v>
      </c>
      <c r="D135" s="28" t="s">
        <v>530</v>
      </c>
      <c r="E135" s="28" t="s">
        <v>531</v>
      </c>
      <c r="F135" s="28" t="s">
        <v>525</v>
      </c>
      <c r="G135" s="28" t="s">
        <v>137</v>
      </c>
      <c r="H135" s="29">
        <v>2320</v>
      </c>
      <c r="I135" s="29">
        <v>6</v>
      </c>
      <c r="J135" s="29">
        <v>0</v>
      </c>
      <c r="K135" s="29">
        <v>0</v>
      </c>
      <c r="L135" s="29">
        <v>0</v>
      </c>
      <c r="M135" s="29">
        <v>0</v>
      </c>
      <c r="N135" s="29">
        <v>0</v>
      </c>
      <c r="O135" s="29">
        <v>0</v>
      </c>
      <c r="P135" s="29">
        <v>0</v>
      </c>
      <c r="Q135" s="29">
        <v>0</v>
      </c>
    </row>
    <row r="136" spans="1:17" x14ac:dyDescent="0.3">
      <c r="A136" s="28" t="s">
        <v>381</v>
      </c>
      <c r="B136" s="28" t="s">
        <v>382</v>
      </c>
      <c r="C136" s="28" t="s">
        <v>39</v>
      </c>
      <c r="D136" s="28" t="s">
        <v>530</v>
      </c>
      <c r="E136" s="28" t="s">
        <v>531</v>
      </c>
      <c r="F136" s="28" t="s">
        <v>526</v>
      </c>
      <c r="G136" s="28" t="s">
        <v>137</v>
      </c>
      <c r="H136" s="29">
        <v>12693</v>
      </c>
      <c r="I136" s="29">
        <v>50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</row>
    <row r="137" spans="1:17" x14ac:dyDescent="0.3">
      <c r="A137" s="28" t="s">
        <v>381</v>
      </c>
      <c r="B137" s="28" t="s">
        <v>382</v>
      </c>
      <c r="C137" s="28" t="s">
        <v>39</v>
      </c>
      <c r="D137" s="28" t="s">
        <v>530</v>
      </c>
      <c r="E137" s="28" t="s">
        <v>531</v>
      </c>
      <c r="F137" s="28" t="s">
        <v>527</v>
      </c>
      <c r="G137" s="28" t="s">
        <v>137</v>
      </c>
      <c r="H137" s="29">
        <v>5</v>
      </c>
      <c r="I137" s="29">
        <v>1</v>
      </c>
      <c r="J137" s="29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  <c r="P137" s="29">
        <v>0</v>
      </c>
      <c r="Q137" s="29">
        <v>0</v>
      </c>
    </row>
    <row r="138" spans="1:17" x14ac:dyDescent="0.3">
      <c r="A138" s="28" t="s">
        <v>381</v>
      </c>
      <c r="B138" s="28" t="s">
        <v>382</v>
      </c>
      <c r="C138" s="28" t="s">
        <v>39</v>
      </c>
      <c r="D138" s="28" t="s">
        <v>532</v>
      </c>
      <c r="E138" s="28" t="s">
        <v>512</v>
      </c>
      <c r="F138" s="28" t="s">
        <v>513</v>
      </c>
      <c r="G138" s="28" t="s">
        <v>151</v>
      </c>
      <c r="H138" s="29">
        <v>2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29">
        <v>0</v>
      </c>
    </row>
    <row r="139" spans="1:17" x14ac:dyDescent="0.3">
      <c r="A139" s="28" t="s">
        <v>381</v>
      </c>
      <c r="B139" s="28" t="s">
        <v>382</v>
      </c>
      <c r="C139" s="28" t="s">
        <v>39</v>
      </c>
      <c r="D139" s="28" t="s">
        <v>532</v>
      </c>
      <c r="E139" s="28" t="s">
        <v>533</v>
      </c>
      <c r="F139" s="28" t="s">
        <v>525</v>
      </c>
      <c r="G139" s="28" t="s">
        <v>137</v>
      </c>
      <c r="H139" s="29">
        <v>1625</v>
      </c>
      <c r="I139" s="29">
        <v>7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29">
        <v>0</v>
      </c>
    </row>
    <row r="140" spans="1:17" x14ac:dyDescent="0.3">
      <c r="A140" s="28" t="s">
        <v>381</v>
      </c>
      <c r="B140" s="28" t="s">
        <v>382</v>
      </c>
      <c r="C140" s="28" t="s">
        <v>39</v>
      </c>
      <c r="D140" s="28" t="s">
        <v>532</v>
      </c>
      <c r="E140" s="28" t="s">
        <v>533</v>
      </c>
      <c r="F140" s="28" t="s">
        <v>526</v>
      </c>
      <c r="G140" s="28" t="s">
        <v>137</v>
      </c>
      <c r="H140" s="29">
        <v>13181</v>
      </c>
      <c r="I140" s="29">
        <v>44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29">
        <v>0</v>
      </c>
    </row>
    <row r="141" spans="1:17" x14ac:dyDescent="0.3">
      <c r="A141" s="28" t="s">
        <v>381</v>
      </c>
      <c r="B141" s="28" t="s">
        <v>382</v>
      </c>
      <c r="C141" s="28" t="s">
        <v>39</v>
      </c>
      <c r="D141" s="28" t="s">
        <v>532</v>
      </c>
      <c r="E141" s="28" t="s">
        <v>533</v>
      </c>
      <c r="F141" s="28" t="s">
        <v>527</v>
      </c>
      <c r="G141" s="28" t="s">
        <v>137</v>
      </c>
      <c r="H141" s="29">
        <v>6</v>
      </c>
      <c r="I141" s="29">
        <v>1</v>
      </c>
      <c r="J141" s="29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29">
        <v>0</v>
      </c>
      <c r="Q141" s="29">
        <v>0</v>
      </c>
    </row>
    <row r="142" spans="1:17" x14ac:dyDescent="0.3">
      <c r="A142" s="28" t="s">
        <v>381</v>
      </c>
      <c r="B142" s="28" t="s">
        <v>382</v>
      </c>
      <c r="C142" s="28" t="s">
        <v>39</v>
      </c>
      <c r="D142" s="28" t="s">
        <v>534</v>
      </c>
      <c r="E142" s="28" t="s">
        <v>512</v>
      </c>
      <c r="F142" s="28" t="s">
        <v>513</v>
      </c>
      <c r="G142" s="28" t="s">
        <v>151</v>
      </c>
      <c r="H142" s="29">
        <v>8</v>
      </c>
      <c r="I142" s="29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</row>
    <row r="143" spans="1:17" x14ac:dyDescent="0.3">
      <c r="A143" s="28" t="s">
        <v>381</v>
      </c>
      <c r="B143" s="28" t="s">
        <v>382</v>
      </c>
      <c r="C143" s="28" t="s">
        <v>39</v>
      </c>
      <c r="D143" s="28" t="s">
        <v>534</v>
      </c>
      <c r="E143" s="28" t="s">
        <v>535</v>
      </c>
      <c r="F143" s="28" t="s">
        <v>525</v>
      </c>
      <c r="G143" s="28" t="s">
        <v>137</v>
      </c>
      <c r="H143" s="29">
        <v>8670</v>
      </c>
      <c r="I143" s="29">
        <v>13</v>
      </c>
      <c r="J143" s="29">
        <v>0</v>
      </c>
      <c r="K143" s="29">
        <v>0</v>
      </c>
      <c r="L143" s="29">
        <v>0</v>
      </c>
      <c r="M143" s="29">
        <v>0</v>
      </c>
      <c r="N143" s="29">
        <v>0</v>
      </c>
      <c r="O143" s="29">
        <v>0</v>
      </c>
      <c r="P143" s="29">
        <v>0</v>
      </c>
      <c r="Q143" s="29">
        <v>0</v>
      </c>
    </row>
    <row r="144" spans="1:17" x14ac:dyDescent="0.3">
      <c r="A144" s="28" t="s">
        <v>381</v>
      </c>
      <c r="B144" s="28" t="s">
        <v>382</v>
      </c>
      <c r="C144" s="28" t="s">
        <v>39</v>
      </c>
      <c r="D144" s="28" t="s">
        <v>534</v>
      </c>
      <c r="E144" s="28" t="s">
        <v>535</v>
      </c>
      <c r="F144" s="28" t="s">
        <v>526</v>
      </c>
      <c r="G144" s="28" t="s">
        <v>137</v>
      </c>
      <c r="H144" s="29">
        <v>56632</v>
      </c>
      <c r="I144" s="29">
        <v>115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</row>
    <row r="145" spans="1:17" x14ac:dyDescent="0.3">
      <c r="A145" s="28" t="s">
        <v>381</v>
      </c>
      <c r="B145" s="28" t="s">
        <v>382</v>
      </c>
      <c r="C145" s="28" t="s">
        <v>39</v>
      </c>
      <c r="D145" s="28" t="s">
        <v>534</v>
      </c>
      <c r="E145" s="28" t="s">
        <v>535</v>
      </c>
      <c r="F145" s="28" t="s">
        <v>527</v>
      </c>
      <c r="G145" s="28" t="s">
        <v>137</v>
      </c>
      <c r="H145" s="29">
        <v>118</v>
      </c>
      <c r="I145" s="29">
        <v>1</v>
      </c>
      <c r="J145" s="29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0</v>
      </c>
      <c r="P145" s="29">
        <v>0</v>
      </c>
      <c r="Q145" s="29">
        <v>0</v>
      </c>
    </row>
    <row r="146" spans="1:17" x14ac:dyDescent="0.3">
      <c r="A146" s="120" t="s">
        <v>536</v>
      </c>
      <c r="B146" s="120" t="s">
        <v>537</v>
      </c>
      <c r="C146" s="120" t="s">
        <v>537</v>
      </c>
      <c r="D146" s="120" t="s">
        <v>537</v>
      </c>
      <c r="E146" s="120" t="s">
        <v>537</v>
      </c>
      <c r="F146" s="120" t="s">
        <v>537</v>
      </c>
      <c r="G146" s="120" t="s">
        <v>537</v>
      </c>
      <c r="H146" s="120">
        <v>4778104</v>
      </c>
      <c r="I146" s="120">
        <v>10297</v>
      </c>
      <c r="J146" s="120">
        <v>1066</v>
      </c>
      <c r="K146" s="120">
        <v>58039</v>
      </c>
      <c r="L146" s="120">
        <v>392890</v>
      </c>
      <c r="M146" s="120">
        <v>12.93</v>
      </c>
      <c r="N146" s="120">
        <v>0</v>
      </c>
      <c r="O146" s="120">
        <v>0</v>
      </c>
      <c r="P146" s="120">
        <v>0</v>
      </c>
      <c r="Q146" s="1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8"/>
  <sheetViews>
    <sheetView showGridLines="0" zoomScaleNormal="100" workbookViewId="0">
      <selection activeCell="F26" sqref="F26"/>
    </sheetView>
  </sheetViews>
  <sheetFormatPr defaultColWidth="9.109375" defaultRowHeight="13.8" x14ac:dyDescent="0.3"/>
  <cols>
    <col min="1" max="1" width="4.5546875" style="75" customWidth="1"/>
    <col min="2" max="2" width="15.5546875" style="26" customWidth="1"/>
    <col min="3" max="3" width="21.6640625" style="26" customWidth="1"/>
    <col min="4" max="4" width="21.109375" style="26" customWidth="1"/>
    <col min="5" max="5" width="15.33203125" style="26" customWidth="1"/>
    <col min="6" max="6" width="11.109375" style="26" customWidth="1"/>
    <col min="7" max="7" width="19.44140625" style="26" customWidth="1"/>
    <col min="8" max="8" width="17.5546875" style="26" customWidth="1"/>
    <col min="9" max="9" width="17.33203125" style="26" customWidth="1"/>
    <col min="10" max="10" width="16.33203125" style="26" customWidth="1"/>
    <col min="11" max="11" width="14.6640625" style="26" customWidth="1"/>
    <col min="12" max="16384" width="9.109375" style="26"/>
  </cols>
  <sheetData>
    <row r="1" spans="1:10" ht="15" x14ac:dyDescent="0.25">
      <c r="A1" s="75">
        <f>COUNT(Pivots!O:O)</f>
        <v>5</v>
      </c>
      <c r="B1" s="90"/>
      <c r="C1" s="75">
        <f>A1+9</f>
        <v>14</v>
      </c>
      <c r="D1" s="76"/>
    </row>
    <row r="2" spans="1:10" ht="12.75" x14ac:dyDescent="0.2">
      <c r="B2" s="90"/>
      <c r="C2" s="75"/>
      <c r="D2" s="75"/>
    </row>
    <row r="4" spans="1:10" ht="18" customHeight="1" x14ac:dyDescent="0.2">
      <c r="B4" s="1" t="s">
        <v>27</v>
      </c>
      <c r="C4" s="2"/>
      <c r="D4" s="2"/>
      <c r="E4" s="2"/>
      <c r="F4" s="2"/>
      <c r="G4" s="2"/>
      <c r="H4" s="83" t="s">
        <v>25</v>
      </c>
      <c r="I4" s="84">
        <f>'Campaign Summary'!J4</f>
        <v>0</v>
      </c>
      <c r="J4" s="7"/>
    </row>
    <row r="5" spans="1:10" ht="18" customHeight="1" x14ac:dyDescent="0.2">
      <c r="B5" s="4" t="s">
        <v>24</v>
      </c>
      <c r="C5" s="5"/>
      <c r="D5" s="5"/>
      <c r="E5" s="5"/>
      <c r="F5" s="5"/>
      <c r="G5" s="5"/>
      <c r="H5" s="85" t="s">
        <v>26</v>
      </c>
      <c r="I5" s="86">
        <f>'Campaign Summary'!J5</f>
        <v>0</v>
      </c>
      <c r="J5" s="8"/>
    </row>
    <row r="6" spans="1:10" ht="16.2" customHeight="1" x14ac:dyDescent="0.2">
      <c r="B6" s="70"/>
    </row>
    <row r="7" spans="1:10" ht="16.2" customHeight="1" x14ac:dyDescent="0.25">
      <c r="B7" s="79" t="s">
        <v>40</v>
      </c>
    </row>
    <row r="8" spans="1:10" ht="12" customHeight="1" x14ac:dyDescent="0.2"/>
    <row r="9" spans="1:10" ht="12.75" hidden="1" x14ac:dyDescent="0.2">
      <c r="B9" s="135"/>
      <c r="C9" s="136" t="s">
        <v>65</v>
      </c>
      <c r="D9" s="135"/>
      <c r="E9" s="135"/>
    </row>
    <row r="10" spans="1:10" ht="17.25" customHeight="1" x14ac:dyDescent="0.3">
      <c r="A10" s="97"/>
      <c r="B10" s="141" t="s">
        <v>52</v>
      </c>
      <c r="C10" s="138" t="s">
        <v>7</v>
      </c>
      <c r="D10" s="138" t="s">
        <v>8</v>
      </c>
      <c r="E10" s="138" t="s">
        <v>66</v>
      </c>
    </row>
    <row r="11" spans="1:10" ht="17.25" customHeight="1" x14ac:dyDescent="0.3">
      <c r="A11" s="97"/>
      <c r="B11" s="143" t="s">
        <v>372</v>
      </c>
      <c r="C11" s="105">
        <v>8893027</v>
      </c>
      <c r="D11" s="105">
        <v>15573</v>
      </c>
      <c r="E11" s="106">
        <v>1.7511472752753366E-3</v>
      </c>
    </row>
    <row r="12" spans="1:10" ht="17.25" customHeight="1" x14ac:dyDescent="0.3">
      <c r="A12" s="97"/>
      <c r="B12" s="143" t="s">
        <v>373</v>
      </c>
      <c r="C12" s="105">
        <v>3267638</v>
      </c>
      <c r="D12" s="105">
        <v>5682</v>
      </c>
      <c r="E12" s="106">
        <v>1.7388707072203225E-3</v>
      </c>
    </row>
    <row r="13" spans="1:10" ht="17.25" customHeight="1" x14ac:dyDescent="0.3">
      <c r="A13" s="97"/>
      <c r="B13" s="143" t="s">
        <v>374</v>
      </c>
      <c r="C13" s="105">
        <v>71364</v>
      </c>
      <c r="D13" s="105">
        <v>103</v>
      </c>
      <c r="E13" s="106">
        <v>1.4433047474917324E-3</v>
      </c>
    </row>
    <row r="14" spans="1:10" ht="17.25" customHeight="1" x14ac:dyDescent="0.3">
      <c r="A14" s="97"/>
      <c r="B14" s="143" t="s">
        <v>375</v>
      </c>
      <c r="C14" s="105">
        <v>778</v>
      </c>
      <c r="D14" s="105">
        <v>2</v>
      </c>
      <c r="E14" s="106">
        <v>2.5706940874035988E-3</v>
      </c>
    </row>
    <row r="15" spans="1:10" ht="17.25" x14ac:dyDescent="0.3">
      <c r="A15" s="97"/>
      <c r="B15" s="143" t="s">
        <v>1</v>
      </c>
      <c r="C15" s="105">
        <v>12232807</v>
      </c>
      <c r="D15" s="105">
        <v>21360</v>
      </c>
      <c r="E15" s="106">
        <v>1.7461241724814264E-3</v>
      </c>
    </row>
    <row r="16" spans="1:10" ht="17.100000000000001" customHeight="1" x14ac:dyDescent="0.3">
      <c r="A16" s="97"/>
      <c r="B16" s="87"/>
    </row>
    <row r="17" spans="1:11" ht="17.100000000000001" customHeight="1" x14ac:dyDescent="0.3">
      <c r="A17" s="97"/>
      <c r="B17" s="87"/>
    </row>
    <row r="18" spans="1:11" ht="17.100000000000001" customHeight="1" x14ac:dyDescent="0.3">
      <c r="A18" s="97"/>
      <c r="B18" s="87"/>
    </row>
    <row r="19" spans="1:11" ht="3" customHeight="1" x14ac:dyDescent="0.3">
      <c r="A19" s="97"/>
      <c r="B19" s="71"/>
      <c r="C19" s="71"/>
      <c r="D19" s="71"/>
      <c r="E19" s="71"/>
      <c r="F19" s="71"/>
      <c r="G19" s="71"/>
      <c r="H19" s="71"/>
      <c r="I19" s="71"/>
      <c r="J19" s="71"/>
      <c r="K19" s="71"/>
    </row>
    <row r="20" spans="1:11" ht="12" customHeight="1" x14ac:dyDescent="0.3">
      <c r="A20" s="97"/>
    </row>
    <row r="21" spans="1:11" ht="17.100000000000001" customHeight="1" x14ac:dyDescent="0.3">
      <c r="A21" s="97"/>
      <c r="B21" s="79" t="s">
        <v>20</v>
      </c>
    </row>
    <row r="22" spans="1:11" ht="17.25" x14ac:dyDescent="0.3">
      <c r="A22" s="97"/>
    </row>
    <row r="23" spans="1:11" ht="17.25" hidden="1" x14ac:dyDescent="0.3">
      <c r="A23" s="97"/>
      <c r="B23" s="135"/>
      <c r="C23" s="135"/>
      <c r="D23" s="136" t="s">
        <v>65</v>
      </c>
      <c r="E23" s="135"/>
      <c r="F23" s="135"/>
    </row>
    <row r="24" spans="1:11" s="91" customFormat="1" ht="17.25" x14ac:dyDescent="0.3">
      <c r="A24" s="97"/>
      <c r="B24" s="144" t="s">
        <v>3</v>
      </c>
      <c r="C24" s="145" t="s">
        <v>52</v>
      </c>
      <c r="D24" s="146" t="s">
        <v>7</v>
      </c>
      <c r="E24" s="146" t="s">
        <v>8</v>
      </c>
      <c r="F24" s="146" t="s">
        <v>66</v>
      </c>
    </row>
    <row r="25" spans="1:11" ht="17.25" x14ac:dyDescent="0.3">
      <c r="A25" s="97"/>
      <c r="B25" s="107" t="s">
        <v>214</v>
      </c>
      <c r="C25" s="135" t="s">
        <v>372</v>
      </c>
      <c r="D25" s="105">
        <v>1502061</v>
      </c>
      <c r="E25" s="105">
        <v>1533</v>
      </c>
      <c r="F25" s="106">
        <v>1.0205976987619012E-3</v>
      </c>
    </row>
    <row r="26" spans="1:11" ht="17.25" x14ac:dyDescent="0.3">
      <c r="A26" s="97"/>
      <c r="B26" s="107"/>
      <c r="C26" s="135" t="s">
        <v>373</v>
      </c>
      <c r="D26" s="105">
        <v>1496755</v>
      </c>
      <c r="E26" s="105">
        <v>812</v>
      </c>
      <c r="F26" s="106">
        <v>5.4250695671636303E-4</v>
      </c>
    </row>
    <row r="27" spans="1:11" ht="17.25" x14ac:dyDescent="0.3">
      <c r="A27" s="97"/>
      <c r="B27" s="107" t="s">
        <v>243</v>
      </c>
      <c r="C27" s="135" t="s">
        <v>372</v>
      </c>
      <c r="D27" s="105">
        <v>427907</v>
      </c>
      <c r="E27" s="105">
        <v>547</v>
      </c>
      <c r="F27" s="106">
        <v>1.278315147917655E-3</v>
      </c>
    </row>
    <row r="28" spans="1:11" ht="17.25" x14ac:dyDescent="0.3">
      <c r="A28" s="97"/>
      <c r="B28" s="107" t="s">
        <v>246</v>
      </c>
      <c r="C28" s="135" t="s">
        <v>372</v>
      </c>
      <c r="D28" s="105">
        <v>258604</v>
      </c>
      <c r="E28" s="105">
        <v>531</v>
      </c>
      <c r="F28" s="106">
        <v>2.0533325083912082E-3</v>
      </c>
    </row>
    <row r="29" spans="1:11" ht="17.25" x14ac:dyDescent="0.3">
      <c r="A29" s="97"/>
      <c r="B29" s="107"/>
      <c r="C29" s="135" t="s">
        <v>373</v>
      </c>
      <c r="D29" s="105">
        <v>125759</v>
      </c>
      <c r="E29" s="105">
        <v>277</v>
      </c>
      <c r="F29" s="106">
        <v>2.2026256570106314E-3</v>
      </c>
    </row>
    <row r="30" spans="1:11" ht="17.25" x14ac:dyDescent="0.3">
      <c r="A30" s="97"/>
      <c r="B30" s="107" t="s">
        <v>260</v>
      </c>
      <c r="C30" s="135" t="s">
        <v>372</v>
      </c>
      <c r="D30" s="105">
        <v>13184</v>
      </c>
      <c r="E30" s="105">
        <v>30</v>
      </c>
      <c r="F30" s="106">
        <v>2.2754854368932037E-3</v>
      </c>
    </row>
    <row r="31" spans="1:11" ht="17.25" x14ac:dyDescent="0.3">
      <c r="A31" s="97"/>
      <c r="B31" s="107" t="s">
        <v>263</v>
      </c>
      <c r="C31" s="135" t="s">
        <v>372</v>
      </c>
      <c r="D31" s="105">
        <v>1</v>
      </c>
      <c r="E31" s="105">
        <v>0</v>
      </c>
      <c r="F31" s="106">
        <v>0</v>
      </c>
    </row>
    <row r="32" spans="1:11" ht="17.399999999999999" x14ac:dyDescent="0.35">
      <c r="A32" s="97"/>
      <c r="B32" s="107" t="s">
        <v>265</v>
      </c>
      <c r="C32" s="135" t="s">
        <v>372</v>
      </c>
      <c r="D32" s="105">
        <v>34</v>
      </c>
      <c r="E32" s="105">
        <v>0</v>
      </c>
      <c r="F32" s="106">
        <v>0</v>
      </c>
    </row>
    <row r="33" spans="1:6" ht="17.399999999999999" x14ac:dyDescent="0.35">
      <c r="A33" s="97"/>
      <c r="B33" s="107"/>
      <c r="C33" s="135" t="s">
        <v>373</v>
      </c>
      <c r="D33" s="105">
        <v>309</v>
      </c>
      <c r="E33" s="105">
        <v>0</v>
      </c>
      <c r="F33" s="106">
        <v>0</v>
      </c>
    </row>
    <row r="34" spans="1:6" ht="17.399999999999999" x14ac:dyDescent="0.35">
      <c r="A34" s="97"/>
      <c r="B34" s="107" t="s">
        <v>125</v>
      </c>
      <c r="C34" s="135" t="s">
        <v>372</v>
      </c>
      <c r="D34" s="105">
        <v>44</v>
      </c>
      <c r="E34" s="105">
        <v>0</v>
      </c>
      <c r="F34" s="106">
        <v>0</v>
      </c>
    </row>
    <row r="35" spans="1:6" ht="17.399999999999999" x14ac:dyDescent="0.35">
      <c r="A35" s="97"/>
      <c r="B35" s="107" t="s">
        <v>132</v>
      </c>
      <c r="C35" s="135" t="s">
        <v>373</v>
      </c>
      <c r="D35" s="105">
        <v>21</v>
      </c>
      <c r="E35" s="105">
        <v>0</v>
      </c>
      <c r="F35" s="106">
        <v>0</v>
      </c>
    </row>
    <row r="36" spans="1:6" ht="17.399999999999999" x14ac:dyDescent="0.35">
      <c r="A36" s="97"/>
      <c r="B36" s="107" t="s">
        <v>278</v>
      </c>
      <c r="C36" s="135" t="s">
        <v>372</v>
      </c>
      <c r="D36" s="105">
        <v>1</v>
      </c>
      <c r="E36" s="105">
        <v>0</v>
      </c>
      <c r="F36" s="106">
        <v>0</v>
      </c>
    </row>
    <row r="37" spans="1:6" ht="17.399999999999999" x14ac:dyDescent="0.35">
      <c r="A37" s="97"/>
      <c r="B37" s="107" t="s">
        <v>280</v>
      </c>
      <c r="C37" s="135" t="s">
        <v>372</v>
      </c>
      <c r="D37" s="105">
        <v>281066</v>
      </c>
      <c r="E37" s="105">
        <v>1015</v>
      </c>
      <c r="F37" s="106">
        <v>3.6112514498374045E-3</v>
      </c>
    </row>
    <row r="38" spans="1:6" ht="17.399999999999999" x14ac:dyDescent="0.35">
      <c r="A38" s="97"/>
      <c r="B38" s="107"/>
      <c r="C38" s="135" t="s">
        <v>373</v>
      </c>
      <c r="D38" s="105">
        <v>224994</v>
      </c>
      <c r="E38" s="105">
        <v>640</v>
      </c>
      <c r="F38" s="106">
        <v>2.8445202983190662E-3</v>
      </c>
    </row>
    <row r="39" spans="1:6" ht="17.399999999999999" x14ac:dyDescent="0.35">
      <c r="A39" s="97"/>
      <c r="B39" s="107" t="s">
        <v>135</v>
      </c>
      <c r="C39" s="135" t="s">
        <v>372</v>
      </c>
      <c r="D39" s="105">
        <v>234685</v>
      </c>
      <c r="E39" s="105">
        <v>284</v>
      </c>
      <c r="F39" s="106">
        <v>1.2101327311076549E-3</v>
      </c>
    </row>
    <row r="40" spans="1:6" ht="17.399999999999999" x14ac:dyDescent="0.35">
      <c r="A40" s="97"/>
      <c r="B40" s="107"/>
      <c r="C40" s="135" t="s">
        <v>373</v>
      </c>
      <c r="D40" s="105">
        <v>249806</v>
      </c>
      <c r="E40" s="105">
        <v>776</v>
      </c>
      <c r="F40" s="106">
        <v>3.1064105746058941E-3</v>
      </c>
    </row>
    <row r="41" spans="1:6" ht="17.399999999999999" x14ac:dyDescent="0.35">
      <c r="A41" s="97"/>
      <c r="B41" s="107" t="s">
        <v>290</v>
      </c>
      <c r="C41" s="135" t="s">
        <v>372</v>
      </c>
      <c r="D41" s="105">
        <v>2</v>
      </c>
      <c r="E41" s="105">
        <v>0</v>
      </c>
      <c r="F41" s="106">
        <v>0</v>
      </c>
    </row>
    <row r="42" spans="1:6" ht="17.399999999999999" x14ac:dyDescent="0.35">
      <c r="A42" s="97"/>
      <c r="B42" s="107" t="s">
        <v>293</v>
      </c>
      <c r="C42" s="135" t="s">
        <v>372</v>
      </c>
      <c r="D42" s="105">
        <v>1</v>
      </c>
      <c r="E42" s="105">
        <v>0</v>
      </c>
      <c r="F42" s="106">
        <v>0</v>
      </c>
    </row>
    <row r="43" spans="1:6" ht="17.399999999999999" x14ac:dyDescent="0.35">
      <c r="A43" s="97"/>
      <c r="B43" s="107" t="s">
        <v>37</v>
      </c>
      <c r="C43" s="135" t="s">
        <v>372</v>
      </c>
      <c r="D43" s="105">
        <v>2825114</v>
      </c>
      <c r="E43" s="105">
        <v>6590</v>
      </c>
      <c r="F43" s="106">
        <v>2.3326492311460706E-3</v>
      </c>
    </row>
    <row r="44" spans="1:6" ht="17.399999999999999" x14ac:dyDescent="0.35">
      <c r="A44" s="97"/>
      <c r="B44" s="107" t="s">
        <v>165</v>
      </c>
      <c r="C44" s="135" t="s">
        <v>372</v>
      </c>
      <c r="D44" s="105">
        <v>1</v>
      </c>
      <c r="E44" s="105">
        <v>0</v>
      </c>
      <c r="F44" s="106">
        <v>0</v>
      </c>
    </row>
    <row r="45" spans="1:6" ht="17.399999999999999" x14ac:dyDescent="0.35">
      <c r="A45" s="97"/>
      <c r="B45" s="107" t="s">
        <v>167</v>
      </c>
      <c r="C45" s="135" t="s">
        <v>372</v>
      </c>
      <c r="D45" s="105">
        <v>1564562</v>
      </c>
      <c r="E45" s="105">
        <v>1683</v>
      </c>
      <c r="F45" s="106">
        <v>1.0757004196701697E-3</v>
      </c>
    </row>
    <row r="46" spans="1:6" ht="17.399999999999999" x14ac:dyDescent="0.35">
      <c r="A46" s="97"/>
      <c r="B46" s="107" t="s">
        <v>295</v>
      </c>
      <c r="C46" s="135" t="s">
        <v>372</v>
      </c>
      <c r="D46" s="105">
        <v>384696</v>
      </c>
      <c r="E46" s="105">
        <v>306</v>
      </c>
      <c r="F46" s="106">
        <v>7.9543327718510203E-4</v>
      </c>
    </row>
    <row r="47" spans="1:6" x14ac:dyDescent="0.3">
      <c r="B47" s="107"/>
      <c r="C47" s="135" t="s">
        <v>373</v>
      </c>
      <c r="D47" s="105">
        <v>313250</v>
      </c>
      <c r="E47" s="105">
        <v>858</v>
      </c>
      <c r="F47" s="106">
        <v>2.7390263367916999E-3</v>
      </c>
    </row>
    <row r="48" spans="1:6" x14ac:dyDescent="0.3">
      <c r="B48" s="107" t="s">
        <v>360</v>
      </c>
      <c r="C48" s="135" t="s">
        <v>372</v>
      </c>
      <c r="D48" s="105">
        <v>6</v>
      </c>
      <c r="E48" s="105">
        <v>0</v>
      </c>
      <c r="F48" s="106">
        <v>0</v>
      </c>
    </row>
    <row r="49" spans="2:6" x14ac:dyDescent="0.3">
      <c r="B49" s="107"/>
      <c r="C49" s="135" t="s">
        <v>373</v>
      </c>
      <c r="D49" s="105">
        <v>1</v>
      </c>
      <c r="E49" s="105">
        <v>0</v>
      </c>
      <c r="F49" s="106">
        <v>0</v>
      </c>
    </row>
    <row r="50" spans="2:6" x14ac:dyDescent="0.3">
      <c r="B50" s="107" t="s">
        <v>182</v>
      </c>
      <c r="C50" s="135" t="s">
        <v>374</v>
      </c>
      <c r="D50" s="105">
        <v>71364</v>
      </c>
      <c r="E50" s="105">
        <v>103</v>
      </c>
      <c r="F50" s="106">
        <v>1.4433047474917324E-3</v>
      </c>
    </row>
    <row r="51" spans="2:6" x14ac:dyDescent="0.3">
      <c r="B51" s="107" t="s">
        <v>363</v>
      </c>
      <c r="C51" s="135" t="s">
        <v>372</v>
      </c>
      <c r="D51" s="105">
        <v>574790</v>
      </c>
      <c r="E51" s="105">
        <v>1650</v>
      </c>
      <c r="F51" s="106">
        <v>2.8706136154073663E-3</v>
      </c>
    </row>
    <row r="52" spans="2:6" x14ac:dyDescent="0.3">
      <c r="B52" s="107" t="s">
        <v>369</v>
      </c>
      <c r="C52" s="135" t="s">
        <v>372</v>
      </c>
      <c r="D52" s="105">
        <v>826259</v>
      </c>
      <c r="E52" s="105">
        <v>1404</v>
      </c>
      <c r="F52" s="106">
        <v>1.6992250613911619E-3</v>
      </c>
    </row>
    <row r="53" spans="2:6" x14ac:dyDescent="0.3">
      <c r="B53" s="107" t="s">
        <v>185</v>
      </c>
      <c r="C53" s="135" t="s">
        <v>372</v>
      </c>
      <c r="D53" s="105">
        <v>2</v>
      </c>
      <c r="E53" s="105">
        <v>0</v>
      </c>
      <c r="F53" s="106">
        <v>0</v>
      </c>
    </row>
    <row r="54" spans="2:6" x14ac:dyDescent="0.3">
      <c r="B54" s="107" t="s">
        <v>187</v>
      </c>
      <c r="C54" s="135" t="s">
        <v>373</v>
      </c>
      <c r="D54" s="105">
        <v>856742</v>
      </c>
      <c r="E54" s="105">
        <v>2319</v>
      </c>
      <c r="F54" s="106">
        <v>2.7067658641691432E-3</v>
      </c>
    </row>
    <row r="55" spans="2:6" x14ac:dyDescent="0.3">
      <c r="B55" s="107" t="s">
        <v>199</v>
      </c>
      <c r="C55" s="135" t="s">
        <v>375</v>
      </c>
      <c r="D55" s="105">
        <v>778</v>
      </c>
      <c r="E55" s="105">
        <v>2</v>
      </c>
      <c r="F55" s="106">
        <v>2.5706940874035988E-3</v>
      </c>
    </row>
    <row r="56" spans="2:6" x14ac:dyDescent="0.3">
      <c r="B56" s="107" t="s">
        <v>207</v>
      </c>
      <c r="C56" s="135" t="s">
        <v>372</v>
      </c>
      <c r="D56" s="105">
        <v>7</v>
      </c>
      <c r="E56" s="105">
        <v>0</v>
      </c>
      <c r="F56" s="106">
        <v>0</v>
      </c>
    </row>
    <row r="57" spans="2:6" x14ac:dyDescent="0.3">
      <c r="B57" s="107"/>
      <c r="C57" s="135" t="s">
        <v>373</v>
      </c>
      <c r="D57" s="105">
        <v>1</v>
      </c>
      <c r="E57" s="105">
        <v>0</v>
      </c>
      <c r="F57" s="106">
        <v>0</v>
      </c>
    </row>
    <row r="58" spans="2:6" x14ac:dyDescent="0.3">
      <c r="B58" s="107" t="s">
        <v>1</v>
      </c>
      <c r="C58" s="107"/>
      <c r="D58" s="105">
        <v>12232807</v>
      </c>
      <c r="E58" s="105">
        <v>21360</v>
      </c>
      <c r="F58" s="106">
        <v>1.7461241724814264E-3</v>
      </c>
    </row>
  </sheetData>
  <conditionalFormatting pivot="1" sqref="E11:E15">
    <cfRule type="iconSet" priority="2">
      <iconSet>
        <cfvo type="percent" val="0"/>
        <cfvo type="num" val="1.0499999999999999E-3"/>
        <cfvo type="num" val="1.0499999999999999E-3"/>
      </iconSet>
    </cfRule>
  </conditionalFormatting>
  <conditionalFormatting pivot="1" sqref="F25:F58">
    <cfRule type="iconSet" priority="1">
      <iconSet>
        <cfvo type="percent" val="0"/>
        <cfvo type="num" val="1.0499999999999999E-3"/>
        <cfvo type="num" val="1.0499999999999999E-3"/>
      </iconSet>
    </cfRule>
  </conditionalFormatting>
  <pageMargins left="0.7" right="0.7" top="0.75" bottom="0.75" header="0.3" footer="0.3"/>
  <pageSetup paperSize="9" orientation="portrait" verticalDpi="300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03"/>
  <sheetViews>
    <sheetView workbookViewId="0">
      <selection activeCell="I1" sqref="I1"/>
    </sheetView>
  </sheetViews>
  <sheetFormatPr defaultColWidth="28.5546875" defaultRowHeight="14.4" x14ac:dyDescent="0.3"/>
  <cols>
    <col min="1" max="1" width="20.88671875" bestFit="1" customWidth="1"/>
    <col min="2" max="2" width="53.109375" bestFit="1" customWidth="1"/>
    <col min="3" max="3" width="17.5546875" bestFit="1" customWidth="1"/>
    <col min="4" max="4" width="8.88671875" bestFit="1" customWidth="1"/>
    <col min="5" max="5" width="23.33203125" bestFit="1" customWidth="1"/>
    <col min="6" max="6" width="11.6640625" bestFit="1" customWidth="1"/>
    <col min="7" max="7" width="6" bestFit="1" customWidth="1"/>
    <col min="8" max="8" width="9.5546875" bestFit="1" customWidth="1"/>
    <col min="9" max="9" width="9.33203125" bestFit="1" customWidth="1"/>
  </cols>
  <sheetData>
    <row r="1" spans="1:9" ht="15" x14ac:dyDescent="0.25">
      <c r="A1" s="114" t="s">
        <v>30</v>
      </c>
      <c r="B1" s="114" t="s">
        <v>41</v>
      </c>
      <c r="C1" s="114" t="s">
        <v>43</v>
      </c>
      <c r="D1" s="114" t="s">
        <v>122</v>
      </c>
      <c r="E1" s="114" t="s">
        <v>42</v>
      </c>
      <c r="F1" s="114" t="s">
        <v>33</v>
      </c>
      <c r="G1" s="114" t="s">
        <v>0</v>
      </c>
      <c r="H1" s="114" t="s">
        <v>124</v>
      </c>
      <c r="I1" s="114" t="s">
        <v>52</v>
      </c>
    </row>
    <row r="2" spans="1:9" ht="15" x14ac:dyDescent="0.25">
      <c r="A2" s="115" t="s">
        <v>125</v>
      </c>
      <c r="B2" s="115" t="s">
        <v>126</v>
      </c>
      <c r="C2" s="115" t="s">
        <v>44</v>
      </c>
      <c r="D2" s="115" t="s">
        <v>127</v>
      </c>
      <c r="E2" s="115" t="s">
        <v>128</v>
      </c>
      <c r="F2" s="116">
        <v>2</v>
      </c>
      <c r="G2" s="116">
        <v>0</v>
      </c>
      <c r="H2" s="117">
        <f>G2/F2</f>
        <v>0</v>
      </c>
      <c r="I2" s="118" t="str">
        <f>RIGHT(B2,2)</f>
        <v>AR</v>
      </c>
    </row>
    <row r="3" spans="1:9" ht="15" x14ac:dyDescent="0.25">
      <c r="A3" s="115" t="s">
        <v>125</v>
      </c>
      <c r="B3" s="115" t="s">
        <v>126</v>
      </c>
      <c r="C3" s="115" t="s">
        <v>44</v>
      </c>
      <c r="D3" s="115" t="s">
        <v>127</v>
      </c>
      <c r="E3" s="115" t="s">
        <v>128</v>
      </c>
      <c r="F3" s="116">
        <v>1</v>
      </c>
      <c r="G3" s="116">
        <v>0</v>
      </c>
      <c r="H3" s="117">
        <f t="shared" ref="H3:H66" si="0">G3/F3</f>
        <v>0</v>
      </c>
      <c r="I3" s="118" t="str">
        <f t="shared" ref="I3:I66" si="1">RIGHT(B3,2)</f>
        <v>AR</v>
      </c>
    </row>
    <row r="4" spans="1:9" ht="15" x14ac:dyDescent="0.25">
      <c r="A4" s="115" t="s">
        <v>125</v>
      </c>
      <c r="B4" s="115" t="s">
        <v>126</v>
      </c>
      <c r="C4" s="115" t="s">
        <v>44</v>
      </c>
      <c r="D4" s="115" t="s">
        <v>127</v>
      </c>
      <c r="E4" s="115" t="s">
        <v>128</v>
      </c>
      <c r="F4" s="116">
        <v>2</v>
      </c>
      <c r="G4" s="116">
        <v>0</v>
      </c>
      <c r="H4" s="117">
        <f t="shared" si="0"/>
        <v>0</v>
      </c>
      <c r="I4" s="118" t="str">
        <f t="shared" si="1"/>
        <v>AR</v>
      </c>
    </row>
    <row r="5" spans="1:9" ht="15" x14ac:dyDescent="0.25">
      <c r="A5" s="115" t="s">
        <v>125</v>
      </c>
      <c r="B5" s="115" t="s">
        <v>126</v>
      </c>
      <c r="C5" s="115" t="s">
        <v>44</v>
      </c>
      <c r="D5" s="115" t="s">
        <v>127</v>
      </c>
      <c r="E5" s="115" t="s">
        <v>128</v>
      </c>
      <c r="F5" s="116">
        <v>6</v>
      </c>
      <c r="G5" s="116">
        <v>0</v>
      </c>
      <c r="H5" s="117">
        <f t="shared" si="0"/>
        <v>0</v>
      </c>
      <c r="I5" s="118" t="str">
        <f t="shared" si="1"/>
        <v>AR</v>
      </c>
    </row>
    <row r="6" spans="1:9" ht="15" x14ac:dyDescent="0.25">
      <c r="A6" s="115" t="s">
        <v>125</v>
      </c>
      <c r="B6" s="115" t="s">
        <v>129</v>
      </c>
      <c r="C6" s="115" t="s">
        <v>44</v>
      </c>
      <c r="D6" s="115" t="s">
        <v>127</v>
      </c>
      <c r="E6" s="115" t="s">
        <v>128</v>
      </c>
      <c r="F6" s="116">
        <v>1</v>
      </c>
      <c r="G6" s="116">
        <v>0</v>
      </c>
      <c r="H6" s="117">
        <f t="shared" si="0"/>
        <v>0</v>
      </c>
      <c r="I6" s="118" t="str">
        <f t="shared" si="1"/>
        <v>AR</v>
      </c>
    </row>
    <row r="7" spans="1:9" ht="15" x14ac:dyDescent="0.25">
      <c r="A7" s="115" t="s">
        <v>125</v>
      </c>
      <c r="B7" s="115" t="s">
        <v>130</v>
      </c>
      <c r="C7" s="115" t="s">
        <v>44</v>
      </c>
      <c r="D7" s="115" t="s">
        <v>127</v>
      </c>
      <c r="E7" s="115" t="s">
        <v>128</v>
      </c>
      <c r="F7" s="116">
        <v>2</v>
      </c>
      <c r="G7" s="116">
        <v>0</v>
      </c>
      <c r="H7" s="117">
        <f t="shared" si="0"/>
        <v>0</v>
      </c>
      <c r="I7" s="118" t="str">
        <f t="shared" si="1"/>
        <v>AR</v>
      </c>
    </row>
    <row r="8" spans="1:9" ht="15" x14ac:dyDescent="0.25">
      <c r="A8" s="115" t="s">
        <v>125</v>
      </c>
      <c r="B8" s="115" t="s">
        <v>130</v>
      </c>
      <c r="C8" s="115" t="s">
        <v>44</v>
      </c>
      <c r="D8" s="115" t="s">
        <v>127</v>
      </c>
      <c r="E8" s="115" t="s">
        <v>128</v>
      </c>
      <c r="F8" s="116">
        <v>2</v>
      </c>
      <c r="G8" s="116">
        <v>0</v>
      </c>
      <c r="H8" s="117">
        <f t="shared" si="0"/>
        <v>0</v>
      </c>
      <c r="I8" s="118" t="str">
        <f t="shared" si="1"/>
        <v>AR</v>
      </c>
    </row>
    <row r="9" spans="1:9" ht="15" x14ac:dyDescent="0.25">
      <c r="A9" s="115" t="s">
        <v>125</v>
      </c>
      <c r="B9" s="115" t="s">
        <v>130</v>
      </c>
      <c r="C9" s="115" t="s">
        <v>44</v>
      </c>
      <c r="D9" s="115" t="s">
        <v>127</v>
      </c>
      <c r="E9" s="115" t="s">
        <v>128</v>
      </c>
      <c r="F9" s="116">
        <v>2</v>
      </c>
      <c r="G9" s="116">
        <v>0</v>
      </c>
      <c r="H9" s="117">
        <f t="shared" si="0"/>
        <v>0</v>
      </c>
      <c r="I9" s="118" t="str">
        <f t="shared" si="1"/>
        <v>AR</v>
      </c>
    </row>
    <row r="10" spans="1:9" ht="15" x14ac:dyDescent="0.25">
      <c r="A10" s="115" t="s">
        <v>125</v>
      </c>
      <c r="B10" s="115" t="s">
        <v>130</v>
      </c>
      <c r="C10" s="115" t="s">
        <v>44</v>
      </c>
      <c r="D10" s="115" t="s">
        <v>127</v>
      </c>
      <c r="E10" s="115" t="s">
        <v>128</v>
      </c>
      <c r="F10" s="116">
        <v>10</v>
      </c>
      <c r="G10" s="116">
        <v>0</v>
      </c>
      <c r="H10" s="117">
        <f t="shared" si="0"/>
        <v>0</v>
      </c>
      <c r="I10" s="118" t="str">
        <f t="shared" si="1"/>
        <v>AR</v>
      </c>
    </row>
    <row r="11" spans="1:9" ht="15" x14ac:dyDescent="0.25">
      <c r="A11" s="115" t="s">
        <v>125</v>
      </c>
      <c r="B11" s="115" t="s">
        <v>130</v>
      </c>
      <c r="C11" s="115" t="s">
        <v>44</v>
      </c>
      <c r="D11" s="115" t="s">
        <v>127</v>
      </c>
      <c r="E11" s="115" t="s">
        <v>128</v>
      </c>
      <c r="F11" s="116">
        <v>11</v>
      </c>
      <c r="G11" s="116">
        <v>0</v>
      </c>
      <c r="H11" s="117">
        <f t="shared" si="0"/>
        <v>0</v>
      </c>
      <c r="I11" s="118" t="str">
        <f t="shared" si="1"/>
        <v>AR</v>
      </c>
    </row>
    <row r="12" spans="1:9" ht="15" x14ac:dyDescent="0.25">
      <c r="A12" s="115" t="s">
        <v>125</v>
      </c>
      <c r="B12" s="115" t="s">
        <v>131</v>
      </c>
      <c r="C12" s="115" t="s">
        <v>44</v>
      </c>
      <c r="D12" s="115" t="s">
        <v>127</v>
      </c>
      <c r="E12" s="115" t="s">
        <v>128</v>
      </c>
      <c r="F12" s="116">
        <v>1</v>
      </c>
      <c r="G12" s="116">
        <v>0</v>
      </c>
      <c r="H12" s="117">
        <f t="shared" si="0"/>
        <v>0</v>
      </c>
      <c r="I12" s="118" t="str">
        <f t="shared" si="1"/>
        <v>AR</v>
      </c>
    </row>
    <row r="13" spans="1:9" ht="15" x14ac:dyDescent="0.25">
      <c r="A13" s="115" t="s">
        <v>125</v>
      </c>
      <c r="B13" s="115" t="s">
        <v>131</v>
      </c>
      <c r="C13" s="115" t="s">
        <v>44</v>
      </c>
      <c r="D13" s="115" t="s">
        <v>127</v>
      </c>
      <c r="E13" s="115" t="s">
        <v>128</v>
      </c>
      <c r="F13" s="116">
        <v>2</v>
      </c>
      <c r="G13" s="116">
        <v>0</v>
      </c>
      <c r="H13" s="117">
        <f t="shared" si="0"/>
        <v>0</v>
      </c>
      <c r="I13" s="118" t="str">
        <f t="shared" si="1"/>
        <v>AR</v>
      </c>
    </row>
    <row r="14" spans="1:9" ht="15" x14ac:dyDescent="0.25">
      <c r="A14" s="115" t="s">
        <v>125</v>
      </c>
      <c r="B14" s="115" t="s">
        <v>131</v>
      </c>
      <c r="C14" s="115" t="s">
        <v>44</v>
      </c>
      <c r="D14" s="115" t="s">
        <v>127</v>
      </c>
      <c r="E14" s="115" t="s">
        <v>128</v>
      </c>
      <c r="F14" s="116">
        <v>2</v>
      </c>
      <c r="G14" s="116">
        <v>0</v>
      </c>
      <c r="H14" s="117">
        <f t="shared" si="0"/>
        <v>0</v>
      </c>
      <c r="I14" s="118" t="str">
        <f t="shared" si="1"/>
        <v>AR</v>
      </c>
    </row>
    <row r="15" spans="1:9" ht="15" x14ac:dyDescent="0.25">
      <c r="A15" s="115" t="s">
        <v>132</v>
      </c>
      <c r="B15" s="115" t="s">
        <v>133</v>
      </c>
      <c r="C15" s="115" t="s">
        <v>45</v>
      </c>
      <c r="D15" s="115" t="s">
        <v>127</v>
      </c>
      <c r="E15" s="115" t="s">
        <v>134</v>
      </c>
      <c r="F15" s="116">
        <v>5</v>
      </c>
      <c r="G15" s="116">
        <v>0</v>
      </c>
      <c r="H15" s="117">
        <f t="shared" si="0"/>
        <v>0</v>
      </c>
      <c r="I15" s="118" t="str">
        <f t="shared" si="1"/>
        <v>EN</v>
      </c>
    </row>
    <row r="16" spans="1:9" ht="15" x14ac:dyDescent="0.25">
      <c r="A16" s="115" t="s">
        <v>132</v>
      </c>
      <c r="B16" s="115" t="s">
        <v>133</v>
      </c>
      <c r="C16" s="115" t="s">
        <v>45</v>
      </c>
      <c r="D16" s="115" t="s">
        <v>127</v>
      </c>
      <c r="E16" s="115" t="s">
        <v>134</v>
      </c>
      <c r="F16" s="116">
        <v>8</v>
      </c>
      <c r="G16" s="116">
        <v>0</v>
      </c>
      <c r="H16" s="117">
        <f t="shared" si="0"/>
        <v>0</v>
      </c>
      <c r="I16" s="118" t="str">
        <f t="shared" si="1"/>
        <v>EN</v>
      </c>
    </row>
    <row r="17" spans="1:9" ht="15" x14ac:dyDescent="0.25">
      <c r="A17" s="115" t="s">
        <v>132</v>
      </c>
      <c r="B17" s="115" t="s">
        <v>133</v>
      </c>
      <c r="C17" s="115" t="s">
        <v>45</v>
      </c>
      <c r="D17" s="115" t="s">
        <v>127</v>
      </c>
      <c r="E17" s="115" t="s">
        <v>134</v>
      </c>
      <c r="F17" s="116">
        <v>6</v>
      </c>
      <c r="G17" s="116">
        <v>0</v>
      </c>
      <c r="H17" s="117">
        <f t="shared" si="0"/>
        <v>0</v>
      </c>
      <c r="I17" s="118" t="str">
        <f t="shared" si="1"/>
        <v>EN</v>
      </c>
    </row>
    <row r="18" spans="1:9" ht="15" x14ac:dyDescent="0.25">
      <c r="A18" s="115" t="s">
        <v>132</v>
      </c>
      <c r="B18" s="115" t="s">
        <v>133</v>
      </c>
      <c r="C18" s="115" t="s">
        <v>45</v>
      </c>
      <c r="D18" s="115" t="s">
        <v>127</v>
      </c>
      <c r="E18" s="115" t="s">
        <v>134</v>
      </c>
      <c r="F18" s="116">
        <v>2</v>
      </c>
      <c r="G18" s="116">
        <v>0</v>
      </c>
      <c r="H18" s="117">
        <f t="shared" si="0"/>
        <v>0</v>
      </c>
      <c r="I18" s="118" t="str">
        <f t="shared" si="1"/>
        <v>EN</v>
      </c>
    </row>
    <row r="19" spans="1:9" ht="15" x14ac:dyDescent="0.25">
      <c r="A19" s="115" t="s">
        <v>135</v>
      </c>
      <c r="B19" s="115" t="s">
        <v>136</v>
      </c>
      <c r="C19" s="115" t="s">
        <v>44</v>
      </c>
      <c r="D19" s="115" t="s">
        <v>127</v>
      </c>
      <c r="E19" s="115" t="s">
        <v>137</v>
      </c>
      <c r="F19" s="116">
        <v>41253</v>
      </c>
      <c r="G19" s="116">
        <v>76</v>
      </c>
      <c r="H19" s="117">
        <f t="shared" si="0"/>
        <v>1.8422902576782296E-3</v>
      </c>
      <c r="I19" s="118" t="str">
        <f t="shared" si="1"/>
        <v>AR</v>
      </c>
    </row>
    <row r="20" spans="1:9" ht="15" x14ac:dyDescent="0.25">
      <c r="A20" s="115" t="s">
        <v>135</v>
      </c>
      <c r="B20" s="115" t="s">
        <v>136</v>
      </c>
      <c r="C20" s="115" t="s">
        <v>44</v>
      </c>
      <c r="D20" s="115" t="s">
        <v>127</v>
      </c>
      <c r="E20" s="115" t="s">
        <v>137</v>
      </c>
      <c r="F20" s="116">
        <v>34048</v>
      </c>
      <c r="G20" s="116">
        <v>54</v>
      </c>
      <c r="H20" s="117">
        <f t="shared" si="0"/>
        <v>1.5859962406015037E-3</v>
      </c>
      <c r="I20" s="118" t="str">
        <f t="shared" si="1"/>
        <v>AR</v>
      </c>
    </row>
    <row r="21" spans="1:9" ht="15" x14ac:dyDescent="0.25">
      <c r="A21" s="115" t="s">
        <v>135</v>
      </c>
      <c r="B21" s="115" t="s">
        <v>136</v>
      </c>
      <c r="C21" s="115" t="s">
        <v>44</v>
      </c>
      <c r="D21" s="115" t="s">
        <v>127</v>
      </c>
      <c r="E21" s="115" t="s">
        <v>137</v>
      </c>
      <c r="F21" s="116">
        <v>6272</v>
      </c>
      <c r="G21" s="116">
        <v>11</v>
      </c>
      <c r="H21" s="117">
        <f t="shared" si="0"/>
        <v>1.7538265306122449E-3</v>
      </c>
      <c r="I21" s="118" t="str">
        <f t="shared" si="1"/>
        <v>AR</v>
      </c>
    </row>
    <row r="22" spans="1:9" ht="15" x14ac:dyDescent="0.25">
      <c r="A22" s="115" t="s">
        <v>135</v>
      </c>
      <c r="B22" s="115" t="s">
        <v>138</v>
      </c>
      <c r="C22" s="115" t="s">
        <v>44</v>
      </c>
      <c r="D22" s="115" t="s">
        <v>127</v>
      </c>
      <c r="E22" s="115" t="s">
        <v>137</v>
      </c>
      <c r="F22" s="116">
        <v>75548</v>
      </c>
      <c r="G22" s="116">
        <v>270</v>
      </c>
      <c r="H22" s="117">
        <f t="shared" si="0"/>
        <v>3.5738868004447505E-3</v>
      </c>
      <c r="I22" s="118" t="str">
        <f t="shared" si="1"/>
        <v>EN</v>
      </c>
    </row>
    <row r="23" spans="1:9" ht="15" x14ac:dyDescent="0.25">
      <c r="A23" s="115" t="s">
        <v>135</v>
      </c>
      <c r="B23" s="115" t="s">
        <v>138</v>
      </c>
      <c r="C23" s="115" t="s">
        <v>44</v>
      </c>
      <c r="D23" s="115" t="s">
        <v>127</v>
      </c>
      <c r="E23" s="115" t="s">
        <v>137</v>
      </c>
      <c r="F23" s="116">
        <v>98165</v>
      </c>
      <c r="G23" s="116">
        <v>368</v>
      </c>
      <c r="H23" s="117">
        <f t="shared" si="0"/>
        <v>3.7487903020424797E-3</v>
      </c>
      <c r="I23" s="118" t="str">
        <f t="shared" si="1"/>
        <v>EN</v>
      </c>
    </row>
    <row r="24" spans="1:9" ht="15" x14ac:dyDescent="0.25">
      <c r="A24" s="115" t="s">
        <v>135</v>
      </c>
      <c r="B24" s="115" t="s">
        <v>138</v>
      </c>
      <c r="C24" s="115" t="s">
        <v>44</v>
      </c>
      <c r="D24" s="115" t="s">
        <v>127</v>
      </c>
      <c r="E24" s="115" t="s">
        <v>137</v>
      </c>
      <c r="F24" s="116">
        <v>20833</v>
      </c>
      <c r="G24" s="116">
        <v>73</v>
      </c>
      <c r="H24" s="117">
        <f t="shared" si="0"/>
        <v>3.5040560648970384E-3</v>
      </c>
      <c r="I24" s="118" t="str">
        <f t="shared" si="1"/>
        <v>EN</v>
      </c>
    </row>
    <row r="25" spans="1:9" ht="15" x14ac:dyDescent="0.25">
      <c r="A25" s="115" t="s">
        <v>135</v>
      </c>
      <c r="B25" s="115" t="s">
        <v>139</v>
      </c>
      <c r="C25" s="115" t="s">
        <v>45</v>
      </c>
      <c r="D25" s="115" t="s">
        <v>127</v>
      </c>
      <c r="E25" s="115" t="s">
        <v>137</v>
      </c>
      <c r="F25" s="116">
        <v>14102</v>
      </c>
      <c r="G25" s="116">
        <v>10</v>
      </c>
      <c r="H25" s="117">
        <f t="shared" si="0"/>
        <v>7.0911927386186355E-4</v>
      </c>
      <c r="I25" s="118" t="str">
        <f t="shared" si="1"/>
        <v>AR</v>
      </c>
    </row>
    <row r="26" spans="1:9" ht="15" x14ac:dyDescent="0.25">
      <c r="A26" s="115" t="s">
        <v>135</v>
      </c>
      <c r="B26" s="115" t="s">
        <v>139</v>
      </c>
      <c r="C26" s="115" t="s">
        <v>45</v>
      </c>
      <c r="D26" s="115" t="s">
        <v>127</v>
      </c>
      <c r="E26" s="115" t="s">
        <v>137</v>
      </c>
      <c r="F26" s="116">
        <v>3846</v>
      </c>
      <c r="G26" s="116">
        <v>2</v>
      </c>
      <c r="H26" s="117">
        <f t="shared" si="0"/>
        <v>5.2002080083203334E-4</v>
      </c>
      <c r="I26" s="118" t="str">
        <f t="shared" si="1"/>
        <v>AR</v>
      </c>
    </row>
    <row r="27" spans="1:9" ht="15" x14ac:dyDescent="0.25">
      <c r="A27" s="115" t="s">
        <v>135</v>
      </c>
      <c r="B27" s="115" t="s">
        <v>139</v>
      </c>
      <c r="C27" s="115" t="s">
        <v>45</v>
      </c>
      <c r="D27" s="115" t="s">
        <v>127</v>
      </c>
      <c r="E27" s="115" t="s">
        <v>137</v>
      </c>
      <c r="F27" s="116">
        <v>498</v>
      </c>
      <c r="G27" s="116">
        <v>0</v>
      </c>
      <c r="H27" s="117">
        <f t="shared" si="0"/>
        <v>0</v>
      </c>
      <c r="I27" s="118" t="str">
        <f t="shared" si="1"/>
        <v>AR</v>
      </c>
    </row>
    <row r="28" spans="1:9" ht="15" x14ac:dyDescent="0.25">
      <c r="A28" s="115" t="s">
        <v>135</v>
      </c>
      <c r="B28" s="115" t="s">
        <v>140</v>
      </c>
      <c r="C28" s="115" t="s">
        <v>45</v>
      </c>
      <c r="D28" s="115" t="s">
        <v>127</v>
      </c>
      <c r="E28" s="115" t="s">
        <v>137</v>
      </c>
      <c r="F28" s="116">
        <v>2886</v>
      </c>
      <c r="G28" s="116">
        <v>2</v>
      </c>
      <c r="H28" s="117">
        <f t="shared" si="0"/>
        <v>6.93000693000693E-4</v>
      </c>
      <c r="I28" s="118" t="str">
        <f t="shared" si="1"/>
        <v>EN</v>
      </c>
    </row>
    <row r="29" spans="1:9" ht="15" x14ac:dyDescent="0.25">
      <c r="A29" s="115" t="s">
        <v>135</v>
      </c>
      <c r="B29" s="115" t="s">
        <v>140</v>
      </c>
      <c r="C29" s="115" t="s">
        <v>45</v>
      </c>
      <c r="D29" s="115" t="s">
        <v>127</v>
      </c>
      <c r="E29" s="115" t="s">
        <v>137</v>
      </c>
      <c r="F29" s="116">
        <v>4657</v>
      </c>
      <c r="G29" s="116">
        <v>8</v>
      </c>
      <c r="H29" s="117">
        <f t="shared" si="0"/>
        <v>1.7178441056474125E-3</v>
      </c>
      <c r="I29" s="118" t="str">
        <f t="shared" si="1"/>
        <v>EN</v>
      </c>
    </row>
    <row r="30" spans="1:9" ht="15" x14ac:dyDescent="0.25">
      <c r="A30" s="115" t="s">
        <v>135</v>
      </c>
      <c r="B30" s="115" t="s">
        <v>140</v>
      </c>
      <c r="C30" s="115" t="s">
        <v>45</v>
      </c>
      <c r="D30" s="115" t="s">
        <v>127</v>
      </c>
      <c r="E30" s="115" t="s">
        <v>137</v>
      </c>
      <c r="F30" s="116">
        <v>1333</v>
      </c>
      <c r="G30" s="116">
        <v>4</v>
      </c>
      <c r="H30" s="117">
        <f t="shared" si="0"/>
        <v>3.0007501875468868E-3</v>
      </c>
      <c r="I30" s="118" t="str">
        <f t="shared" si="1"/>
        <v>EN</v>
      </c>
    </row>
    <row r="31" spans="1:9" ht="15" x14ac:dyDescent="0.25">
      <c r="A31" s="115" t="s">
        <v>135</v>
      </c>
      <c r="B31" s="115" t="s">
        <v>141</v>
      </c>
      <c r="C31" s="115" t="s">
        <v>45</v>
      </c>
      <c r="D31" s="115" t="s">
        <v>127</v>
      </c>
      <c r="E31" s="115" t="s">
        <v>137</v>
      </c>
      <c r="F31" s="116">
        <v>30179</v>
      </c>
      <c r="G31" s="116">
        <v>35</v>
      </c>
      <c r="H31" s="117">
        <f t="shared" si="0"/>
        <v>1.1597468438318036E-3</v>
      </c>
      <c r="I31" s="118" t="str">
        <f t="shared" si="1"/>
        <v>AR</v>
      </c>
    </row>
    <row r="32" spans="1:9" ht="15" x14ac:dyDescent="0.25">
      <c r="A32" s="115" t="s">
        <v>135</v>
      </c>
      <c r="B32" s="115" t="s">
        <v>141</v>
      </c>
      <c r="C32" s="115" t="s">
        <v>45</v>
      </c>
      <c r="D32" s="115" t="s">
        <v>127</v>
      </c>
      <c r="E32" s="115" t="s">
        <v>137</v>
      </c>
      <c r="F32" s="116">
        <v>31234</v>
      </c>
      <c r="G32" s="116">
        <v>38</v>
      </c>
      <c r="H32" s="117">
        <f t="shared" si="0"/>
        <v>1.2166229109303963E-3</v>
      </c>
      <c r="I32" s="118" t="str">
        <f t="shared" si="1"/>
        <v>AR</v>
      </c>
    </row>
    <row r="33" spans="1:9" x14ac:dyDescent="0.3">
      <c r="A33" s="115" t="s">
        <v>135</v>
      </c>
      <c r="B33" s="115" t="s">
        <v>141</v>
      </c>
      <c r="C33" s="115" t="s">
        <v>45</v>
      </c>
      <c r="D33" s="115" t="s">
        <v>127</v>
      </c>
      <c r="E33" s="115" t="s">
        <v>137</v>
      </c>
      <c r="F33" s="116">
        <v>7330</v>
      </c>
      <c r="G33" s="116">
        <v>2</v>
      </c>
      <c r="H33" s="117">
        <f t="shared" si="0"/>
        <v>2.7285129604365623E-4</v>
      </c>
      <c r="I33" s="118" t="str">
        <f t="shared" si="1"/>
        <v>AR</v>
      </c>
    </row>
    <row r="34" spans="1:9" x14ac:dyDescent="0.3">
      <c r="A34" s="115" t="s">
        <v>135</v>
      </c>
      <c r="B34" s="115" t="s">
        <v>142</v>
      </c>
      <c r="C34" s="115" t="s">
        <v>45</v>
      </c>
      <c r="D34" s="115" t="s">
        <v>127</v>
      </c>
      <c r="E34" s="115" t="s">
        <v>137</v>
      </c>
      <c r="F34" s="116">
        <v>9145</v>
      </c>
      <c r="G34" s="116">
        <v>8</v>
      </c>
      <c r="H34" s="117">
        <f t="shared" si="0"/>
        <v>8.747949699289229E-4</v>
      </c>
      <c r="I34" s="118" t="str">
        <f t="shared" si="1"/>
        <v>EN</v>
      </c>
    </row>
    <row r="35" spans="1:9" x14ac:dyDescent="0.3">
      <c r="A35" s="115" t="s">
        <v>135</v>
      </c>
      <c r="B35" s="115" t="s">
        <v>142</v>
      </c>
      <c r="C35" s="115" t="s">
        <v>45</v>
      </c>
      <c r="D35" s="115" t="s">
        <v>127</v>
      </c>
      <c r="E35" s="115" t="s">
        <v>137</v>
      </c>
      <c r="F35" s="116">
        <v>6253</v>
      </c>
      <c r="G35" s="116">
        <v>10</v>
      </c>
      <c r="H35" s="117">
        <f t="shared" si="0"/>
        <v>1.5992323684631377E-3</v>
      </c>
      <c r="I35" s="118" t="str">
        <f t="shared" si="1"/>
        <v>EN</v>
      </c>
    </row>
    <row r="36" spans="1:9" x14ac:dyDescent="0.3">
      <c r="A36" s="115" t="s">
        <v>135</v>
      </c>
      <c r="B36" s="115" t="s">
        <v>142</v>
      </c>
      <c r="C36" s="115" t="s">
        <v>45</v>
      </c>
      <c r="D36" s="115" t="s">
        <v>127</v>
      </c>
      <c r="E36" s="115" t="s">
        <v>137</v>
      </c>
      <c r="F36" s="116">
        <v>1391</v>
      </c>
      <c r="G36" s="116">
        <v>2</v>
      </c>
      <c r="H36" s="117">
        <f t="shared" si="0"/>
        <v>1.4378145219266715E-3</v>
      </c>
      <c r="I36" s="118" t="str">
        <f t="shared" si="1"/>
        <v>EN</v>
      </c>
    </row>
    <row r="37" spans="1:9" x14ac:dyDescent="0.3">
      <c r="A37" s="115" t="s">
        <v>135</v>
      </c>
      <c r="B37" s="115" t="s">
        <v>143</v>
      </c>
      <c r="C37" s="115" t="s">
        <v>45</v>
      </c>
      <c r="D37" s="115" t="s">
        <v>127</v>
      </c>
      <c r="E37" s="115" t="s">
        <v>137</v>
      </c>
      <c r="F37" s="116">
        <v>9871</v>
      </c>
      <c r="G37" s="116">
        <v>10</v>
      </c>
      <c r="H37" s="117">
        <f t="shared" si="0"/>
        <v>1.013068584743187E-3</v>
      </c>
      <c r="I37" s="118" t="str">
        <f t="shared" si="1"/>
        <v>AR</v>
      </c>
    </row>
    <row r="38" spans="1:9" x14ac:dyDescent="0.3">
      <c r="A38" s="115" t="s">
        <v>135</v>
      </c>
      <c r="B38" s="115" t="s">
        <v>143</v>
      </c>
      <c r="C38" s="115" t="s">
        <v>45</v>
      </c>
      <c r="D38" s="115" t="s">
        <v>127</v>
      </c>
      <c r="E38" s="115" t="s">
        <v>137</v>
      </c>
      <c r="F38" s="116">
        <v>11667</v>
      </c>
      <c r="G38" s="116">
        <v>5</v>
      </c>
      <c r="H38" s="117">
        <f t="shared" si="0"/>
        <v>4.2855918402331364E-4</v>
      </c>
      <c r="I38" s="118" t="str">
        <f t="shared" si="1"/>
        <v>AR</v>
      </c>
    </row>
    <row r="39" spans="1:9" x14ac:dyDescent="0.3">
      <c r="A39" s="115" t="s">
        <v>135</v>
      </c>
      <c r="B39" s="115" t="s">
        <v>143</v>
      </c>
      <c r="C39" s="115" t="s">
        <v>45</v>
      </c>
      <c r="D39" s="115" t="s">
        <v>127</v>
      </c>
      <c r="E39" s="115" t="s">
        <v>137</v>
      </c>
      <c r="F39" s="116">
        <v>2206</v>
      </c>
      <c r="G39" s="116">
        <v>0</v>
      </c>
      <c r="H39" s="117">
        <f t="shared" si="0"/>
        <v>0</v>
      </c>
      <c r="I39" s="118" t="str">
        <f t="shared" si="1"/>
        <v>AR</v>
      </c>
    </row>
    <row r="40" spans="1:9" x14ac:dyDescent="0.3">
      <c r="A40" s="115" t="s">
        <v>135</v>
      </c>
      <c r="B40" s="115" t="s">
        <v>144</v>
      </c>
      <c r="C40" s="115" t="s">
        <v>45</v>
      </c>
      <c r="D40" s="115" t="s">
        <v>127</v>
      </c>
      <c r="E40" s="115" t="s">
        <v>137</v>
      </c>
      <c r="F40" s="116">
        <v>3250</v>
      </c>
      <c r="G40" s="116">
        <v>1</v>
      </c>
      <c r="H40" s="117">
        <f t="shared" si="0"/>
        <v>3.076923076923077E-4</v>
      </c>
      <c r="I40" s="118" t="str">
        <f t="shared" si="1"/>
        <v>EN</v>
      </c>
    </row>
    <row r="41" spans="1:9" x14ac:dyDescent="0.3">
      <c r="A41" s="115" t="s">
        <v>135</v>
      </c>
      <c r="B41" s="115" t="s">
        <v>144</v>
      </c>
      <c r="C41" s="115" t="s">
        <v>45</v>
      </c>
      <c r="D41" s="115" t="s">
        <v>127</v>
      </c>
      <c r="E41" s="115" t="s">
        <v>137</v>
      </c>
      <c r="F41" s="116">
        <v>3905</v>
      </c>
      <c r="G41" s="116">
        <v>4</v>
      </c>
      <c r="H41" s="117">
        <f t="shared" si="0"/>
        <v>1.0243277848911651E-3</v>
      </c>
      <c r="I41" s="118" t="str">
        <f t="shared" si="1"/>
        <v>EN</v>
      </c>
    </row>
    <row r="42" spans="1:9" x14ac:dyDescent="0.3">
      <c r="A42" s="115" t="s">
        <v>135</v>
      </c>
      <c r="B42" s="115" t="s">
        <v>144</v>
      </c>
      <c r="C42" s="115" t="s">
        <v>45</v>
      </c>
      <c r="D42" s="115" t="s">
        <v>127</v>
      </c>
      <c r="E42" s="115" t="s">
        <v>137</v>
      </c>
      <c r="F42" s="116">
        <v>52</v>
      </c>
      <c r="G42" s="116">
        <v>0</v>
      </c>
      <c r="H42" s="117">
        <f t="shared" si="0"/>
        <v>0</v>
      </c>
      <c r="I42" s="118" t="str">
        <f t="shared" si="1"/>
        <v>EN</v>
      </c>
    </row>
    <row r="43" spans="1:9" x14ac:dyDescent="0.3">
      <c r="A43" s="115" t="s">
        <v>135</v>
      </c>
      <c r="B43" s="115" t="s">
        <v>145</v>
      </c>
      <c r="C43" s="115" t="s">
        <v>45</v>
      </c>
      <c r="D43" s="115" t="s">
        <v>127</v>
      </c>
      <c r="E43" s="115" t="s">
        <v>137</v>
      </c>
      <c r="F43" s="116">
        <v>2979</v>
      </c>
      <c r="G43" s="116">
        <v>5</v>
      </c>
      <c r="H43" s="117">
        <f t="shared" si="0"/>
        <v>1.6784155756965425E-3</v>
      </c>
      <c r="I43" s="118" t="str">
        <f t="shared" si="1"/>
        <v>AR</v>
      </c>
    </row>
    <row r="44" spans="1:9" x14ac:dyDescent="0.3">
      <c r="A44" s="115" t="s">
        <v>135</v>
      </c>
      <c r="B44" s="115" t="s">
        <v>145</v>
      </c>
      <c r="C44" s="115" t="s">
        <v>45</v>
      </c>
      <c r="D44" s="115" t="s">
        <v>127</v>
      </c>
      <c r="E44" s="115" t="s">
        <v>137</v>
      </c>
      <c r="F44" s="116">
        <v>4595</v>
      </c>
      <c r="G44" s="116">
        <v>3</v>
      </c>
      <c r="H44" s="117">
        <f t="shared" si="0"/>
        <v>6.5288356909684435E-4</v>
      </c>
      <c r="I44" s="118" t="str">
        <f t="shared" si="1"/>
        <v>AR</v>
      </c>
    </row>
    <row r="45" spans="1:9" x14ac:dyDescent="0.3">
      <c r="A45" s="115" t="s">
        <v>135</v>
      </c>
      <c r="B45" s="115" t="s">
        <v>145</v>
      </c>
      <c r="C45" s="115" t="s">
        <v>45</v>
      </c>
      <c r="D45" s="115" t="s">
        <v>127</v>
      </c>
      <c r="E45" s="115" t="s">
        <v>137</v>
      </c>
      <c r="F45" s="116">
        <v>1443</v>
      </c>
      <c r="G45" s="116">
        <v>1</v>
      </c>
      <c r="H45" s="117">
        <f t="shared" si="0"/>
        <v>6.93000693000693E-4</v>
      </c>
      <c r="I45" s="118" t="str">
        <f t="shared" si="1"/>
        <v>AR</v>
      </c>
    </row>
    <row r="46" spans="1:9" x14ac:dyDescent="0.3">
      <c r="A46" s="115" t="s">
        <v>135</v>
      </c>
      <c r="B46" s="115" t="s">
        <v>146</v>
      </c>
      <c r="C46" s="115" t="s">
        <v>45</v>
      </c>
      <c r="D46" s="115" t="s">
        <v>127</v>
      </c>
      <c r="E46" s="115" t="s">
        <v>137</v>
      </c>
      <c r="F46" s="116">
        <v>2918</v>
      </c>
      <c r="G46" s="116">
        <v>1</v>
      </c>
      <c r="H46" s="117">
        <f t="shared" si="0"/>
        <v>3.4270047978067172E-4</v>
      </c>
      <c r="I46" s="118" t="str">
        <f t="shared" si="1"/>
        <v>EN</v>
      </c>
    </row>
    <row r="47" spans="1:9" x14ac:dyDescent="0.3">
      <c r="A47" s="115" t="s">
        <v>135</v>
      </c>
      <c r="B47" s="115" t="s">
        <v>146</v>
      </c>
      <c r="C47" s="115" t="s">
        <v>45</v>
      </c>
      <c r="D47" s="115" t="s">
        <v>127</v>
      </c>
      <c r="E47" s="115" t="s">
        <v>137</v>
      </c>
      <c r="F47" s="116">
        <v>4618</v>
      </c>
      <c r="G47" s="116">
        <v>7</v>
      </c>
      <c r="H47" s="117">
        <f t="shared" si="0"/>
        <v>1.5158077089649198E-3</v>
      </c>
      <c r="I47" s="118" t="str">
        <f t="shared" si="1"/>
        <v>EN</v>
      </c>
    </row>
    <row r="48" spans="1:9" x14ac:dyDescent="0.3">
      <c r="A48" s="115" t="s">
        <v>135</v>
      </c>
      <c r="B48" s="115" t="s">
        <v>146</v>
      </c>
      <c r="C48" s="115" t="s">
        <v>45</v>
      </c>
      <c r="D48" s="115" t="s">
        <v>127</v>
      </c>
      <c r="E48" s="115" t="s">
        <v>137</v>
      </c>
      <c r="F48" s="116">
        <v>1377</v>
      </c>
      <c r="G48" s="116">
        <v>1</v>
      </c>
      <c r="H48" s="117">
        <f t="shared" si="0"/>
        <v>7.2621641249092229E-4</v>
      </c>
      <c r="I48" s="118" t="str">
        <f t="shared" si="1"/>
        <v>EN</v>
      </c>
    </row>
    <row r="49" spans="1:9" x14ac:dyDescent="0.3">
      <c r="A49" s="115" t="s">
        <v>135</v>
      </c>
      <c r="B49" s="115" t="s">
        <v>147</v>
      </c>
      <c r="C49" s="115" t="s">
        <v>45</v>
      </c>
      <c r="D49" s="115" t="s">
        <v>127</v>
      </c>
      <c r="E49" s="115" t="s">
        <v>137</v>
      </c>
      <c r="F49" s="116">
        <v>16643</v>
      </c>
      <c r="G49" s="116">
        <v>22</v>
      </c>
      <c r="H49" s="117">
        <f t="shared" si="0"/>
        <v>1.3218770654329147E-3</v>
      </c>
      <c r="I49" s="118" t="str">
        <f t="shared" si="1"/>
        <v>AR</v>
      </c>
    </row>
    <row r="50" spans="1:9" x14ac:dyDescent="0.3">
      <c r="A50" s="115" t="s">
        <v>135</v>
      </c>
      <c r="B50" s="115" t="s">
        <v>147</v>
      </c>
      <c r="C50" s="115" t="s">
        <v>45</v>
      </c>
      <c r="D50" s="115" t="s">
        <v>127</v>
      </c>
      <c r="E50" s="115" t="s">
        <v>137</v>
      </c>
      <c r="F50" s="116">
        <v>13632</v>
      </c>
      <c r="G50" s="116">
        <v>8</v>
      </c>
      <c r="H50" s="117">
        <f t="shared" si="0"/>
        <v>5.8685446009389673E-4</v>
      </c>
      <c r="I50" s="118" t="str">
        <f t="shared" si="1"/>
        <v>AR</v>
      </c>
    </row>
    <row r="51" spans="1:9" x14ac:dyDescent="0.3">
      <c r="A51" s="115" t="s">
        <v>135</v>
      </c>
      <c r="B51" s="115" t="s">
        <v>147</v>
      </c>
      <c r="C51" s="115" t="s">
        <v>45</v>
      </c>
      <c r="D51" s="115" t="s">
        <v>127</v>
      </c>
      <c r="E51" s="115" t="s">
        <v>137</v>
      </c>
      <c r="F51" s="116">
        <v>2887</v>
      </c>
      <c r="G51" s="116">
        <v>2</v>
      </c>
      <c r="H51" s="117">
        <f t="shared" si="0"/>
        <v>6.9276065119501214E-4</v>
      </c>
      <c r="I51" s="118" t="str">
        <f t="shared" si="1"/>
        <v>AR</v>
      </c>
    </row>
    <row r="52" spans="1:9" x14ac:dyDescent="0.3">
      <c r="A52" s="115" t="s">
        <v>135</v>
      </c>
      <c r="B52" s="115" t="s">
        <v>148</v>
      </c>
      <c r="C52" s="115" t="s">
        <v>45</v>
      </c>
      <c r="D52" s="115" t="s">
        <v>127</v>
      </c>
      <c r="E52" s="115" t="s">
        <v>137</v>
      </c>
      <c r="F52" s="116">
        <v>4146</v>
      </c>
      <c r="G52" s="116">
        <v>4</v>
      </c>
      <c r="H52" s="117">
        <f t="shared" si="0"/>
        <v>9.6478533526290404E-4</v>
      </c>
      <c r="I52" s="118" t="str">
        <f t="shared" si="1"/>
        <v>EN</v>
      </c>
    </row>
    <row r="53" spans="1:9" x14ac:dyDescent="0.3">
      <c r="A53" s="115" t="s">
        <v>135</v>
      </c>
      <c r="B53" s="115" t="s">
        <v>148</v>
      </c>
      <c r="C53" s="115" t="s">
        <v>45</v>
      </c>
      <c r="D53" s="115" t="s">
        <v>127</v>
      </c>
      <c r="E53" s="115" t="s">
        <v>137</v>
      </c>
      <c r="F53" s="116">
        <v>7483</v>
      </c>
      <c r="G53" s="116">
        <v>12</v>
      </c>
      <c r="H53" s="117">
        <f t="shared" si="0"/>
        <v>1.6036349057864494E-3</v>
      </c>
      <c r="I53" s="118" t="str">
        <f t="shared" si="1"/>
        <v>EN</v>
      </c>
    </row>
    <row r="54" spans="1:9" x14ac:dyDescent="0.3">
      <c r="A54" s="115" t="s">
        <v>135</v>
      </c>
      <c r="B54" s="115" t="s">
        <v>148</v>
      </c>
      <c r="C54" s="115" t="s">
        <v>45</v>
      </c>
      <c r="D54" s="115" t="s">
        <v>127</v>
      </c>
      <c r="E54" s="115" t="s">
        <v>137</v>
      </c>
      <c r="F54" s="116">
        <v>1846</v>
      </c>
      <c r="G54" s="116">
        <v>1</v>
      </c>
      <c r="H54" s="117">
        <f t="shared" si="0"/>
        <v>5.4171180931744309E-4</v>
      </c>
      <c r="I54" s="118" t="str">
        <f t="shared" si="1"/>
        <v>EN</v>
      </c>
    </row>
    <row r="55" spans="1:9" x14ac:dyDescent="0.3">
      <c r="A55" s="115" t="s">
        <v>37</v>
      </c>
      <c r="B55" s="115" t="s">
        <v>149</v>
      </c>
      <c r="C55" s="115" t="s">
        <v>44</v>
      </c>
      <c r="D55" s="115" t="s">
        <v>150</v>
      </c>
      <c r="E55" s="115" t="s">
        <v>151</v>
      </c>
      <c r="F55" s="116">
        <v>1</v>
      </c>
      <c r="G55" s="116">
        <v>0</v>
      </c>
      <c r="H55" s="117">
        <f t="shared" si="0"/>
        <v>0</v>
      </c>
      <c r="I55" s="118" t="str">
        <f t="shared" si="1"/>
        <v>AR</v>
      </c>
    </row>
    <row r="56" spans="1:9" x14ac:dyDescent="0.3">
      <c r="A56" s="115" t="s">
        <v>37</v>
      </c>
      <c r="B56" s="115" t="s">
        <v>152</v>
      </c>
      <c r="C56" s="115" t="s">
        <v>44</v>
      </c>
      <c r="D56" s="115" t="s">
        <v>127</v>
      </c>
      <c r="E56" s="115" t="s">
        <v>137</v>
      </c>
      <c r="F56" s="116">
        <v>23783</v>
      </c>
      <c r="G56" s="116">
        <v>1</v>
      </c>
      <c r="H56" s="117">
        <f t="shared" si="0"/>
        <v>4.2046840179960479E-5</v>
      </c>
      <c r="I56" s="118" t="str">
        <f t="shared" si="1"/>
        <v>AR</v>
      </c>
    </row>
    <row r="57" spans="1:9" x14ac:dyDescent="0.3">
      <c r="A57" s="115" t="s">
        <v>37</v>
      </c>
      <c r="B57" s="115" t="s">
        <v>152</v>
      </c>
      <c r="C57" s="115" t="s">
        <v>44</v>
      </c>
      <c r="D57" s="115" t="s">
        <v>127</v>
      </c>
      <c r="E57" s="115" t="s">
        <v>137</v>
      </c>
      <c r="F57" s="116">
        <v>53276</v>
      </c>
      <c r="G57" s="116">
        <v>1</v>
      </c>
      <c r="H57" s="117">
        <f t="shared" si="0"/>
        <v>1.8770177941286883E-5</v>
      </c>
      <c r="I57" s="118" t="str">
        <f t="shared" si="1"/>
        <v>AR</v>
      </c>
    </row>
    <row r="58" spans="1:9" x14ac:dyDescent="0.3">
      <c r="A58" s="115" t="s">
        <v>37</v>
      </c>
      <c r="B58" s="115" t="s">
        <v>152</v>
      </c>
      <c r="C58" s="115" t="s">
        <v>44</v>
      </c>
      <c r="D58" s="115" t="s">
        <v>127</v>
      </c>
      <c r="E58" s="115" t="s">
        <v>137</v>
      </c>
      <c r="F58" s="116">
        <v>40625</v>
      </c>
      <c r="G58" s="116">
        <v>2</v>
      </c>
      <c r="H58" s="117">
        <f t="shared" si="0"/>
        <v>4.9230769230769232E-5</v>
      </c>
      <c r="I58" s="118" t="str">
        <f t="shared" si="1"/>
        <v>AR</v>
      </c>
    </row>
    <row r="59" spans="1:9" x14ac:dyDescent="0.3">
      <c r="A59" s="115" t="s">
        <v>37</v>
      </c>
      <c r="B59" s="115" t="s">
        <v>152</v>
      </c>
      <c r="C59" s="115" t="s">
        <v>44</v>
      </c>
      <c r="D59" s="115" t="s">
        <v>127</v>
      </c>
      <c r="E59" s="115" t="s">
        <v>137</v>
      </c>
      <c r="F59" s="116">
        <v>50996</v>
      </c>
      <c r="G59" s="116">
        <v>2</v>
      </c>
      <c r="H59" s="117">
        <f t="shared" si="0"/>
        <v>3.9218762255863202E-5</v>
      </c>
      <c r="I59" s="118" t="str">
        <f t="shared" si="1"/>
        <v>AR</v>
      </c>
    </row>
    <row r="60" spans="1:9" x14ac:dyDescent="0.3">
      <c r="A60" s="115" t="s">
        <v>37</v>
      </c>
      <c r="B60" s="115" t="s">
        <v>152</v>
      </c>
      <c r="C60" s="115" t="s">
        <v>44</v>
      </c>
      <c r="D60" s="115" t="s">
        <v>127</v>
      </c>
      <c r="E60" s="115" t="s">
        <v>137</v>
      </c>
      <c r="F60" s="116">
        <v>33372</v>
      </c>
      <c r="G60" s="116">
        <v>4</v>
      </c>
      <c r="H60" s="117">
        <f t="shared" si="0"/>
        <v>1.1986096128490951E-4</v>
      </c>
      <c r="I60" s="118" t="str">
        <f t="shared" si="1"/>
        <v>AR</v>
      </c>
    </row>
    <row r="61" spans="1:9" x14ac:dyDescent="0.3">
      <c r="A61" s="115" t="s">
        <v>37</v>
      </c>
      <c r="B61" s="115" t="s">
        <v>153</v>
      </c>
      <c r="C61" s="115" t="s">
        <v>44</v>
      </c>
      <c r="D61" s="115" t="s">
        <v>127</v>
      </c>
      <c r="E61" s="115" t="s">
        <v>137</v>
      </c>
      <c r="F61" s="116">
        <v>2837</v>
      </c>
      <c r="G61" s="116">
        <v>0</v>
      </c>
      <c r="H61" s="117">
        <f t="shared" si="0"/>
        <v>0</v>
      </c>
      <c r="I61" s="118" t="str">
        <f t="shared" si="1"/>
        <v>AR</v>
      </c>
    </row>
    <row r="62" spans="1:9" x14ac:dyDescent="0.3">
      <c r="A62" s="115" t="s">
        <v>37</v>
      </c>
      <c r="B62" s="115" t="s">
        <v>153</v>
      </c>
      <c r="C62" s="115" t="s">
        <v>44</v>
      </c>
      <c r="D62" s="115" t="s">
        <v>127</v>
      </c>
      <c r="E62" s="115" t="s">
        <v>137</v>
      </c>
      <c r="F62" s="116">
        <v>8670</v>
      </c>
      <c r="G62" s="116">
        <v>14</v>
      </c>
      <c r="H62" s="117">
        <f t="shared" si="0"/>
        <v>1.6147635524798155E-3</v>
      </c>
      <c r="I62" s="118" t="str">
        <f t="shared" si="1"/>
        <v>AR</v>
      </c>
    </row>
    <row r="63" spans="1:9" x14ac:dyDescent="0.3">
      <c r="A63" s="115" t="s">
        <v>37</v>
      </c>
      <c r="B63" s="115" t="s">
        <v>153</v>
      </c>
      <c r="C63" s="115" t="s">
        <v>44</v>
      </c>
      <c r="D63" s="115" t="s">
        <v>127</v>
      </c>
      <c r="E63" s="115" t="s">
        <v>137</v>
      </c>
      <c r="F63" s="116">
        <v>20748</v>
      </c>
      <c r="G63" s="116">
        <v>19</v>
      </c>
      <c r="H63" s="117">
        <f t="shared" si="0"/>
        <v>9.1575091575091575E-4</v>
      </c>
      <c r="I63" s="118" t="str">
        <f t="shared" si="1"/>
        <v>AR</v>
      </c>
    </row>
    <row r="64" spans="1:9" x14ac:dyDescent="0.3">
      <c r="A64" s="115" t="s">
        <v>37</v>
      </c>
      <c r="B64" s="115" t="s">
        <v>153</v>
      </c>
      <c r="C64" s="115" t="s">
        <v>44</v>
      </c>
      <c r="D64" s="115" t="s">
        <v>127</v>
      </c>
      <c r="E64" s="115" t="s">
        <v>137</v>
      </c>
      <c r="F64" s="116">
        <v>28243</v>
      </c>
      <c r="G64" s="116">
        <v>30</v>
      </c>
      <c r="H64" s="117">
        <f t="shared" si="0"/>
        <v>1.0622101051588004E-3</v>
      </c>
      <c r="I64" s="118" t="str">
        <f t="shared" si="1"/>
        <v>AR</v>
      </c>
    </row>
    <row r="65" spans="1:9" x14ac:dyDescent="0.3">
      <c r="A65" s="115" t="s">
        <v>37</v>
      </c>
      <c r="B65" s="115" t="s">
        <v>153</v>
      </c>
      <c r="C65" s="115" t="s">
        <v>44</v>
      </c>
      <c r="D65" s="115" t="s">
        <v>127</v>
      </c>
      <c r="E65" s="115" t="s">
        <v>137</v>
      </c>
      <c r="F65" s="116">
        <v>13736</v>
      </c>
      <c r="G65" s="116">
        <v>21</v>
      </c>
      <c r="H65" s="117">
        <f t="shared" si="0"/>
        <v>1.5288293535235876E-3</v>
      </c>
      <c r="I65" s="118" t="str">
        <f t="shared" si="1"/>
        <v>AR</v>
      </c>
    </row>
    <row r="66" spans="1:9" x14ac:dyDescent="0.3">
      <c r="A66" s="115" t="s">
        <v>37</v>
      </c>
      <c r="B66" s="115" t="s">
        <v>154</v>
      </c>
      <c r="C66" s="115" t="s">
        <v>44</v>
      </c>
      <c r="D66" s="115" t="s">
        <v>127</v>
      </c>
      <c r="E66" s="115" t="s">
        <v>137</v>
      </c>
      <c r="F66" s="116">
        <v>8796</v>
      </c>
      <c r="G66" s="116">
        <v>22</v>
      </c>
      <c r="H66" s="117">
        <f t="shared" si="0"/>
        <v>2.5011368804001817E-3</v>
      </c>
      <c r="I66" s="118" t="str">
        <f t="shared" si="1"/>
        <v>AR</v>
      </c>
    </row>
    <row r="67" spans="1:9" x14ac:dyDescent="0.3">
      <c r="A67" s="115" t="s">
        <v>37</v>
      </c>
      <c r="B67" s="115" t="s">
        <v>154</v>
      </c>
      <c r="C67" s="115" t="s">
        <v>44</v>
      </c>
      <c r="D67" s="115" t="s">
        <v>127</v>
      </c>
      <c r="E67" s="115" t="s">
        <v>137</v>
      </c>
      <c r="F67" s="116">
        <v>21341</v>
      </c>
      <c r="G67" s="116">
        <v>36</v>
      </c>
      <c r="H67" s="117">
        <f t="shared" ref="H67:H130" si="2">G67/F67</f>
        <v>1.6868937725504896E-3</v>
      </c>
      <c r="I67" s="118" t="str">
        <f t="shared" ref="I67:I130" si="3">RIGHT(B67,2)</f>
        <v>AR</v>
      </c>
    </row>
    <row r="68" spans="1:9" x14ac:dyDescent="0.3">
      <c r="A68" s="115" t="s">
        <v>37</v>
      </c>
      <c r="B68" s="115" t="s">
        <v>154</v>
      </c>
      <c r="C68" s="115" t="s">
        <v>44</v>
      </c>
      <c r="D68" s="115" t="s">
        <v>127</v>
      </c>
      <c r="E68" s="115" t="s">
        <v>137</v>
      </c>
      <c r="F68" s="116">
        <v>25091</v>
      </c>
      <c r="G68" s="116">
        <v>42</v>
      </c>
      <c r="H68" s="117">
        <f t="shared" si="2"/>
        <v>1.6739069785979036E-3</v>
      </c>
      <c r="I68" s="118" t="str">
        <f t="shared" si="3"/>
        <v>AR</v>
      </c>
    </row>
    <row r="69" spans="1:9" x14ac:dyDescent="0.3">
      <c r="A69" s="115" t="s">
        <v>37</v>
      </c>
      <c r="B69" s="115" t="s">
        <v>154</v>
      </c>
      <c r="C69" s="115" t="s">
        <v>44</v>
      </c>
      <c r="D69" s="115" t="s">
        <v>127</v>
      </c>
      <c r="E69" s="115" t="s">
        <v>137</v>
      </c>
      <c r="F69" s="116">
        <v>28763</v>
      </c>
      <c r="G69" s="116">
        <v>34</v>
      </c>
      <c r="H69" s="117">
        <f t="shared" si="2"/>
        <v>1.1820741925390259E-3</v>
      </c>
      <c r="I69" s="118" t="str">
        <f t="shared" si="3"/>
        <v>AR</v>
      </c>
    </row>
    <row r="70" spans="1:9" x14ac:dyDescent="0.3">
      <c r="A70" s="115" t="s">
        <v>37</v>
      </c>
      <c r="B70" s="115" t="s">
        <v>154</v>
      </c>
      <c r="C70" s="115" t="s">
        <v>44</v>
      </c>
      <c r="D70" s="115" t="s">
        <v>127</v>
      </c>
      <c r="E70" s="115" t="s">
        <v>137</v>
      </c>
      <c r="F70" s="116">
        <v>59747</v>
      </c>
      <c r="G70" s="116">
        <v>53</v>
      </c>
      <c r="H70" s="117">
        <f t="shared" si="2"/>
        <v>8.870738279746263E-4</v>
      </c>
      <c r="I70" s="118" t="str">
        <f t="shared" si="3"/>
        <v>AR</v>
      </c>
    </row>
    <row r="71" spans="1:9" x14ac:dyDescent="0.3">
      <c r="A71" s="115" t="s">
        <v>37</v>
      </c>
      <c r="B71" s="115" t="s">
        <v>155</v>
      </c>
      <c r="C71" s="115" t="s">
        <v>44</v>
      </c>
      <c r="D71" s="115" t="s">
        <v>127</v>
      </c>
      <c r="E71" s="115" t="s">
        <v>137</v>
      </c>
      <c r="F71" s="116">
        <v>2493</v>
      </c>
      <c r="G71" s="116">
        <v>4</v>
      </c>
      <c r="H71" s="117">
        <f t="shared" si="2"/>
        <v>1.604492579221821E-3</v>
      </c>
      <c r="I71" s="118" t="str">
        <f t="shared" si="3"/>
        <v>AR</v>
      </c>
    </row>
    <row r="72" spans="1:9" x14ac:dyDescent="0.3">
      <c r="A72" s="115" t="s">
        <v>37</v>
      </c>
      <c r="B72" s="115" t="s">
        <v>155</v>
      </c>
      <c r="C72" s="115" t="s">
        <v>44</v>
      </c>
      <c r="D72" s="115" t="s">
        <v>127</v>
      </c>
      <c r="E72" s="115" t="s">
        <v>137</v>
      </c>
      <c r="F72" s="116">
        <v>8354</v>
      </c>
      <c r="G72" s="116">
        <v>7</v>
      </c>
      <c r="H72" s="117">
        <f t="shared" si="2"/>
        <v>8.379219535551831E-4</v>
      </c>
      <c r="I72" s="118" t="str">
        <f t="shared" si="3"/>
        <v>AR</v>
      </c>
    </row>
    <row r="73" spans="1:9" x14ac:dyDescent="0.3">
      <c r="A73" s="115" t="s">
        <v>37</v>
      </c>
      <c r="B73" s="115" t="s">
        <v>155</v>
      </c>
      <c r="C73" s="115" t="s">
        <v>44</v>
      </c>
      <c r="D73" s="115" t="s">
        <v>127</v>
      </c>
      <c r="E73" s="115" t="s">
        <v>137</v>
      </c>
      <c r="F73" s="116">
        <v>17341</v>
      </c>
      <c r="G73" s="116">
        <v>25</v>
      </c>
      <c r="H73" s="117">
        <f t="shared" si="2"/>
        <v>1.4416700305634046E-3</v>
      </c>
      <c r="I73" s="118" t="str">
        <f t="shared" si="3"/>
        <v>AR</v>
      </c>
    </row>
    <row r="74" spans="1:9" x14ac:dyDescent="0.3">
      <c r="A74" s="115" t="s">
        <v>37</v>
      </c>
      <c r="B74" s="115" t="s">
        <v>155</v>
      </c>
      <c r="C74" s="115" t="s">
        <v>44</v>
      </c>
      <c r="D74" s="115" t="s">
        <v>127</v>
      </c>
      <c r="E74" s="115" t="s">
        <v>137</v>
      </c>
      <c r="F74" s="116">
        <v>10798</v>
      </c>
      <c r="G74" s="116">
        <v>25</v>
      </c>
      <c r="H74" s="117">
        <f t="shared" si="2"/>
        <v>2.315243563622893E-3</v>
      </c>
      <c r="I74" s="118" t="str">
        <f t="shared" si="3"/>
        <v>AR</v>
      </c>
    </row>
    <row r="75" spans="1:9" x14ac:dyDescent="0.3">
      <c r="A75" s="115" t="s">
        <v>37</v>
      </c>
      <c r="B75" s="115" t="s">
        <v>155</v>
      </c>
      <c r="C75" s="115" t="s">
        <v>44</v>
      </c>
      <c r="D75" s="115" t="s">
        <v>127</v>
      </c>
      <c r="E75" s="115" t="s">
        <v>137</v>
      </c>
      <c r="F75" s="116">
        <v>13195</v>
      </c>
      <c r="G75" s="116">
        <v>35</v>
      </c>
      <c r="H75" s="117">
        <f t="shared" si="2"/>
        <v>2.6525198938992041E-3</v>
      </c>
      <c r="I75" s="118" t="str">
        <f t="shared" si="3"/>
        <v>AR</v>
      </c>
    </row>
    <row r="76" spans="1:9" x14ac:dyDescent="0.3">
      <c r="A76" s="115" t="s">
        <v>37</v>
      </c>
      <c r="B76" s="115" t="s">
        <v>156</v>
      </c>
      <c r="C76" s="115" t="s">
        <v>44</v>
      </c>
      <c r="D76" s="115" t="s">
        <v>127</v>
      </c>
      <c r="E76" s="115" t="s">
        <v>137</v>
      </c>
      <c r="F76" s="116">
        <v>108535</v>
      </c>
      <c r="G76" s="116">
        <v>209</v>
      </c>
      <c r="H76" s="117">
        <f t="shared" si="2"/>
        <v>1.9256461049431059E-3</v>
      </c>
      <c r="I76" s="118" t="str">
        <f t="shared" si="3"/>
        <v>AR</v>
      </c>
    </row>
    <row r="77" spans="1:9" x14ac:dyDescent="0.3">
      <c r="A77" s="115" t="s">
        <v>37</v>
      </c>
      <c r="B77" s="115" t="s">
        <v>156</v>
      </c>
      <c r="C77" s="115" t="s">
        <v>44</v>
      </c>
      <c r="D77" s="115" t="s">
        <v>127</v>
      </c>
      <c r="E77" s="115" t="s">
        <v>137</v>
      </c>
      <c r="F77" s="116">
        <v>152172</v>
      </c>
      <c r="G77" s="116">
        <v>307</v>
      </c>
      <c r="H77" s="117">
        <f t="shared" si="2"/>
        <v>2.0174539337065953E-3</v>
      </c>
      <c r="I77" s="118" t="str">
        <f t="shared" si="3"/>
        <v>AR</v>
      </c>
    </row>
    <row r="78" spans="1:9" x14ac:dyDescent="0.3">
      <c r="A78" s="115" t="s">
        <v>37</v>
      </c>
      <c r="B78" s="115" t="s">
        <v>156</v>
      </c>
      <c r="C78" s="115" t="s">
        <v>44</v>
      </c>
      <c r="D78" s="115" t="s">
        <v>127</v>
      </c>
      <c r="E78" s="115" t="s">
        <v>137</v>
      </c>
      <c r="F78" s="116">
        <v>78388</v>
      </c>
      <c r="G78" s="116">
        <v>142</v>
      </c>
      <c r="H78" s="117">
        <f t="shared" si="2"/>
        <v>1.8115017604735419E-3</v>
      </c>
      <c r="I78" s="118" t="str">
        <f t="shared" si="3"/>
        <v>AR</v>
      </c>
    </row>
    <row r="79" spans="1:9" x14ac:dyDescent="0.3">
      <c r="A79" s="115" t="s">
        <v>37</v>
      </c>
      <c r="B79" s="115" t="s">
        <v>156</v>
      </c>
      <c r="C79" s="115" t="s">
        <v>44</v>
      </c>
      <c r="D79" s="115" t="s">
        <v>127</v>
      </c>
      <c r="E79" s="115" t="s">
        <v>137</v>
      </c>
      <c r="F79" s="116">
        <v>145466</v>
      </c>
      <c r="G79" s="116">
        <v>178</v>
      </c>
      <c r="H79" s="117">
        <f t="shared" si="2"/>
        <v>1.2236536372760645E-3</v>
      </c>
      <c r="I79" s="118" t="str">
        <f t="shared" si="3"/>
        <v>AR</v>
      </c>
    </row>
    <row r="80" spans="1:9" x14ac:dyDescent="0.3">
      <c r="A80" s="115" t="s">
        <v>37</v>
      </c>
      <c r="B80" s="115" t="s">
        <v>156</v>
      </c>
      <c r="C80" s="115" t="s">
        <v>44</v>
      </c>
      <c r="D80" s="115" t="s">
        <v>127</v>
      </c>
      <c r="E80" s="115" t="s">
        <v>137</v>
      </c>
      <c r="F80" s="116">
        <v>110541</v>
      </c>
      <c r="G80" s="116">
        <v>166</v>
      </c>
      <c r="H80" s="117">
        <f t="shared" si="2"/>
        <v>1.5017052496358817E-3</v>
      </c>
      <c r="I80" s="118" t="str">
        <f t="shared" si="3"/>
        <v>AR</v>
      </c>
    </row>
    <row r="81" spans="1:9" x14ac:dyDescent="0.3">
      <c r="A81" s="115" t="s">
        <v>37</v>
      </c>
      <c r="B81" s="115" t="s">
        <v>157</v>
      </c>
      <c r="C81" s="115" t="s">
        <v>44</v>
      </c>
      <c r="D81" s="115" t="s">
        <v>127</v>
      </c>
      <c r="E81" s="115" t="s">
        <v>137</v>
      </c>
      <c r="F81" s="116">
        <v>3821</v>
      </c>
      <c r="G81" s="116">
        <v>4</v>
      </c>
      <c r="H81" s="117">
        <f t="shared" si="2"/>
        <v>1.0468463752944255E-3</v>
      </c>
      <c r="I81" s="118" t="str">
        <f t="shared" si="3"/>
        <v>AR</v>
      </c>
    </row>
    <row r="82" spans="1:9" x14ac:dyDescent="0.3">
      <c r="A82" s="115" t="s">
        <v>37</v>
      </c>
      <c r="B82" s="115" t="s">
        <v>157</v>
      </c>
      <c r="C82" s="115" t="s">
        <v>44</v>
      </c>
      <c r="D82" s="115" t="s">
        <v>127</v>
      </c>
      <c r="E82" s="115" t="s">
        <v>137</v>
      </c>
      <c r="F82" s="116">
        <v>3295</v>
      </c>
      <c r="G82" s="116">
        <v>2</v>
      </c>
      <c r="H82" s="117">
        <f t="shared" si="2"/>
        <v>6.0698027314112291E-4</v>
      </c>
      <c r="I82" s="118" t="str">
        <f t="shared" si="3"/>
        <v>AR</v>
      </c>
    </row>
    <row r="83" spans="1:9" x14ac:dyDescent="0.3">
      <c r="A83" s="115" t="s">
        <v>37</v>
      </c>
      <c r="B83" s="115" t="s">
        <v>157</v>
      </c>
      <c r="C83" s="115" t="s">
        <v>44</v>
      </c>
      <c r="D83" s="115" t="s">
        <v>127</v>
      </c>
      <c r="E83" s="115" t="s">
        <v>137</v>
      </c>
      <c r="F83" s="116">
        <v>4261</v>
      </c>
      <c r="G83" s="116">
        <v>6</v>
      </c>
      <c r="H83" s="117">
        <f t="shared" si="2"/>
        <v>1.4081201595869514E-3</v>
      </c>
      <c r="I83" s="118" t="str">
        <f t="shared" si="3"/>
        <v>AR</v>
      </c>
    </row>
    <row r="84" spans="1:9" x14ac:dyDescent="0.3">
      <c r="A84" s="115" t="s">
        <v>37</v>
      </c>
      <c r="B84" s="115" t="s">
        <v>157</v>
      </c>
      <c r="C84" s="115" t="s">
        <v>44</v>
      </c>
      <c r="D84" s="115" t="s">
        <v>127</v>
      </c>
      <c r="E84" s="115" t="s">
        <v>137</v>
      </c>
      <c r="F84" s="116">
        <v>5689</v>
      </c>
      <c r="G84" s="116">
        <v>1</v>
      </c>
      <c r="H84" s="117">
        <f t="shared" si="2"/>
        <v>1.7577781683951485E-4</v>
      </c>
      <c r="I84" s="118" t="str">
        <f t="shared" si="3"/>
        <v>AR</v>
      </c>
    </row>
    <row r="85" spans="1:9" x14ac:dyDescent="0.3">
      <c r="A85" s="115" t="s">
        <v>37</v>
      </c>
      <c r="B85" s="115" t="s">
        <v>157</v>
      </c>
      <c r="C85" s="115" t="s">
        <v>44</v>
      </c>
      <c r="D85" s="115" t="s">
        <v>127</v>
      </c>
      <c r="E85" s="115" t="s">
        <v>137</v>
      </c>
      <c r="F85" s="116">
        <v>3409</v>
      </c>
      <c r="G85" s="116">
        <v>2</v>
      </c>
      <c r="H85" s="117">
        <f t="shared" si="2"/>
        <v>5.8668231152830743E-4</v>
      </c>
      <c r="I85" s="118" t="str">
        <f t="shared" si="3"/>
        <v>AR</v>
      </c>
    </row>
    <row r="86" spans="1:9" x14ac:dyDescent="0.3">
      <c r="A86" s="115" t="s">
        <v>37</v>
      </c>
      <c r="B86" s="115" t="s">
        <v>158</v>
      </c>
      <c r="C86" s="115" t="s">
        <v>45</v>
      </c>
      <c r="D86" s="115" t="s">
        <v>127</v>
      </c>
      <c r="E86" s="115" t="s">
        <v>137</v>
      </c>
      <c r="F86" s="116">
        <v>18670</v>
      </c>
      <c r="G86" s="116">
        <v>3</v>
      </c>
      <c r="H86" s="117">
        <f t="shared" si="2"/>
        <v>1.6068559185859668E-4</v>
      </c>
      <c r="I86" s="118" t="str">
        <f t="shared" si="3"/>
        <v>AR</v>
      </c>
    </row>
    <row r="87" spans="1:9" x14ac:dyDescent="0.3">
      <c r="A87" s="115" t="s">
        <v>37</v>
      </c>
      <c r="B87" s="115" t="s">
        <v>158</v>
      </c>
      <c r="C87" s="115" t="s">
        <v>45</v>
      </c>
      <c r="D87" s="115" t="s">
        <v>127</v>
      </c>
      <c r="E87" s="115" t="s">
        <v>137</v>
      </c>
      <c r="F87" s="116">
        <v>41364</v>
      </c>
      <c r="G87" s="116">
        <v>0</v>
      </c>
      <c r="H87" s="117">
        <f t="shared" si="2"/>
        <v>0</v>
      </c>
      <c r="I87" s="118" t="str">
        <f t="shared" si="3"/>
        <v>AR</v>
      </c>
    </row>
    <row r="88" spans="1:9" x14ac:dyDescent="0.3">
      <c r="A88" s="115" t="s">
        <v>37</v>
      </c>
      <c r="B88" s="115" t="s">
        <v>158</v>
      </c>
      <c r="C88" s="115" t="s">
        <v>45</v>
      </c>
      <c r="D88" s="115" t="s">
        <v>127</v>
      </c>
      <c r="E88" s="115" t="s">
        <v>137</v>
      </c>
      <c r="F88" s="116">
        <v>32313</v>
      </c>
      <c r="G88" s="116">
        <v>1</v>
      </c>
      <c r="H88" s="117">
        <f t="shared" si="2"/>
        <v>3.0947296753628568E-5</v>
      </c>
      <c r="I88" s="118" t="str">
        <f t="shared" si="3"/>
        <v>AR</v>
      </c>
    </row>
    <row r="89" spans="1:9" x14ac:dyDescent="0.3">
      <c r="A89" s="115" t="s">
        <v>37</v>
      </c>
      <c r="B89" s="115" t="s">
        <v>158</v>
      </c>
      <c r="C89" s="115" t="s">
        <v>45</v>
      </c>
      <c r="D89" s="115" t="s">
        <v>127</v>
      </c>
      <c r="E89" s="115" t="s">
        <v>137</v>
      </c>
      <c r="F89" s="116">
        <v>40519</v>
      </c>
      <c r="G89" s="116">
        <v>16</v>
      </c>
      <c r="H89" s="117">
        <f t="shared" si="2"/>
        <v>3.9487647770181892E-4</v>
      </c>
      <c r="I89" s="118" t="str">
        <f t="shared" si="3"/>
        <v>AR</v>
      </c>
    </row>
    <row r="90" spans="1:9" x14ac:dyDescent="0.3">
      <c r="A90" s="115" t="s">
        <v>37</v>
      </c>
      <c r="B90" s="115" t="s">
        <v>158</v>
      </c>
      <c r="C90" s="115" t="s">
        <v>45</v>
      </c>
      <c r="D90" s="115" t="s">
        <v>127</v>
      </c>
      <c r="E90" s="115" t="s">
        <v>137</v>
      </c>
      <c r="F90" s="116">
        <v>26363</v>
      </c>
      <c r="G90" s="116">
        <v>10</v>
      </c>
      <c r="H90" s="117">
        <f t="shared" si="2"/>
        <v>3.7931950081553691E-4</v>
      </c>
      <c r="I90" s="118" t="str">
        <f t="shared" si="3"/>
        <v>AR</v>
      </c>
    </row>
    <row r="91" spans="1:9" x14ac:dyDescent="0.3">
      <c r="A91" s="115" t="s">
        <v>37</v>
      </c>
      <c r="B91" s="115" t="s">
        <v>159</v>
      </c>
      <c r="C91" s="115" t="s">
        <v>45</v>
      </c>
      <c r="D91" s="115" t="s">
        <v>127</v>
      </c>
      <c r="E91" s="115" t="s">
        <v>137</v>
      </c>
      <c r="F91" s="116">
        <v>27111</v>
      </c>
      <c r="G91" s="116">
        <v>23</v>
      </c>
      <c r="H91" s="117">
        <f t="shared" si="2"/>
        <v>8.4836413263988789E-4</v>
      </c>
      <c r="I91" s="118" t="str">
        <f t="shared" si="3"/>
        <v>AR</v>
      </c>
    </row>
    <row r="92" spans="1:9" x14ac:dyDescent="0.3">
      <c r="A92" s="115" t="s">
        <v>37</v>
      </c>
      <c r="B92" s="115" t="s">
        <v>159</v>
      </c>
      <c r="C92" s="115" t="s">
        <v>45</v>
      </c>
      <c r="D92" s="115" t="s">
        <v>127</v>
      </c>
      <c r="E92" s="115" t="s">
        <v>137</v>
      </c>
      <c r="F92" s="116">
        <v>24134</v>
      </c>
      <c r="G92" s="116">
        <v>42</v>
      </c>
      <c r="H92" s="117">
        <f t="shared" si="2"/>
        <v>1.7402834175851496E-3</v>
      </c>
      <c r="I92" s="118" t="str">
        <f t="shared" si="3"/>
        <v>AR</v>
      </c>
    </row>
    <row r="93" spans="1:9" x14ac:dyDescent="0.3">
      <c r="A93" s="115" t="s">
        <v>37</v>
      </c>
      <c r="B93" s="115" t="s">
        <v>159</v>
      </c>
      <c r="C93" s="115" t="s">
        <v>45</v>
      </c>
      <c r="D93" s="115" t="s">
        <v>127</v>
      </c>
      <c r="E93" s="115" t="s">
        <v>137</v>
      </c>
      <c r="F93" s="116">
        <v>41857</v>
      </c>
      <c r="G93" s="116">
        <v>79</v>
      </c>
      <c r="H93" s="117">
        <f t="shared" si="2"/>
        <v>1.8873784552165707E-3</v>
      </c>
      <c r="I93" s="118" t="str">
        <f t="shared" si="3"/>
        <v>AR</v>
      </c>
    </row>
    <row r="94" spans="1:9" x14ac:dyDescent="0.3">
      <c r="A94" s="115" t="s">
        <v>37</v>
      </c>
      <c r="B94" s="115" t="s">
        <v>159</v>
      </c>
      <c r="C94" s="115" t="s">
        <v>45</v>
      </c>
      <c r="D94" s="115" t="s">
        <v>127</v>
      </c>
      <c r="E94" s="115" t="s">
        <v>137</v>
      </c>
      <c r="F94" s="116">
        <v>38159</v>
      </c>
      <c r="G94" s="116">
        <v>63</v>
      </c>
      <c r="H94" s="117">
        <f t="shared" si="2"/>
        <v>1.6509866610760239E-3</v>
      </c>
      <c r="I94" s="118" t="str">
        <f t="shared" si="3"/>
        <v>AR</v>
      </c>
    </row>
    <row r="95" spans="1:9" x14ac:dyDescent="0.3">
      <c r="A95" s="115" t="s">
        <v>37</v>
      </c>
      <c r="B95" s="115" t="s">
        <v>159</v>
      </c>
      <c r="C95" s="115" t="s">
        <v>45</v>
      </c>
      <c r="D95" s="115" t="s">
        <v>127</v>
      </c>
      <c r="E95" s="115" t="s">
        <v>137</v>
      </c>
      <c r="F95" s="116">
        <v>27095</v>
      </c>
      <c r="G95" s="116">
        <v>45</v>
      </c>
      <c r="H95" s="117">
        <f t="shared" si="2"/>
        <v>1.6608230300793503E-3</v>
      </c>
      <c r="I95" s="118" t="str">
        <f t="shared" si="3"/>
        <v>AR</v>
      </c>
    </row>
    <row r="96" spans="1:9" x14ac:dyDescent="0.3">
      <c r="A96" s="115" t="s">
        <v>37</v>
      </c>
      <c r="B96" s="115" t="s">
        <v>160</v>
      </c>
      <c r="C96" s="115" t="s">
        <v>45</v>
      </c>
      <c r="D96" s="115" t="s">
        <v>127</v>
      </c>
      <c r="E96" s="115" t="s">
        <v>137</v>
      </c>
      <c r="F96" s="116">
        <v>6101</v>
      </c>
      <c r="G96" s="116">
        <v>41</v>
      </c>
      <c r="H96" s="117">
        <f t="shared" si="2"/>
        <v>6.7202098016718569E-3</v>
      </c>
      <c r="I96" s="118" t="str">
        <f t="shared" si="3"/>
        <v>AR</v>
      </c>
    </row>
    <row r="97" spans="1:9" x14ac:dyDescent="0.3">
      <c r="A97" s="115" t="s">
        <v>37</v>
      </c>
      <c r="B97" s="115" t="s">
        <v>160</v>
      </c>
      <c r="C97" s="115" t="s">
        <v>45</v>
      </c>
      <c r="D97" s="115" t="s">
        <v>127</v>
      </c>
      <c r="E97" s="115" t="s">
        <v>137</v>
      </c>
      <c r="F97" s="116">
        <v>34664</v>
      </c>
      <c r="G97" s="116">
        <v>173</v>
      </c>
      <c r="H97" s="117">
        <f t="shared" si="2"/>
        <v>4.990768520655435E-3</v>
      </c>
      <c r="I97" s="118" t="str">
        <f t="shared" si="3"/>
        <v>AR</v>
      </c>
    </row>
    <row r="98" spans="1:9" x14ac:dyDescent="0.3">
      <c r="A98" s="115" t="s">
        <v>37</v>
      </c>
      <c r="B98" s="115" t="s">
        <v>160</v>
      </c>
      <c r="C98" s="115" t="s">
        <v>45</v>
      </c>
      <c r="D98" s="115" t="s">
        <v>127</v>
      </c>
      <c r="E98" s="115" t="s">
        <v>137</v>
      </c>
      <c r="F98" s="116">
        <v>80293</v>
      </c>
      <c r="G98" s="116">
        <v>276</v>
      </c>
      <c r="H98" s="117">
        <f t="shared" si="2"/>
        <v>3.4374104841019765E-3</v>
      </c>
      <c r="I98" s="118" t="str">
        <f t="shared" si="3"/>
        <v>AR</v>
      </c>
    </row>
    <row r="99" spans="1:9" x14ac:dyDescent="0.3">
      <c r="A99" s="115" t="s">
        <v>37</v>
      </c>
      <c r="B99" s="115" t="s">
        <v>160</v>
      </c>
      <c r="C99" s="115" t="s">
        <v>45</v>
      </c>
      <c r="D99" s="115" t="s">
        <v>127</v>
      </c>
      <c r="E99" s="115" t="s">
        <v>137</v>
      </c>
      <c r="F99" s="116">
        <v>83994</v>
      </c>
      <c r="G99" s="116">
        <v>329</v>
      </c>
      <c r="H99" s="117">
        <f t="shared" si="2"/>
        <v>3.9169464485558489E-3</v>
      </c>
      <c r="I99" s="118" t="str">
        <f t="shared" si="3"/>
        <v>AR</v>
      </c>
    </row>
    <row r="100" spans="1:9" x14ac:dyDescent="0.3">
      <c r="A100" s="115" t="s">
        <v>37</v>
      </c>
      <c r="B100" s="115" t="s">
        <v>160</v>
      </c>
      <c r="C100" s="115" t="s">
        <v>45</v>
      </c>
      <c r="D100" s="115" t="s">
        <v>127</v>
      </c>
      <c r="E100" s="115" t="s">
        <v>137</v>
      </c>
      <c r="F100" s="116">
        <v>93489</v>
      </c>
      <c r="G100" s="116">
        <v>334</v>
      </c>
      <c r="H100" s="117">
        <f t="shared" si="2"/>
        <v>3.5726128207596614E-3</v>
      </c>
      <c r="I100" s="118" t="str">
        <f t="shared" si="3"/>
        <v>AR</v>
      </c>
    </row>
    <row r="101" spans="1:9" x14ac:dyDescent="0.3">
      <c r="A101" s="115" t="s">
        <v>37</v>
      </c>
      <c r="B101" s="115" t="s">
        <v>161</v>
      </c>
      <c r="C101" s="115" t="s">
        <v>45</v>
      </c>
      <c r="D101" s="115" t="s">
        <v>127</v>
      </c>
      <c r="E101" s="115" t="s">
        <v>137</v>
      </c>
      <c r="F101" s="116">
        <v>2219</v>
      </c>
      <c r="G101" s="116">
        <v>23</v>
      </c>
      <c r="H101" s="117">
        <f t="shared" si="2"/>
        <v>1.0365029292474088E-2</v>
      </c>
      <c r="I101" s="118" t="str">
        <f t="shared" si="3"/>
        <v>AR</v>
      </c>
    </row>
    <row r="102" spans="1:9" x14ac:dyDescent="0.3">
      <c r="A102" s="115" t="s">
        <v>37</v>
      </c>
      <c r="B102" s="115" t="s">
        <v>161</v>
      </c>
      <c r="C102" s="115" t="s">
        <v>45</v>
      </c>
      <c r="D102" s="115" t="s">
        <v>127</v>
      </c>
      <c r="E102" s="115" t="s">
        <v>137</v>
      </c>
      <c r="F102" s="116">
        <v>6723</v>
      </c>
      <c r="G102" s="116">
        <v>28</v>
      </c>
      <c r="H102" s="117">
        <f t="shared" si="2"/>
        <v>4.1648073776587831E-3</v>
      </c>
      <c r="I102" s="118" t="str">
        <f t="shared" si="3"/>
        <v>AR</v>
      </c>
    </row>
    <row r="103" spans="1:9" x14ac:dyDescent="0.3">
      <c r="A103" s="115" t="s">
        <v>37</v>
      </c>
      <c r="B103" s="115" t="s">
        <v>161</v>
      </c>
      <c r="C103" s="115" t="s">
        <v>45</v>
      </c>
      <c r="D103" s="115" t="s">
        <v>127</v>
      </c>
      <c r="E103" s="115" t="s">
        <v>137</v>
      </c>
      <c r="F103" s="116">
        <v>14386</v>
      </c>
      <c r="G103" s="116">
        <v>91</v>
      </c>
      <c r="H103" s="117">
        <f t="shared" si="2"/>
        <v>6.3255943278187126E-3</v>
      </c>
      <c r="I103" s="118" t="str">
        <f t="shared" si="3"/>
        <v>AR</v>
      </c>
    </row>
    <row r="104" spans="1:9" x14ac:dyDescent="0.3">
      <c r="A104" s="115" t="s">
        <v>37</v>
      </c>
      <c r="B104" s="115" t="s">
        <v>161</v>
      </c>
      <c r="C104" s="115" t="s">
        <v>45</v>
      </c>
      <c r="D104" s="115" t="s">
        <v>127</v>
      </c>
      <c r="E104" s="115" t="s">
        <v>137</v>
      </c>
      <c r="F104" s="116">
        <v>9269</v>
      </c>
      <c r="G104" s="116">
        <v>76</v>
      </c>
      <c r="H104" s="117">
        <f t="shared" si="2"/>
        <v>8.1993742582802884E-3</v>
      </c>
      <c r="I104" s="118" t="str">
        <f t="shared" si="3"/>
        <v>AR</v>
      </c>
    </row>
    <row r="105" spans="1:9" x14ac:dyDescent="0.3">
      <c r="A105" s="115" t="s">
        <v>37</v>
      </c>
      <c r="B105" s="115" t="s">
        <v>161</v>
      </c>
      <c r="C105" s="115" t="s">
        <v>45</v>
      </c>
      <c r="D105" s="115" t="s">
        <v>127</v>
      </c>
      <c r="E105" s="115" t="s">
        <v>137</v>
      </c>
      <c r="F105" s="116">
        <v>11104</v>
      </c>
      <c r="G105" s="116">
        <v>73</v>
      </c>
      <c r="H105" s="117">
        <f t="shared" si="2"/>
        <v>6.574207492795389E-3</v>
      </c>
      <c r="I105" s="118" t="str">
        <f t="shared" si="3"/>
        <v>AR</v>
      </c>
    </row>
    <row r="106" spans="1:9" x14ac:dyDescent="0.3">
      <c r="A106" s="115" t="s">
        <v>37</v>
      </c>
      <c r="B106" s="115" t="s">
        <v>162</v>
      </c>
      <c r="C106" s="115" t="s">
        <v>45</v>
      </c>
      <c r="D106" s="115" t="s">
        <v>127</v>
      </c>
      <c r="E106" s="115" t="s">
        <v>137</v>
      </c>
      <c r="F106" s="116">
        <v>85529</v>
      </c>
      <c r="G106" s="116">
        <v>355</v>
      </c>
      <c r="H106" s="117">
        <f t="shared" si="2"/>
        <v>4.1506389645617273E-3</v>
      </c>
      <c r="I106" s="118" t="str">
        <f t="shared" si="3"/>
        <v>AR</v>
      </c>
    </row>
    <row r="107" spans="1:9" x14ac:dyDescent="0.3">
      <c r="A107" s="115" t="s">
        <v>37</v>
      </c>
      <c r="B107" s="115" t="s">
        <v>162</v>
      </c>
      <c r="C107" s="115" t="s">
        <v>45</v>
      </c>
      <c r="D107" s="115" t="s">
        <v>127</v>
      </c>
      <c r="E107" s="115" t="s">
        <v>137</v>
      </c>
      <c r="F107" s="116">
        <v>117625</v>
      </c>
      <c r="G107" s="116">
        <v>590</v>
      </c>
      <c r="H107" s="117">
        <f t="shared" si="2"/>
        <v>5.0159404888416581E-3</v>
      </c>
      <c r="I107" s="118" t="str">
        <f t="shared" si="3"/>
        <v>AR</v>
      </c>
    </row>
    <row r="108" spans="1:9" x14ac:dyDescent="0.3">
      <c r="A108" s="115" t="s">
        <v>37</v>
      </c>
      <c r="B108" s="115" t="s">
        <v>162</v>
      </c>
      <c r="C108" s="115" t="s">
        <v>45</v>
      </c>
      <c r="D108" s="115" t="s">
        <v>127</v>
      </c>
      <c r="E108" s="115" t="s">
        <v>137</v>
      </c>
      <c r="F108" s="116">
        <v>60152</v>
      </c>
      <c r="G108" s="116">
        <v>253</v>
      </c>
      <c r="H108" s="117">
        <f t="shared" si="2"/>
        <v>4.2060114376911827E-3</v>
      </c>
      <c r="I108" s="118" t="str">
        <f t="shared" si="3"/>
        <v>AR</v>
      </c>
    </row>
    <row r="109" spans="1:9" x14ac:dyDescent="0.3">
      <c r="A109" s="115" t="s">
        <v>37</v>
      </c>
      <c r="B109" s="115" t="s">
        <v>162</v>
      </c>
      <c r="C109" s="115" t="s">
        <v>45</v>
      </c>
      <c r="D109" s="115" t="s">
        <v>127</v>
      </c>
      <c r="E109" s="115" t="s">
        <v>137</v>
      </c>
      <c r="F109" s="116">
        <v>113036</v>
      </c>
      <c r="G109" s="116">
        <v>309</v>
      </c>
      <c r="H109" s="117">
        <f t="shared" si="2"/>
        <v>2.733642379418946E-3</v>
      </c>
      <c r="I109" s="118" t="str">
        <f t="shared" si="3"/>
        <v>AR</v>
      </c>
    </row>
    <row r="110" spans="1:9" x14ac:dyDescent="0.3">
      <c r="A110" s="115" t="s">
        <v>37</v>
      </c>
      <c r="B110" s="115" t="s">
        <v>162</v>
      </c>
      <c r="C110" s="115" t="s">
        <v>45</v>
      </c>
      <c r="D110" s="115" t="s">
        <v>127</v>
      </c>
      <c r="E110" s="115" t="s">
        <v>137</v>
      </c>
      <c r="F110" s="116">
        <v>86268</v>
      </c>
      <c r="G110" s="116">
        <v>267</v>
      </c>
      <c r="H110" s="117">
        <f t="shared" si="2"/>
        <v>3.0950062595632216E-3</v>
      </c>
      <c r="I110" s="118" t="str">
        <f t="shared" si="3"/>
        <v>AR</v>
      </c>
    </row>
    <row r="111" spans="1:9" x14ac:dyDescent="0.3">
      <c r="A111" s="115" t="s">
        <v>37</v>
      </c>
      <c r="B111" s="115" t="s">
        <v>163</v>
      </c>
      <c r="C111" s="115" t="s">
        <v>45</v>
      </c>
      <c r="D111" s="115" t="s">
        <v>127</v>
      </c>
      <c r="E111" s="115" t="s">
        <v>137</v>
      </c>
      <c r="F111" s="116">
        <v>78477</v>
      </c>
      <c r="G111" s="116">
        <v>254</v>
      </c>
      <c r="H111" s="117">
        <f t="shared" si="2"/>
        <v>3.2366170980032368E-3</v>
      </c>
      <c r="I111" s="118" t="str">
        <f t="shared" si="3"/>
        <v>AR</v>
      </c>
    </row>
    <row r="112" spans="1:9" x14ac:dyDescent="0.3">
      <c r="A112" s="115" t="s">
        <v>37</v>
      </c>
      <c r="B112" s="115" t="s">
        <v>163</v>
      </c>
      <c r="C112" s="115" t="s">
        <v>45</v>
      </c>
      <c r="D112" s="115" t="s">
        <v>127</v>
      </c>
      <c r="E112" s="115" t="s">
        <v>137</v>
      </c>
      <c r="F112" s="116">
        <v>167594</v>
      </c>
      <c r="G112" s="116">
        <v>544</v>
      </c>
      <c r="H112" s="117">
        <f t="shared" si="2"/>
        <v>3.2459395921095027E-3</v>
      </c>
      <c r="I112" s="118" t="str">
        <f t="shared" si="3"/>
        <v>AR</v>
      </c>
    </row>
    <row r="113" spans="1:9" x14ac:dyDescent="0.3">
      <c r="A113" s="115" t="s">
        <v>37</v>
      </c>
      <c r="B113" s="115" t="s">
        <v>163</v>
      </c>
      <c r="C113" s="115" t="s">
        <v>45</v>
      </c>
      <c r="D113" s="115" t="s">
        <v>127</v>
      </c>
      <c r="E113" s="115" t="s">
        <v>137</v>
      </c>
      <c r="F113" s="116">
        <v>215887</v>
      </c>
      <c r="G113" s="116">
        <v>528</v>
      </c>
      <c r="H113" s="117">
        <f t="shared" si="2"/>
        <v>2.4457239203842752E-3</v>
      </c>
      <c r="I113" s="118" t="str">
        <f t="shared" si="3"/>
        <v>AR</v>
      </c>
    </row>
    <row r="114" spans="1:9" x14ac:dyDescent="0.3">
      <c r="A114" s="115" t="s">
        <v>37</v>
      </c>
      <c r="B114" s="115" t="s">
        <v>163</v>
      </c>
      <c r="C114" s="115" t="s">
        <v>45</v>
      </c>
      <c r="D114" s="115" t="s">
        <v>127</v>
      </c>
      <c r="E114" s="115" t="s">
        <v>137</v>
      </c>
      <c r="F114" s="116">
        <v>81747</v>
      </c>
      <c r="G114" s="116">
        <v>169</v>
      </c>
      <c r="H114" s="117">
        <f t="shared" si="2"/>
        <v>2.0673541536692479E-3</v>
      </c>
      <c r="I114" s="118" t="str">
        <f t="shared" si="3"/>
        <v>AR</v>
      </c>
    </row>
    <row r="115" spans="1:9" x14ac:dyDescent="0.3">
      <c r="A115" s="115" t="s">
        <v>37</v>
      </c>
      <c r="B115" s="115" t="s">
        <v>163</v>
      </c>
      <c r="C115" s="115" t="s">
        <v>45</v>
      </c>
      <c r="D115" s="115" t="s">
        <v>127</v>
      </c>
      <c r="E115" s="115" t="s">
        <v>137</v>
      </c>
      <c r="F115" s="116">
        <v>71188</v>
      </c>
      <c r="G115" s="116">
        <v>201</v>
      </c>
      <c r="H115" s="117">
        <f t="shared" si="2"/>
        <v>2.8235095802663372E-3</v>
      </c>
      <c r="I115" s="118" t="str">
        <f t="shared" si="3"/>
        <v>AR</v>
      </c>
    </row>
    <row r="116" spans="1:9" x14ac:dyDescent="0.3">
      <c r="A116" s="115" t="s">
        <v>37</v>
      </c>
      <c r="B116" s="115" t="s">
        <v>164</v>
      </c>
      <c r="C116" s="115" t="s">
        <v>44</v>
      </c>
      <c r="D116" s="115" t="s">
        <v>127</v>
      </c>
      <c r="E116" s="115" t="s">
        <v>128</v>
      </c>
      <c r="F116" s="116">
        <v>1</v>
      </c>
      <c r="G116" s="116">
        <v>0</v>
      </c>
      <c r="H116" s="117">
        <f t="shared" si="2"/>
        <v>0</v>
      </c>
      <c r="I116" s="118" t="str">
        <f t="shared" si="3"/>
        <v>AR</v>
      </c>
    </row>
    <row r="117" spans="1:9" x14ac:dyDescent="0.3">
      <c r="A117" s="115" t="s">
        <v>165</v>
      </c>
      <c r="B117" s="115" t="s">
        <v>166</v>
      </c>
      <c r="C117" s="115" t="s">
        <v>45</v>
      </c>
      <c r="D117" s="115" t="s">
        <v>150</v>
      </c>
      <c r="E117" s="115" t="s">
        <v>151</v>
      </c>
      <c r="F117" s="116">
        <v>1</v>
      </c>
      <c r="G117" s="116">
        <v>0</v>
      </c>
      <c r="H117" s="117">
        <f t="shared" si="2"/>
        <v>0</v>
      </c>
      <c r="I117" s="118" t="str">
        <f t="shared" si="3"/>
        <v>AR</v>
      </c>
    </row>
    <row r="118" spans="1:9" x14ac:dyDescent="0.3">
      <c r="A118" s="115" t="s">
        <v>167</v>
      </c>
      <c r="B118" s="115" t="s">
        <v>168</v>
      </c>
      <c r="C118" s="115" t="s">
        <v>44</v>
      </c>
      <c r="D118" s="115" t="s">
        <v>127</v>
      </c>
      <c r="E118" s="115" t="s">
        <v>137</v>
      </c>
      <c r="F118" s="116">
        <v>3481</v>
      </c>
      <c r="G118" s="116">
        <v>3</v>
      </c>
      <c r="H118" s="117">
        <f t="shared" si="2"/>
        <v>8.6182131571387532E-4</v>
      </c>
      <c r="I118" s="118" t="str">
        <f t="shared" si="3"/>
        <v>AR</v>
      </c>
    </row>
    <row r="119" spans="1:9" x14ac:dyDescent="0.3">
      <c r="A119" s="115" t="s">
        <v>167</v>
      </c>
      <c r="B119" s="115" t="s">
        <v>168</v>
      </c>
      <c r="C119" s="115" t="s">
        <v>44</v>
      </c>
      <c r="D119" s="115" t="s">
        <v>127</v>
      </c>
      <c r="E119" s="115" t="s">
        <v>137</v>
      </c>
      <c r="F119" s="116">
        <v>7725</v>
      </c>
      <c r="G119" s="116">
        <v>11</v>
      </c>
      <c r="H119" s="117">
        <f t="shared" si="2"/>
        <v>1.4239482200647249E-3</v>
      </c>
      <c r="I119" s="118" t="str">
        <f t="shared" si="3"/>
        <v>AR</v>
      </c>
    </row>
    <row r="120" spans="1:9" x14ac:dyDescent="0.3">
      <c r="A120" s="115" t="s">
        <v>167</v>
      </c>
      <c r="B120" s="115" t="s">
        <v>168</v>
      </c>
      <c r="C120" s="115" t="s">
        <v>44</v>
      </c>
      <c r="D120" s="115" t="s">
        <v>127</v>
      </c>
      <c r="E120" s="115" t="s">
        <v>137</v>
      </c>
      <c r="F120" s="116">
        <v>8068</v>
      </c>
      <c r="G120" s="116">
        <v>12</v>
      </c>
      <c r="H120" s="117">
        <f t="shared" si="2"/>
        <v>1.4873574615765989E-3</v>
      </c>
      <c r="I120" s="118" t="str">
        <f t="shared" si="3"/>
        <v>AR</v>
      </c>
    </row>
    <row r="121" spans="1:9" x14ac:dyDescent="0.3">
      <c r="A121" s="115" t="s">
        <v>167</v>
      </c>
      <c r="B121" s="115" t="s">
        <v>168</v>
      </c>
      <c r="C121" s="115" t="s">
        <v>44</v>
      </c>
      <c r="D121" s="115" t="s">
        <v>127</v>
      </c>
      <c r="E121" s="115" t="s">
        <v>137</v>
      </c>
      <c r="F121" s="116">
        <v>4990</v>
      </c>
      <c r="G121" s="116">
        <v>6</v>
      </c>
      <c r="H121" s="117">
        <f t="shared" si="2"/>
        <v>1.2024048096192384E-3</v>
      </c>
      <c r="I121" s="118" t="str">
        <f t="shared" si="3"/>
        <v>AR</v>
      </c>
    </row>
    <row r="122" spans="1:9" x14ac:dyDescent="0.3">
      <c r="A122" s="115" t="s">
        <v>167</v>
      </c>
      <c r="B122" s="115" t="s">
        <v>168</v>
      </c>
      <c r="C122" s="115" t="s">
        <v>44</v>
      </c>
      <c r="D122" s="115" t="s">
        <v>127</v>
      </c>
      <c r="E122" s="115" t="s">
        <v>137</v>
      </c>
      <c r="F122" s="116">
        <v>6808</v>
      </c>
      <c r="G122" s="116">
        <v>7</v>
      </c>
      <c r="H122" s="117">
        <f t="shared" si="2"/>
        <v>1.0282021151586369E-3</v>
      </c>
      <c r="I122" s="118" t="str">
        <f t="shared" si="3"/>
        <v>AR</v>
      </c>
    </row>
    <row r="123" spans="1:9" x14ac:dyDescent="0.3">
      <c r="A123" s="115" t="s">
        <v>167</v>
      </c>
      <c r="B123" s="115" t="s">
        <v>169</v>
      </c>
      <c r="C123" s="115" t="s">
        <v>44</v>
      </c>
      <c r="D123" s="115" t="s">
        <v>127</v>
      </c>
      <c r="E123" s="115" t="s">
        <v>137</v>
      </c>
      <c r="F123" s="116">
        <v>19873</v>
      </c>
      <c r="G123" s="116">
        <v>32</v>
      </c>
      <c r="H123" s="117">
        <f t="shared" si="2"/>
        <v>1.6102249282946711E-3</v>
      </c>
      <c r="I123" s="118" t="str">
        <f t="shared" si="3"/>
        <v>AR</v>
      </c>
    </row>
    <row r="124" spans="1:9" x14ac:dyDescent="0.3">
      <c r="A124" s="115" t="s">
        <v>167</v>
      </c>
      <c r="B124" s="115" t="s">
        <v>169</v>
      </c>
      <c r="C124" s="115" t="s">
        <v>44</v>
      </c>
      <c r="D124" s="115" t="s">
        <v>127</v>
      </c>
      <c r="E124" s="115" t="s">
        <v>137</v>
      </c>
      <c r="F124" s="116">
        <v>44971</v>
      </c>
      <c r="G124" s="116">
        <v>75</v>
      </c>
      <c r="H124" s="117">
        <f t="shared" si="2"/>
        <v>1.6677414333681707E-3</v>
      </c>
      <c r="I124" s="118" t="str">
        <f t="shared" si="3"/>
        <v>AR</v>
      </c>
    </row>
    <row r="125" spans="1:9" x14ac:dyDescent="0.3">
      <c r="A125" s="115" t="s">
        <v>167</v>
      </c>
      <c r="B125" s="115" t="s">
        <v>169</v>
      </c>
      <c r="C125" s="115" t="s">
        <v>44</v>
      </c>
      <c r="D125" s="115" t="s">
        <v>127</v>
      </c>
      <c r="E125" s="115" t="s">
        <v>137</v>
      </c>
      <c r="F125" s="116">
        <v>34446</v>
      </c>
      <c r="G125" s="116">
        <v>76</v>
      </c>
      <c r="H125" s="117">
        <f t="shared" si="2"/>
        <v>2.2063519712013004E-3</v>
      </c>
      <c r="I125" s="118" t="str">
        <f t="shared" si="3"/>
        <v>AR</v>
      </c>
    </row>
    <row r="126" spans="1:9" x14ac:dyDescent="0.3">
      <c r="A126" s="115" t="s">
        <v>167</v>
      </c>
      <c r="B126" s="115" t="s">
        <v>169</v>
      </c>
      <c r="C126" s="115" t="s">
        <v>44</v>
      </c>
      <c r="D126" s="115" t="s">
        <v>127</v>
      </c>
      <c r="E126" s="115" t="s">
        <v>137</v>
      </c>
      <c r="F126" s="116">
        <v>32770</v>
      </c>
      <c r="G126" s="116">
        <v>55</v>
      </c>
      <c r="H126" s="117">
        <f t="shared" si="2"/>
        <v>1.6783643576441867E-3</v>
      </c>
      <c r="I126" s="118" t="str">
        <f t="shared" si="3"/>
        <v>AR</v>
      </c>
    </row>
    <row r="127" spans="1:9" x14ac:dyDescent="0.3">
      <c r="A127" s="115" t="s">
        <v>167</v>
      </c>
      <c r="B127" s="115" t="s">
        <v>169</v>
      </c>
      <c r="C127" s="115" t="s">
        <v>44</v>
      </c>
      <c r="D127" s="115" t="s">
        <v>127</v>
      </c>
      <c r="E127" s="115" t="s">
        <v>137</v>
      </c>
      <c r="F127" s="116">
        <v>99937</v>
      </c>
      <c r="G127" s="116">
        <v>99</v>
      </c>
      <c r="H127" s="117">
        <f t="shared" si="2"/>
        <v>9.9062409317870266E-4</v>
      </c>
      <c r="I127" s="118" t="str">
        <f t="shared" si="3"/>
        <v>AR</v>
      </c>
    </row>
    <row r="128" spans="1:9" x14ac:dyDescent="0.3">
      <c r="A128" s="115" t="s">
        <v>167</v>
      </c>
      <c r="B128" s="115" t="s">
        <v>170</v>
      </c>
      <c r="C128" s="115" t="s">
        <v>44</v>
      </c>
      <c r="D128" s="115" t="s">
        <v>127</v>
      </c>
      <c r="E128" s="115" t="s">
        <v>137</v>
      </c>
      <c r="F128" s="116">
        <v>3164</v>
      </c>
      <c r="G128" s="116">
        <v>8</v>
      </c>
      <c r="H128" s="117">
        <f t="shared" si="2"/>
        <v>2.5284450063211127E-3</v>
      </c>
      <c r="I128" s="118" t="str">
        <f t="shared" si="3"/>
        <v>AR</v>
      </c>
    </row>
    <row r="129" spans="1:9" x14ac:dyDescent="0.3">
      <c r="A129" s="115" t="s">
        <v>167</v>
      </c>
      <c r="B129" s="115" t="s">
        <v>170</v>
      </c>
      <c r="C129" s="115" t="s">
        <v>44</v>
      </c>
      <c r="D129" s="115" t="s">
        <v>127</v>
      </c>
      <c r="E129" s="115" t="s">
        <v>137</v>
      </c>
      <c r="F129" s="116">
        <v>7724</v>
      </c>
      <c r="G129" s="116">
        <v>19</v>
      </c>
      <c r="H129" s="117">
        <f t="shared" si="2"/>
        <v>2.4598653547384776E-3</v>
      </c>
      <c r="I129" s="118" t="str">
        <f t="shared" si="3"/>
        <v>AR</v>
      </c>
    </row>
    <row r="130" spans="1:9" x14ac:dyDescent="0.3">
      <c r="A130" s="115" t="s">
        <v>167</v>
      </c>
      <c r="B130" s="115" t="s">
        <v>170</v>
      </c>
      <c r="C130" s="115" t="s">
        <v>44</v>
      </c>
      <c r="D130" s="115" t="s">
        <v>127</v>
      </c>
      <c r="E130" s="115" t="s">
        <v>137</v>
      </c>
      <c r="F130" s="116">
        <v>6592</v>
      </c>
      <c r="G130" s="116">
        <v>18</v>
      </c>
      <c r="H130" s="117">
        <f t="shared" si="2"/>
        <v>2.7305825242718447E-3</v>
      </c>
      <c r="I130" s="118" t="str">
        <f t="shared" si="3"/>
        <v>AR</v>
      </c>
    </row>
    <row r="131" spans="1:9" x14ac:dyDescent="0.3">
      <c r="A131" s="115" t="s">
        <v>167</v>
      </c>
      <c r="B131" s="115" t="s">
        <v>170</v>
      </c>
      <c r="C131" s="115" t="s">
        <v>44</v>
      </c>
      <c r="D131" s="115" t="s">
        <v>127</v>
      </c>
      <c r="E131" s="115" t="s">
        <v>137</v>
      </c>
      <c r="F131" s="116">
        <v>5632</v>
      </c>
      <c r="G131" s="116">
        <v>11</v>
      </c>
      <c r="H131" s="117">
        <f t="shared" ref="H131:H194" si="4">G131/F131</f>
        <v>1.953125E-3</v>
      </c>
      <c r="I131" s="118" t="str">
        <f t="shared" ref="I131:I194" si="5">RIGHT(B131,2)</f>
        <v>AR</v>
      </c>
    </row>
    <row r="132" spans="1:9" x14ac:dyDescent="0.3">
      <c r="A132" s="115" t="s">
        <v>167</v>
      </c>
      <c r="B132" s="115" t="s">
        <v>170</v>
      </c>
      <c r="C132" s="115" t="s">
        <v>44</v>
      </c>
      <c r="D132" s="115" t="s">
        <v>127</v>
      </c>
      <c r="E132" s="115" t="s">
        <v>137</v>
      </c>
      <c r="F132" s="116">
        <v>5449</v>
      </c>
      <c r="G132" s="116">
        <v>14</v>
      </c>
      <c r="H132" s="117">
        <f t="shared" si="4"/>
        <v>2.5692787667461921E-3</v>
      </c>
      <c r="I132" s="118" t="str">
        <f t="shared" si="5"/>
        <v>AR</v>
      </c>
    </row>
    <row r="133" spans="1:9" x14ac:dyDescent="0.3">
      <c r="A133" s="115" t="s">
        <v>167</v>
      </c>
      <c r="B133" s="115" t="s">
        <v>171</v>
      </c>
      <c r="C133" s="115" t="s">
        <v>44</v>
      </c>
      <c r="D133" s="115" t="s">
        <v>127</v>
      </c>
      <c r="E133" s="115" t="s">
        <v>137</v>
      </c>
      <c r="F133" s="116">
        <v>3835</v>
      </c>
      <c r="G133" s="116">
        <v>8</v>
      </c>
      <c r="H133" s="117">
        <f t="shared" si="4"/>
        <v>2.0860495436766623E-3</v>
      </c>
      <c r="I133" s="118" t="str">
        <f t="shared" si="5"/>
        <v>AR</v>
      </c>
    </row>
    <row r="134" spans="1:9" x14ac:dyDescent="0.3">
      <c r="A134" s="115" t="s">
        <v>167</v>
      </c>
      <c r="B134" s="115" t="s">
        <v>171</v>
      </c>
      <c r="C134" s="115" t="s">
        <v>44</v>
      </c>
      <c r="D134" s="115" t="s">
        <v>127</v>
      </c>
      <c r="E134" s="115" t="s">
        <v>137</v>
      </c>
      <c r="F134" s="116">
        <v>8957</v>
      </c>
      <c r="G134" s="116">
        <v>7</v>
      </c>
      <c r="H134" s="117">
        <f t="shared" si="4"/>
        <v>7.8151166685274092E-4</v>
      </c>
      <c r="I134" s="118" t="str">
        <f t="shared" si="5"/>
        <v>AR</v>
      </c>
    </row>
    <row r="135" spans="1:9" x14ac:dyDescent="0.3">
      <c r="A135" s="115" t="s">
        <v>167</v>
      </c>
      <c r="B135" s="115" t="s">
        <v>171</v>
      </c>
      <c r="C135" s="115" t="s">
        <v>44</v>
      </c>
      <c r="D135" s="115" t="s">
        <v>127</v>
      </c>
      <c r="E135" s="115" t="s">
        <v>137</v>
      </c>
      <c r="F135" s="116">
        <v>9050</v>
      </c>
      <c r="G135" s="116">
        <v>7</v>
      </c>
      <c r="H135" s="117">
        <f t="shared" si="4"/>
        <v>7.7348066298342543E-4</v>
      </c>
      <c r="I135" s="118" t="str">
        <f t="shared" si="5"/>
        <v>AR</v>
      </c>
    </row>
    <row r="136" spans="1:9" x14ac:dyDescent="0.3">
      <c r="A136" s="115" t="s">
        <v>167</v>
      </c>
      <c r="B136" s="115" t="s">
        <v>171</v>
      </c>
      <c r="C136" s="115" t="s">
        <v>44</v>
      </c>
      <c r="D136" s="115" t="s">
        <v>127</v>
      </c>
      <c r="E136" s="115" t="s">
        <v>137</v>
      </c>
      <c r="F136" s="116">
        <v>3881</v>
      </c>
      <c r="G136" s="116">
        <v>7</v>
      </c>
      <c r="H136" s="117">
        <f t="shared" si="4"/>
        <v>1.8036588508116465E-3</v>
      </c>
      <c r="I136" s="118" t="str">
        <f t="shared" si="5"/>
        <v>AR</v>
      </c>
    </row>
    <row r="137" spans="1:9" x14ac:dyDescent="0.3">
      <c r="A137" s="115" t="s">
        <v>167</v>
      </c>
      <c r="B137" s="115" t="s">
        <v>171</v>
      </c>
      <c r="C137" s="115" t="s">
        <v>44</v>
      </c>
      <c r="D137" s="115" t="s">
        <v>127</v>
      </c>
      <c r="E137" s="115" t="s">
        <v>137</v>
      </c>
      <c r="F137" s="116">
        <v>7272</v>
      </c>
      <c r="G137" s="116">
        <v>7</v>
      </c>
      <c r="H137" s="117">
        <f t="shared" si="4"/>
        <v>9.6259625962596257E-4</v>
      </c>
      <c r="I137" s="118" t="str">
        <f t="shared" si="5"/>
        <v>AR</v>
      </c>
    </row>
    <row r="138" spans="1:9" x14ac:dyDescent="0.3">
      <c r="A138" s="115" t="s">
        <v>167</v>
      </c>
      <c r="B138" s="115" t="s">
        <v>172</v>
      </c>
      <c r="C138" s="115" t="s">
        <v>44</v>
      </c>
      <c r="D138" s="115" t="s">
        <v>127</v>
      </c>
      <c r="E138" s="115" t="s">
        <v>137</v>
      </c>
      <c r="F138" s="116">
        <v>3099</v>
      </c>
      <c r="G138" s="116">
        <v>8</v>
      </c>
      <c r="H138" s="117">
        <f t="shared" si="4"/>
        <v>2.5814778960955146E-3</v>
      </c>
      <c r="I138" s="118" t="str">
        <f t="shared" si="5"/>
        <v>AR</v>
      </c>
    </row>
    <row r="139" spans="1:9" x14ac:dyDescent="0.3">
      <c r="A139" s="115" t="s">
        <v>167</v>
      </c>
      <c r="B139" s="115" t="s">
        <v>172</v>
      </c>
      <c r="C139" s="115" t="s">
        <v>44</v>
      </c>
      <c r="D139" s="115" t="s">
        <v>127</v>
      </c>
      <c r="E139" s="115" t="s">
        <v>137</v>
      </c>
      <c r="F139" s="116">
        <v>6788</v>
      </c>
      <c r="G139" s="116">
        <v>7</v>
      </c>
      <c r="H139" s="117">
        <f t="shared" si="4"/>
        <v>1.0312315851502651E-3</v>
      </c>
      <c r="I139" s="118" t="str">
        <f t="shared" si="5"/>
        <v>AR</v>
      </c>
    </row>
    <row r="140" spans="1:9" x14ac:dyDescent="0.3">
      <c r="A140" s="115" t="s">
        <v>167</v>
      </c>
      <c r="B140" s="115" t="s">
        <v>172</v>
      </c>
      <c r="C140" s="115" t="s">
        <v>44</v>
      </c>
      <c r="D140" s="115" t="s">
        <v>127</v>
      </c>
      <c r="E140" s="115" t="s">
        <v>137</v>
      </c>
      <c r="F140" s="116">
        <v>3668</v>
      </c>
      <c r="G140" s="116">
        <v>2</v>
      </c>
      <c r="H140" s="117">
        <f t="shared" si="4"/>
        <v>5.4525627044711017E-4</v>
      </c>
      <c r="I140" s="118" t="str">
        <f t="shared" si="5"/>
        <v>AR</v>
      </c>
    </row>
    <row r="141" spans="1:9" x14ac:dyDescent="0.3">
      <c r="A141" s="115" t="s">
        <v>167</v>
      </c>
      <c r="B141" s="115" t="s">
        <v>172</v>
      </c>
      <c r="C141" s="115" t="s">
        <v>44</v>
      </c>
      <c r="D141" s="115" t="s">
        <v>127</v>
      </c>
      <c r="E141" s="115" t="s">
        <v>137</v>
      </c>
      <c r="F141" s="116">
        <v>827</v>
      </c>
      <c r="G141" s="116">
        <v>0</v>
      </c>
      <c r="H141" s="117">
        <f t="shared" si="4"/>
        <v>0</v>
      </c>
      <c r="I141" s="118" t="str">
        <f t="shared" si="5"/>
        <v>AR</v>
      </c>
    </row>
    <row r="142" spans="1:9" x14ac:dyDescent="0.3">
      <c r="A142" s="115" t="s">
        <v>167</v>
      </c>
      <c r="B142" s="115" t="s">
        <v>172</v>
      </c>
      <c r="C142" s="115" t="s">
        <v>44</v>
      </c>
      <c r="D142" s="115" t="s">
        <v>127</v>
      </c>
      <c r="E142" s="115" t="s">
        <v>137</v>
      </c>
      <c r="F142" s="116">
        <v>6578</v>
      </c>
      <c r="G142" s="116">
        <v>6</v>
      </c>
      <c r="H142" s="117">
        <f t="shared" si="4"/>
        <v>9.1213134691395562E-4</v>
      </c>
      <c r="I142" s="118" t="str">
        <f t="shared" si="5"/>
        <v>AR</v>
      </c>
    </row>
    <row r="143" spans="1:9" x14ac:dyDescent="0.3">
      <c r="A143" s="115" t="s">
        <v>167</v>
      </c>
      <c r="B143" s="115" t="s">
        <v>173</v>
      </c>
      <c r="C143" s="115" t="s">
        <v>44</v>
      </c>
      <c r="D143" s="115" t="s">
        <v>127</v>
      </c>
      <c r="E143" s="115" t="s">
        <v>137</v>
      </c>
      <c r="F143" s="116">
        <v>21230</v>
      </c>
      <c r="G143" s="116">
        <v>20</v>
      </c>
      <c r="H143" s="117">
        <f t="shared" si="4"/>
        <v>9.4206311822892137E-4</v>
      </c>
      <c r="I143" s="118" t="str">
        <f t="shared" si="5"/>
        <v>AR</v>
      </c>
    </row>
    <row r="144" spans="1:9" x14ac:dyDescent="0.3">
      <c r="A144" s="115" t="s">
        <v>167</v>
      </c>
      <c r="B144" s="115" t="s">
        <v>173</v>
      </c>
      <c r="C144" s="115" t="s">
        <v>44</v>
      </c>
      <c r="D144" s="115" t="s">
        <v>127</v>
      </c>
      <c r="E144" s="115" t="s">
        <v>137</v>
      </c>
      <c r="F144" s="116">
        <v>49913</v>
      </c>
      <c r="G144" s="116">
        <v>55</v>
      </c>
      <c r="H144" s="117">
        <f t="shared" si="4"/>
        <v>1.1019173361649271E-3</v>
      </c>
      <c r="I144" s="118" t="str">
        <f t="shared" si="5"/>
        <v>AR</v>
      </c>
    </row>
    <row r="145" spans="1:9" x14ac:dyDescent="0.3">
      <c r="A145" s="115" t="s">
        <v>167</v>
      </c>
      <c r="B145" s="115" t="s">
        <v>173</v>
      </c>
      <c r="C145" s="115" t="s">
        <v>44</v>
      </c>
      <c r="D145" s="115" t="s">
        <v>127</v>
      </c>
      <c r="E145" s="115" t="s">
        <v>137</v>
      </c>
      <c r="F145" s="116">
        <v>39904</v>
      </c>
      <c r="G145" s="116">
        <v>41</v>
      </c>
      <c r="H145" s="117">
        <f t="shared" si="4"/>
        <v>1.0274659182036888E-3</v>
      </c>
      <c r="I145" s="118" t="str">
        <f t="shared" si="5"/>
        <v>AR</v>
      </c>
    </row>
    <row r="146" spans="1:9" x14ac:dyDescent="0.3">
      <c r="A146" s="115" t="s">
        <v>167</v>
      </c>
      <c r="B146" s="115" t="s">
        <v>173</v>
      </c>
      <c r="C146" s="115" t="s">
        <v>44</v>
      </c>
      <c r="D146" s="115" t="s">
        <v>127</v>
      </c>
      <c r="E146" s="115" t="s">
        <v>137</v>
      </c>
      <c r="F146" s="116">
        <v>18929</v>
      </c>
      <c r="G146" s="116">
        <v>18</v>
      </c>
      <c r="H146" s="117">
        <f t="shared" si="4"/>
        <v>9.5092186592001687E-4</v>
      </c>
      <c r="I146" s="118" t="str">
        <f t="shared" si="5"/>
        <v>AR</v>
      </c>
    </row>
    <row r="147" spans="1:9" x14ac:dyDescent="0.3">
      <c r="A147" s="115" t="s">
        <v>167</v>
      </c>
      <c r="B147" s="115" t="s">
        <v>173</v>
      </c>
      <c r="C147" s="115" t="s">
        <v>44</v>
      </c>
      <c r="D147" s="115" t="s">
        <v>127</v>
      </c>
      <c r="E147" s="115" t="s">
        <v>137</v>
      </c>
      <c r="F147" s="116">
        <v>42097</v>
      </c>
      <c r="G147" s="116">
        <v>47</v>
      </c>
      <c r="H147" s="117">
        <f t="shared" si="4"/>
        <v>1.1164691070622609E-3</v>
      </c>
      <c r="I147" s="118" t="str">
        <f t="shared" si="5"/>
        <v>AR</v>
      </c>
    </row>
    <row r="148" spans="1:9" x14ac:dyDescent="0.3">
      <c r="A148" s="115" t="s">
        <v>167</v>
      </c>
      <c r="B148" s="115" t="s">
        <v>174</v>
      </c>
      <c r="C148" s="115" t="s">
        <v>45</v>
      </c>
      <c r="D148" s="115" t="s">
        <v>127</v>
      </c>
      <c r="E148" s="115" t="s">
        <v>137</v>
      </c>
      <c r="F148" s="116">
        <v>5173</v>
      </c>
      <c r="G148" s="116">
        <v>12</v>
      </c>
      <c r="H148" s="117">
        <f t="shared" si="4"/>
        <v>2.3197370964624011E-3</v>
      </c>
      <c r="I148" s="118" t="str">
        <f t="shared" si="5"/>
        <v>AR</v>
      </c>
    </row>
    <row r="149" spans="1:9" x14ac:dyDescent="0.3">
      <c r="A149" s="115" t="s">
        <v>167</v>
      </c>
      <c r="B149" s="115" t="s">
        <v>174</v>
      </c>
      <c r="C149" s="115" t="s">
        <v>45</v>
      </c>
      <c r="D149" s="115" t="s">
        <v>127</v>
      </c>
      <c r="E149" s="115" t="s">
        <v>137</v>
      </c>
      <c r="F149" s="116">
        <v>12519</v>
      </c>
      <c r="G149" s="116">
        <v>12</v>
      </c>
      <c r="H149" s="117">
        <f t="shared" si="4"/>
        <v>9.5854301461778101E-4</v>
      </c>
      <c r="I149" s="118" t="str">
        <f t="shared" si="5"/>
        <v>AR</v>
      </c>
    </row>
    <row r="150" spans="1:9" x14ac:dyDescent="0.3">
      <c r="A150" s="115" t="s">
        <v>167</v>
      </c>
      <c r="B150" s="115" t="s">
        <v>174</v>
      </c>
      <c r="C150" s="115" t="s">
        <v>45</v>
      </c>
      <c r="D150" s="115" t="s">
        <v>127</v>
      </c>
      <c r="E150" s="115" t="s">
        <v>137</v>
      </c>
      <c r="F150" s="116">
        <v>13016</v>
      </c>
      <c r="G150" s="116">
        <v>8</v>
      </c>
      <c r="H150" s="117">
        <f t="shared" si="4"/>
        <v>6.1462814996926854E-4</v>
      </c>
      <c r="I150" s="118" t="str">
        <f t="shared" si="5"/>
        <v>AR</v>
      </c>
    </row>
    <row r="151" spans="1:9" x14ac:dyDescent="0.3">
      <c r="A151" s="115" t="s">
        <v>167</v>
      </c>
      <c r="B151" s="115" t="s">
        <v>174</v>
      </c>
      <c r="C151" s="115" t="s">
        <v>45</v>
      </c>
      <c r="D151" s="115" t="s">
        <v>127</v>
      </c>
      <c r="E151" s="115" t="s">
        <v>137</v>
      </c>
      <c r="F151" s="116">
        <v>12961</v>
      </c>
      <c r="G151" s="116">
        <v>14</v>
      </c>
      <c r="H151" s="117">
        <f t="shared" si="4"/>
        <v>1.0801635676259548E-3</v>
      </c>
      <c r="I151" s="118" t="str">
        <f t="shared" si="5"/>
        <v>AR</v>
      </c>
    </row>
    <row r="152" spans="1:9" x14ac:dyDescent="0.3">
      <c r="A152" s="115" t="s">
        <v>167</v>
      </c>
      <c r="B152" s="115" t="s">
        <v>174</v>
      </c>
      <c r="C152" s="115" t="s">
        <v>45</v>
      </c>
      <c r="D152" s="115" t="s">
        <v>127</v>
      </c>
      <c r="E152" s="115" t="s">
        <v>137</v>
      </c>
      <c r="F152" s="116">
        <v>8414</v>
      </c>
      <c r="G152" s="116">
        <v>6</v>
      </c>
      <c r="H152" s="117">
        <f t="shared" si="4"/>
        <v>7.1309721892084618E-4</v>
      </c>
      <c r="I152" s="118" t="str">
        <f t="shared" si="5"/>
        <v>AR</v>
      </c>
    </row>
    <row r="153" spans="1:9" x14ac:dyDescent="0.3">
      <c r="A153" s="115" t="s">
        <v>167</v>
      </c>
      <c r="B153" s="115" t="s">
        <v>175</v>
      </c>
      <c r="C153" s="115" t="s">
        <v>45</v>
      </c>
      <c r="D153" s="115" t="s">
        <v>127</v>
      </c>
      <c r="E153" s="115" t="s">
        <v>137</v>
      </c>
      <c r="F153" s="116">
        <v>19767</v>
      </c>
      <c r="G153" s="116">
        <v>14</v>
      </c>
      <c r="H153" s="117">
        <f t="shared" si="4"/>
        <v>7.0825112561339611E-4</v>
      </c>
      <c r="I153" s="118" t="str">
        <f t="shared" si="5"/>
        <v>AR</v>
      </c>
    </row>
    <row r="154" spans="1:9" x14ac:dyDescent="0.3">
      <c r="A154" s="115" t="s">
        <v>167</v>
      </c>
      <c r="B154" s="115" t="s">
        <v>175</v>
      </c>
      <c r="C154" s="115" t="s">
        <v>45</v>
      </c>
      <c r="D154" s="115" t="s">
        <v>127</v>
      </c>
      <c r="E154" s="115" t="s">
        <v>137</v>
      </c>
      <c r="F154" s="116">
        <v>45969</v>
      </c>
      <c r="G154" s="116">
        <v>34</v>
      </c>
      <c r="H154" s="117">
        <f t="shared" si="4"/>
        <v>7.3962888033239789E-4</v>
      </c>
      <c r="I154" s="118" t="str">
        <f t="shared" si="5"/>
        <v>AR</v>
      </c>
    </row>
    <row r="155" spans="1:9" x14ac:dyDescent="0.3">
      <c r="A155" s="115" t="s">
        <v>167</v>
      </c>
      <c r="B155" s="115" t="s">
        <v>175</v>
      </c>
      <c r="C155" s="115" t="s">
        <v>45</v>
      </c>
      <c r="D155" s="115" t="s">
        <v>127</v>
      </c>
      <c r="E155" s="115" t="s">
        <v>137</v>
      </c>
      <c r="F155" s="116">
        <v>44739</v>
      </c>
      <c r="G155" s="116">
        <v>28</v>
      </c>
      <c r="H155" s="117">
        <f t="shared" si="4"/>
        <v>6.2585216477793423E-4</v>
      </c>
      <c r="I155" s="118" t="str">
        <f t="shared" si="5"/>
        <v>AR</v>
      </c>
    </row>
    <row r="156" spans="1:9" x14ac:dyDescent="0.3">
      <c r="A156" s="115" t="s">
        <v>167</v>
      </c>
      <c r="B156" s="115" t="s">
        <v>175</v>
      </c>
      <c r="C156" s="115" t="s">
        <v>45</v>
      </c>
      <c r="D156" s="115" t="s">
        <v>127</v>
      </c>
      <c r="E156" s="115" t="s">
        <v>137</v>
      </c>
      <c r="F156" s="116">
        <v>53540</v>
      </c>
      <c r="G156" s="116">
        <v>26</v>
      </c>
      <c r="H156" s="117">
        <f t="shared" si="4"/>
        <v>4.8561822936122527E-4</v>
      </c>
      <c r="I156" s="118" t="str">
        <f t="shared" si="5"/>
        <v>AR</v>
      </c>
    </row>
    <row r="157" spans="1:9" x14ac:dyDescent="0.3">
      <c r="A157" s="115" t="s">
        <v>167</v>
      </c>
      <c r="B157" s="115" t="s">
        <v>175</v>
      </c>
      <c r="C157" s="115" t="s">
        <v>45</v>
      </c>
      <c r="D157" s="115" t="s">
        <v>127</v>
      </c>
      <c r="E157" s="115" t="s">
        <v>137</v>
      </c>
      <c r="F157" s="116">
        <v>43723</v>
      </c>
      <c r="G157" s="116">
        <v>16</v>
      </c>
      <c r="H157" s="117">
        <f t="shared" si="4"/>
        <v>3.6594012304736639E-4</v>
      </c>
      <c r="I157" s="118" t="str">
        <f t="shared" si="5"/>
        <v>AR</v>
      </c>
    </row>
    <row r="158" spans="1:9" x14ac:dyDescent="0.3">
      <c r="A158" s="115" t="s">
        <v>167</v>
      </c>
      <c r="B158" s="115" t="s">
        <v>176</v>
      </c>
      <c r="C158" s="115" t="s">
        <v>45</v>
      </c>
      <c r="D158" s="115" t="s">
        <v>127</v>
      </c>
      <c r="E158" s="115" t="s">
        <v>137</v>
      </c>
      <c r="F158" s="116">
        <v>5089</v>
      </c>
      <c r="G158" s="116">
        <v>3</v>
      </c>
      <c r="H158" s="117">
        <f t="shared" si="4"/>
        <v>5.8950677932796225E-4</v>
      </c>
      <c r="I158" s="118" t="str">
        <f t="shared" si="5"/>
        <v>AR</v>
      </c>
    </row>
    <row r="159" spans="1:9" x14ac:dyDescent="0.3">
      <c r="A159" s="115" t="s">
        <v>167</v>
      </c>
      <c r="B159" s="115" t="s">
        <v>176</v>
      </c>
      <c r="C159" s="115" t="s">
        <v>45</v>
      </c>
      <c r="D159" s="115" t="s">
        <v>127</v>
      </c>
      <c r="E159" s="115" t="s">
        <v>137</v>
      </c>
      <c r="F159" s="116">
        <v>12000</v>
      </c>
      <c r="G159" s="116">
        <v>3</v>
      </c>
      <c r="H159" s="117">
        <f t="shared" si="4"/>
        <v>2.5000000000000001E-4</v>
      </c>
      <c r="I159" s="118" t="str">
        <f t="shared" si="5"/>
        <v>AR</v>
      </c>
    </row>
    <row r="160" spans="1:9" x14ac:dyDescent="0.3">
      <c r="A160" s="115" t="s">
        <v>167</v>
      </c>
      <c r="B160" s="115" t="s">
        <v>176</v>
      </c>
      <c r="C160" s="115" t="s">
        <v>45</v>
      </c>
      <c r="D160" s="115" t="s">
        <v>127</v>
      </c>
      <c r="E160" s="115" t="s">
        <v>137</v>
      </c>
      <c r="F160" s="116">
        <v>10571</v>
      </c>
      <c r="G160" s="116">
        <v>6</v>
      </c>
      <c r="H160" s="117">
        <f t="shared" si="4"/>
        <v>5.6759057799640527E-4</v>
      </c>
      <c r="I160" s="118" t="str">
        <f t="shared" si="5"/>
        <v>AR</v>
      </c>
    </row>
    <row r="161" spans="1:9" x14ac:dyDescent="0.3">
      <c r="A161" s="115" t="s">
        <v>167</v>
      </c>
      <c r="B161" s="115" t="s">
        <v>176</v>
      </c>
      <c r="C161" s="115" t="s">
        <v>45</v>
      </c>
      <c r="D161" s="115" t="s">
        <v>127</v>
      </c>
      <c r="E161" s="115" t="s">
        <v>137</v>
      </c>
      <c r="F161" s="116">
        <v>10251</v>
      </c>
      <c r="G161" s="116">
        <v>6</v>
      </c>
      <c r="H161" s="117">
        <f t="shared" si="4"/>
        <v>5.8530875036581797E-4</v>
      </c>
      <c r="I161" s="118" t="str">
        <f t="shared" si="5"/>
        <v>AR</v>
      </c>
    </row>
    <row r="162" spans="1:9" x14ac:dyDescent="0.3">
      <c r="A162" s="115" t="s">
        <v>167</v>
      </c>
      <c r="B162" s="115" t="s">
        <v>176</v>
      </c>
      <c r="C162" s="115" t="s">
        <v>45</v>
      </c>
      <c r="D162" s="115" t="s">
        <v>127</v>
      </c>
      <c r="E162" s="115" t="s">
        <v>137</v>
      </c>
      <c r="F162" s="116">
        <v>7523</v>
      </c>
      <c r="G162" s="116">
        <v>5</v>
      </c>
      <c r="H162" s="117">
        <f t="shared" si="4"/>
        <v>6.6462847268376974E-4</v>
      </c>
      <c r="I162" s="118" t="str">
        <f t="shared" si="5"/>
        <v>AR</v>
      </c>
    </row>
    <row r="163" spans="1:9" x14ac:dyDescent="0.3">
      <c r="A163" s="115" t="s">
        <v>167</v>
      </c>
      <c r="B163" s="115" t="s">
        <v>177</v>
      </c>
      <c r="C163" s="115" t="s">
        <v>45</v>
      </c>
      <c r="D163" s="115" t="s">
        <v>127</v>
      </c>
      <c r="E163" s="115" t="s">
        <v>137</v>
      </c>
      <c r="F163" s="116">
        <v>4927</v>
      </c>
      <c r="G163" s="116">
        <v>4</v>
      </c>
      <c r="H163" s="117">
        <f t="shared" si="4"/>
        <v>8.1185305459711792E-4</v>
      </c>
      <c r="I163" s="118" t="str">
        <f t="shared" si="5"/>
        <v>AR</v>
      </c>
    </row>
    <row r="164" spans="1:9" x14ac:dyDescent="0.3">
      <c r="A164" s="115" t="s">
        <v>167</v>
      </c>
      <c r="B164" s="115" t="s">
        <v>177</v>
      </c>
      <c r="C164" s="115" t="s">
        <v>45</v>
      </c>
      <c r="D164" s="115" t="s">
        <v>127</v>
      </c>
      <c r="E164" s="115" t="s">
        <v>137</v>
      </c>
      <c r="F164" s="116">
        <v>12159</v>
      </c>
      <c r="G164" s="116">
        <v>5</v>
      </c>
      <c r="H164" s="117">
        <f t="shared" si="4"/>
        <v>4.112180277983387E-4</v>
      </c>
      <c r="I164" s="118" t="str">
        <f t="shared" si="5"/>
        <v>AR</v>
      </c>
    </row>
    <row r="165" spans="1:9" x14ac:dyDescent="0.3">
      <c r="A165" s="115" t="s">
        <v>167</v>
      </c>
      <c r="B165" s="115" t="s">
        <v>177</v>
      </c>
      <c r="C165" s="115" t="s">
        <v>45</v>
      </c>
      <c r="D165" s="115" t="s">
        <v>127</v>
      </c>
      <c r="E165" s="115" t="s">
        <v>137</v>
      </c>
      <c r="F165" s="116">
        <v>11902</v>
      </c>
      <c r="G165" s="116">
        <v>14</v>
      </c>
      <c r="H165" s="117">
        <f t="shared" si="4"/>
        <v>1.1762728953117123E-3</v>
      </c>
      <c r="I165" s="118" t="str">
        <f t="shared" si="5"/>
        <v>AR</v>
      </c>
    </row>
    <row r="166" spans="1:9" x14ac:dyDescent="0.3">
      <c r="A166" s="115" t="s">
        <v>167</v>
      </c>
      <c r="B166" s="115" t="s">
        <v>177</v>
      </c>
      <c r="C166" s="115" t="s">
        <v>45</v>
      </c>
      <c r="D166" s="115" t="s">
        <v>127</v>
      </c>
      <c r="E166" s="115" t="s">
        <v>137</v>
      </c>
      <c r="F166" s="116">
        <v>12679</v>
      </c>
      <c r="G166" s="116">
        <v>13</v>
      </c>
      <c r="H166" s="117">
        <f t="shared" si="4"/>
        <v>1.0253174540578911E-3</v>
      </c>
      <c r="I166" s="118" t="str">
        <f t="shared" si="5"/>
        <v>AR</v>
      </c>
    </row>
    <row r="167" spans="1:9" x14ac:dyDescent="0.3">
      <c r="A167" s="115" t="s">
        <v>167</v>
      </c>
      <c r="B167" s="115" t="s">
        <v>177</v>
      </c>
      <c r="C167" s="115" t="s">
        <v>45</v>
      </c>
      <c r="D167" s="115" t="s">
        <v>127</v>
      </c>
      <c r="E167" s="115" t="s">
        <v>137</v>
      </c>
      <c r="F167" s="116">
        <v>8323</v>
      </c>
      <c r="G167" s="116">
        <v>2</v>
      </c>
      <c r="H167" s="117">
        <f t="shared" si="4"/>
        <v>2.4029796948215788E-4</v>
      </c>
      <c r="I167" s="118" t="str">
        <f t="shared" si="5"/>
        <v>AR</v>
      </c>
    </row>
    <row r="168" spans="1:9" x14ac:dyDescent="0.3">
      <c r="A168" s="115" t="s">
        <v>167</v>
      </c>
      <c r="B168" s="115" t="s">
        <v>178</v>
      </c>
      <c r="C168" s="115" t="s">
        <v>45</v>
      </c>
      <c r="D168" s="115" t="s">
        <v>127</v>
      </c>
      <c r="E168" s="115" t="s">
        <v>137</v>
      </c>
      <c r="F168" s="116">
        <v>5224</v>
      </c>
      <c r="G168" s="116">
        <v>5</v>
      </c>
      <c r="H168" s="117">
        <f t="shared" si="4"/>
        <v>9.5712098009188363E-4</v>
      </c>
      <c r="I168" s="118" t="str">
        <f t="shared" si="5"/>
        <v>AR</v>
      </c>
    </row>
    <row r="169" spans="1:9" x14ac:dyDescent="0.3">
      <c r="A169" s="115" t="s">
        <v>167</v>
      </c>
      <c r="B169" s="115" t="s">
        <v>178</v>
      </c>
      <c r="C169" s="115" t="s">
        <v>45</v>
      </c>
      <c r="D169" s="115" t="s">
        <v>127</v>
      </c>
      <c r="E169" s="115" t="s">
        <v>137</v>
      </c>
      <c r="F169" s="116">
        <v>12716</v>
      </c>
      <c r="G169" s="116">
        <v>7</v>
      </c>
      <c r="H169" s="117">
        <f t="shared" si="4"/>
        <v>5.5048757470902798E-4</v>
      </c>
      <c r="I169" s="118" t="str">
        <f t="shared" si="5"/>
        <v>AR</v>
      </c>
    </row>
    <row r="170" spans="1:9" x14ac:dyDescent="0.3">
      <c r="A170" s="115" t="s">
        <v>167</v>
      </c>
      <c r="B170" s="115" t="s">
        <v>178</v>
      </c>
      <c r="C170" s="115" t="s">
        <v>45</v>
      </c>
      <c r="D170" s="115" t="s">
        <v>127</v>
      </c>
      <c r="E170" s="115" t="s">
        <v>137</v>
      </c>
      <c r="F170" s="116">
        <v>12454</v>
      </c>
      <c r="G170" s="116">
        <v>5</v>
      </c>
      <c r="H170" s="117">
        <f t="shared" si="4"/>
        <v>4.0147743696804239E-4</v>
      </c>
      <c r="I170" s="118" t="str">
        <f t="shared" si="5"/>
        <v>AR</v>
      </c>
    </row>
    <row r="171" spans="1:9" x14ac:dyDescent="0.3">
      <c r="A171" s="115" t="s">
        <v>167</v>
      </c>
      <c r="B171" s="115" t="s">
        <v>178</v>
      </c>
      <c r="C171" s="115" t="s">
        <v>45</v>
      </c>
      <c r="D171" s="115" t="s">
        <v>127</v>
      </c>
      <c r="E171" s="115" t="s">
        <v>137</v>
      </c>
      <c r="F171" s="116">
        <v>12834</v>
      </c>
      <c r="G171" s="116">
        <v>8</v>
      </c>
      <c r="H171" s="117">
        <f t="shared" si="4"/>
        <v>6.2334424185756584E-4</v>
      </c>
      <c r="I171" s="118" t="str">
        <f t="shared" si="5"/>
        <v>AR</v>
      </c>
    </row>
    <row r="172" spans="1:9" x14ac:dyDescent="0.3">
      <c r="A172" s="115" t="s">
        <v>167</v>
      </c>
      <c r="B172" s="115" t="s">
        <v>178</v>
      </c>
      <c r="C172" s="115" t="s">
        <v>45</v>
      </c>
      <c r="D172" s="115" t="s">
        <v>127</v>
      </c>
      <c r="E172" s="115" t="s">
        <v>137</v>
      </c>
      <c r="F172" s="116">
        <v>8505</v>
      </c>
      <c r="G172" s="116">
        <v>4</v>
      </c>
      <c r="H172" s="117">
        <f t="shared" si="4"/>
        <v>4.7031158142269255E-4</v>
      </c>
      <c r="I172" s="118" t="str">
        <f t="shared" si="5"/>
        <v>AR</v>
      </c>
    </row>
    <row r="173" spans="1:9" x14ac:dyDescent="0.3">
      <c r="A173" s="115" t="s">
        <v>167</v>
      </c>
      <c r="B173" s="115" t="s">
        <v>179</v>
      </c>
      <c r="C173" s="115" t="s">
        <v>45</v>
      </c>
      <c r="D173" s="115" t="s">
        <v>127</v>
      </c>
      <c r="E173" s="115" t="s">
        <v>137</v>
      </c>
      <c r="F173" s="116">
        <v>21380</v>
      </c>
      <c r="G173" s="116">
        <v>12</v>
      </c>
      <c r="H173" s="117">
        <f t="shared" si="4"/>
        <v>5.6127221702525728E-4</v>
      </c>
      <c r="I173" s="118" t="str">
        <f t="shared" si="5"/>
        <v>AR</v>
      </c>
    </row>
    <row r="174" spans="1:9" x14ac:dyDescent="0.3">
      <c r="A174" s="115" t="s">
        <v>167</v>
      </c>
      <c r="B174" s="115" t="s">
        <v>179</v>
      </c>
      <c r="C174" s="115" t="s">
        <v>45</v>
      </c>
      <c r="D174" s="115" t="s">
        <v>127</v>
      </c>
      <c r="E174" s="115" t="s">
        <v>137</v>
      </c>
      <c r="F174" s="116">
        <v>51019</v>
      </c>
      <c r="G174" s="116">
        <v>27</v>
      </c>
      <c r="H174" s="117">
        <f t="shared" si="4"/>
        <v>5.2921460632313457E-4</v>
      </c>
      <c r="I174" s="118" t="str">
        <f t="shared" si="5"/>
        <v>AR</v>
      </c>
    </row>
    <row r="175" spans="1:9" x14ac:dyDescent="0.3">
      <c r="A175" s="115" t="s">
        <v>167</v>
      </c>
      <c r="B175" s="115" t="s">
        <v>179</v>
      </c>
      <c r="C175" s="115" t="s">
        <v>45</v>
      </c>
      <c r="D175" s="115" t="s">
        <v>127</v>
      </c>
      <c r="E175" s="115" t="s">
        <v>137</v>
      </c>
      <c r="F175" s="116">
        <v>52234</v>
      </c>
      <c r="G175" s="116">
        <v>37</v>
      </c>
      <c r="H175" s="117">
        <f t="shared" si="4"/>
        <v>7.0835088256691046E-4</v>
      </c>
      <c r="I175" s="118" t="str">
        <f t="shared" si="5"/>
        <v>AR</v>
      </c>
    </row>
    <row r="176" spans="1:9" x14ac:dyDescent="0.3">
      <c r="A176" s="115" t="s">
        <v>167</v>
      </c>
      <c r="B176" s="115" t="s">
        <v>179</v>
      </c>
      <c r="C176" s="115" t="s">
        <v>45</v>
      </c>
      <c r="D176" s="115" t="s">
        <v>127</v>
      </c>
      <c r="E176" s="115" t="s">
        <v>137</v>
      </c>
      <c r="F176" s="116">
        <v>52360</v>
      </c>
      <c r="G176" s="116">
        <v>27</v>
      </c>
      <c r="H176" s="117">
        <f t="shared" si="4"/>
        <v>5.1566080977845689E-4</v>
      </c>
      <c r="I176" s="118" t="str">
        <f t="shared" si="5"/>
        <v>AR</v>
      </c>
    </row>
    <row r="177" spans="1:9" x14ac:dyDescent="0.3">
      <c r="A177" s="115" t="s">
        <v>167</v>
      </c>
      <c r="B177" s="115" t="s">
        <v>179</v>
      </c>
      <c r="C177" s="115" t="s">
        <v>45</v>
      </c>
      <c r="D177" s="115" t="s">
        <v>127</v>
      </c>
      <c r="E177" s="115" t="s">
        <v>137</v>
      </c>
      <c r="F177" s="116">
        <v>33651</v>
      </c>
      <c r="G177" s="116">
        <v>21</v>
      </c>
      <c r="H177" s="117">
        <f t="shared" si="4"/>
        <v>6.2405277703485784E-4</v>
      </c>
      <c r="I177" s="118" t="str">
        <f t="shared" si="5"/>
        <v>AR</v>
      </c>
    </row>
    <row r="178" spans="1:9" x14ac:dyDescent="0.3">
      <c r="A178" s="115" t="s">
        <v>167</v>
      </c>
      <c r="B178" s="115" t="s">
        <v>180</v>
      </c>
      <c r="C178" s="115" t="s">
        <v>44</v>
      </c>
      <c r="D178" s="115" t="s">
        <v>127</v>
      </c>
      <c r="E178" s="115" t="s">
        <v>137</v>
      </c>
      <c r="F178" s="116">
        <v>178320</v>
      </c>
      <c r="G178" s="116">
        <v>300</v>
      </c>
      <c r="H178" s="117">
        <f t="shared" si="4"/>
        <v>1.6823687752355316E-3</v>
      </c>
      <c r="I178" s="118" t="str">
        <f t="shared" si="5"/>
        <v>AR</v>
      </c>
    </row>
    <row r="179" spans="1:9" x14ac:dyDescent="0.3">
      <c r="A179" s="115" t="s">
        <v>167</v>
      </c>
      <c r="B179" s="115" t="s">
        <v>180</v>
      </c>
      <c r="C179" s="115" t="s">
        <v>44</v>
      </c>
      <c r="D179" s="115" t="s">
        <v>127</v>
      </c>
      <c r="E179" s="115" t="s">
        <v>151</v>
      </c>
      <c r="F179" s="116">
        <v>1</v>
      </c>
      <c r="G179" s="116">
        <v>1</v>
      </c>
      <c r="H179" s="117">
        <f t="shared" si="4"/>
        <v>1</v>
      </c>
      <c r="I179" s="118" t="str">
        <f t="shared" si="5"/>
        <v>AR</v>
      </c>
    </row>
    <row r="180" spans="1:9" x14ac:dyDescent="0.3">
      <c r="A180" s="115" t="s">
        <v>167</v>
      </c>
      <c r="B180" s="115" t="s">
        <v>180</v>
      </c>
      <c r="C180" s="115" t="s">
        <v>44</v>
      </c>
      <c r="D180" s="115" t="s">
        <v>127</v>
      </c>
      <c r="E180" s="115" t="s">
        <v>137</v>
      </c>
      <c r="F180" s="116">
        <v>37030</v>
      </c>
      <c r="G180" s="116">
        <v>55</v>
      </c>
      <c r="H180" s="117">
        <f t="shared" si="4"/>
        <v>1.4852822036186875E-3</v>
      </c>
      <c r="I180" s="118" t="str">
        <f t="shared" si="5"/>
        <v>AR</v>
      </c>
    </row>
    <row r="181" spans="1:9" x14ac:dyDescent="0.3">
      <c r="A181" s="115" t="s">
        <v>167</v>
      </c>
      <c r="B181" s="115" t="s">
        <v>180</v>
      </c>
      <c r="C181" s="115" t="s">
        <v>44</v>
      </c>
      <c r="D181" s="115" t="s">
        <v>127</v>
      </c>
      <c r="E181" s="115" t="s">
        <v>137</v>
      </c>
      <c r="F181" s="116">
        <v>7</v>
      </c>
      <c r="G181" s="116">
        <v>0</v>
      </c>
      <c r="H181" s="117">
        <f t="shared" si="4"/>
        <v>0</v>
      </c>
      <c r="I181" s="118" t="str">
        <f t="shared" si="5"/>
        <v>AR</v>
      </c>
    </row>
    <row r="182" spans="1:9" x14ac:dyDescent="0.3">
      <c r="A182" s="115" t="s">
        <v>167</v>
      </c>
      <c r="B182" s="115" t="s">
        <v>181</v>
      </c>
      <c r="C182" s="115" t="s">
        <v>45</v>
      </c>
      <c r="D182" s="115" t="s">
        <v>127</v>
      </c>
      <c r="E182" s="115" t="s">
        <v>137</v>
      </c>
      <c r="F182" s="116">
        <v>177587</v>
      </c>
      <c r="G182" s="116">
        <v>224</v>
      </c>
      <c r="H182" s="117">
        <f t="shared" si="4"/>
        <v>1.2613535900713453E-3</v>
      </c>
      <c r="I182" s="118" t="str">
        <f t="shared" si="5"/>
        <v>AR</v>
      </c>
    </row>
    <row r="183" spans="1:9" x14ac:dyDescent="0.3">
      <c r="A183" s="115" t="s">
        <v>167</v>
      </c>
      <c r="B183" s="115" t="s">
        <v>181</v>
      </c>
      <c r="C183" s="115" t="s">
        <v>45</v>
      </c>
      <c r="D183" s="115" t="s">
        <v>127</v>
      </c>
      <c r="E183" s="115" t="s">
        <v>151</v>
      </c>
      <c r="F183" s="116">
        <v>2</v>
      </c>
      <c r="G183" s="116">
        <v>1</v>
      </c>
      <c r="H183" s="117">
        <f t="shared" si="4"/>
        <v>0.5</v>
      </c>
      <c r="I183" s="118" t="str">
        <f t="shared" si="5"/>
        <v>AR</v>
      </c>
    </row>
    <row r="184" spans="1:9" x14ac:dyDescent="0.3">
      <c r="A184" s="115" t="s">
        <v>167</v>
      </c>
      <c r="B184" s="115" t="s">
        <v>181</v>
      </c>
      <c r="C184" s="115" t="s">
        <v>45</v>
      </c>
      <c r="D184" s="115" t="s">
        <v>127</v>
      </c>
      <c r="E184" s="115" t="s">
        <v>137</v>
      </c>
      <c r="F184" s="116">
        <v>36320</v>
      </c>
      <c r="G184" s="116">
        <v>32</v>
      </c>
      <c r="H184" s="117">
        <f t="shared" si="4"/>
        <v>8.81057268722467E-4</v>
      </c>
      <c r="I184" s="118" t="str">
        <f t="shared" si="5"/>
        <v>AR</v>
      </c>
    </row>
    <row r="185" spans="1:9" x14ac:dyDescent="0.3">
      <c r="A185" s="115" t="s">
        <v>167</v>
      </c>
      <c r="B185" s="115" t="s">
        <v>181</v>
      </c>
      <c r="C185" s="115" t="s">
        <v>45</v>
      </c>
      <c r="D185" s="115" t="s">
        <v>127</v>
      </c>
      <c r="E185" s="115" t="s">
        <v>137</v>
      </c>
      <c r="F185" s="116">
        <v>15</v>
      </c>
      <c r="G185" s="116">
        <v>0</v>
      </c>
      <c r="H185" s="117">
        <f t="shared" si="4"/>
        <v>0</v>
      </c>
      <c r="I185" s="118" t="str">
        <f t="shared" si="5"/>
        <v>AR</v>
      </c>
    </row>
    <row r="186" spans="1:9" x14ac:dyDescent="0.3">
      <c r="A186" s="115" t="s">
        <v>182</v>
      </c>
      <c r="B186" s="115" t="s">
        <v>183</v>
      </c>
      <c r="C186" s="115" t="s">
        <v>44</v>
      </c>
      <c r="D186" s="115" t="s">
        <v>127</v>
      </c>
      <c r="E186" s="115" t="s">
        <v>137</v>
      </c>
      <c r="F186" s="116">
        <v>4681</v>
      </c>
      <c r="G186" s="116">
        <v>10</v>
      </c>
      <c r="H186" s="117">
        <f t="shared" si="4"/>
        <v>2.1362956633198035E-3</v>
      </c>
      <c r="I186" s="118" t="str">
        <f t="shared" si="5"/>
        <v>te</v>
      </c>
    </row>
    <row r="187" spans="1:9" x14ac:dyDescent="0.3">
      <c r="A187" s="115" t="s">
        <v>182</v>
      </c>
      <c r="B187" s="115" t="s">
        <v>183</v>
      </c>
      <c r="C187" s="115" t="s">
        <v>44</v>
      </c>
      <c r="D187" s="115" t="s">
        <v>127</v>
      </c>
      <c r="E187" s="115" t="s">
        <v>137</v>
      </c>
      <c r="F187" s="116">
        <v>6384</v>
      </c>
      <c r="G187" s="116">
        <v>15</v>
      </c>
      <c r="H187" s="117">
        <f t="shared" si="4"/>
        <v>2.3496240601503758E-3</v>
      </c>
      <c r="I187" s="118" t="str">
        <f t="shared" si="5"/>
        <v>te</v>
      </c>
    </row>
    <row r="188" spans="1:9" x14ac:dyDescent="0.3">
      <c r="A188" s="115" t="s">
        <v>182</v>
      </c>
      <c r="B188" s="115" t="s">
        <v>183</v>
      </c>
      <c r="C188" s="115" t="s">
        <v>44</v>
      </c>
      <c r="D188" s="115" t="s">
        <v>127</v>
      </c>
      <c r="E188" s="115" t="s">
        <v>137</v>
      </c>
      <c r="F188" s="116">
        <v>6286</v>
      </c>
      <c r="G188" s="116">
        <v>8</v>
      </c>
      <c r="H188" s="117">
        <f t="shared" si="4"/>
        <v>1.2726694241170856E-3</v>
      </c>
      <c r="I188" s="118" t="str">
        <f t="shared" si="5"/>
        <v>te</v>
      </c>
    </row>
    <row r="189" spans="1:9" x14ac:dyDescent="0.3">
      <c r="A189" s="115" t="s">
        <v>182</v>
      </c>
      <c r="B189" s="115" t="s">
        <v>183</v>
      </c>
      <c r="C189" s="115" t="s">
        <v>44</v>
      </c>
      <c r="D189" s="115" t="s">
        <v>127</v>
      </c>
      <c r="E189" s="115" t="s">
        <v>137</v>
      </c>
      <c r="F189" s="116">
        <v>7833</v>
      </c>
      <c r="G189" s="116">
        <v>14</v>
      </c>
      <c r="H189" s="117">
        <f t="shared" si="4"/>
        <v>1.7873100983020554E-3</v>
      </c>
      <c r="I189" s="118" t="str">
        <f t="shared" si="5"/>
        <v>te</v>
      </c>
    </row>
    <row r="190" spans="1:9" x14ac:dyDescent="0.3">
      <c r="A190" s="115" t="s">
        <v>182</v>
      </c>
      <c r="B190" s="115" t="s">
        <v>183</v>
      </c>
      <c r="C190" s="115" t="s">
        <v>44</v>
      </c>
      <c r="D190" s="115" t="s">
        <v>127</v>
      </c>
      <c r="E190" s="115" t="s">
        <v>137</v>
      </c>
      <c r="F190" s="116">
        <v>10309</v>
      </c>
      <c r="G190" s="116">
        <v>21</v>
      </c>
      <c r="H190" s="117">
        <f t="shared" si="4"/>
        <v>2.0370550004850129E-3</v>
      </c>
      <c r="I190" s="118" t="str">
        <f t="shared" si="5"/>
        <v>te</v>
      </c>
    </row>
    <row r="191" spans="1:9" x14ac:dyDescent="0.3">
      <c r="A191" s="115" t="s">
        <v>182</v>
      </c>
      <c r="B191" s="115" t="s">
        <v>184</v>
      </c>
      <c r="C191" s="115" t="s">
        <v>45</v>
      </c>
      <c r="D191" s="115" t="s">
        <v>127</v>
      </c>
      <c r="E191" s="115" t="s">
        <v>137</v>
      </c>
      <c r="F191" s="116">
        <v>4730</v>
      </c>
      <c r="G191" s="116">
        <v>8</v>
      </c>
      <c r="H191" s="117">
        <f t="shared" si="4"/>
        <v>1.6913319238900633E-3</v>
      </c>
      <c r="I191" s="118" t="str">
        <f t="shared" si="5"/>
        <v>te</v>
      </c>
    </row>
    <row r="192" spans="1:9" x14ac:dyDescent="0.3">
      <c r="A192" s="115" t="s">
        <v>182</v>
      </c>
      <c r="B192" s="115" t="s">
        <v>184</v>
      </c>
      <c r="C192" s="115" t="s">
        <v>45</v>
      </c>
      <c r="D192" s="115" t="s">
        <v>127</v>
      </c>
      <c r="E192" s="115" t="s">
        <v>137</v>
      </c>
      <c r="F192" s="116">
        <v>6451</v>
      </c>
      <c r="G192" s="116">
        <v>7</v>
      </c>
      <c r="H192" s="117">
        <f t="shared" si="4"/>
        <v>1.0851030847930554E-3</v>
      </c>
      <c r="I192" s="118" t="str">
        <f t="shared" si="5"/>
        <v>te</v>
      </c>
    </row>
    <row r="193" spans="1:9" x14ac:dyDescent="0.3">
      <c r="A193" s="115" t="s">
        <v>182</v>
      </c>
      <c r="B193" s="115" t="s">
        <v>184</v>
      </c>
      <c r="C193" s="115" t="s">
        <v>45</v>
      </c>
      <c r="D193" s="115" t="s">
        <v>127</v>
      </c>
      <c r="E193" s="115" t="s">
        <v>137</v>
      </c>
      <c r="F193" s="116">
        <v>6355</v>
      </c>
      <c r="G193" s="116">
        <v>8</v>
      </c>
      <c r="H193" s="117">
        <f t="shared" si="4"/>
        <v>1.2588512981904013E-3</v>
      </c>
      <c r="I193" s="118" t="str">
        <f t="shared" si="5"/>
        <v>te</v>
      </c>
    </row>
    <row r="194" spans="1:9" x14ac:dyDescent="0.3">
      <c r="A194" s="115" t="s">
        <v>182</v>
      </c>
      <c r="B194" s="115" t="s">
        <v>184</v>
      </c>
      <c r="C194" s="115" t="s">
        <v>45</v>
      </c>
      <c r="D194" s="115" t="s">
        <v>127</v>
      </c>
      <c r="E194" s="115" t="s">
        <v>137</v>
      </c>
      <c r="F194" s="116">
        <v>7917</v>
      </c>
      <c r="G194" s="116">
        <v>5</v>
      </c>
      <c r="H194" s="117">
        <f t="shared" si="4"/>
        <v>6.3155235569028675E-4</v>
      </c>
      <c r="I194" s="118" t="str">
        <f t="shared" si="5"/>
        <v>te</v>
      </c>
    </row>
    <row r="195" spans="1:9" x14ac:dyDescent="0.3">
      <c r="A195" s="115" t="s">
        <v>182</v>
      </c>
      <c r="B195" s="115" t="s">
        <v>184</v>
      </c>
      <c r="C195" s="115" t="s">
        <v>45</v>
      </c>
      <c r="D195" s="115" t="s">
        <v>127</v>
      </c>
      <c r="E195" s="115" t="s">
        <v>137</v>
      </c>
      <c r="F195" s="116">
        <v>10418</v>
      </c>
      <c r="G195" s="116">
        <v>7</v>
      </c>
      <c r="H195" s="117">
        <f t="shared" ref="H195:H258" si="6">G195/F195</f>
        <v>6.7191399500863885E-4</v>
      </c>
      <c r="I195" s="118" t="str">
        <f t="shared" ref="I195:I258" si="7">RIGHT(B195,2)</f>
        <v>te</v>
      </c>
    </row>
    <row r="196" spans="1:9" x14ac:dyDescent="0.3">
      <c r="A196" s="115" t="s">
        <v>185</v>
      </c>
      <c r="B196" s="115" t="s">
        <v>186</v>
      </c>
      <c r="C196" s="115" t="s">
        <v>45</v>
      </c>
      <c r="D196" s="115" t="s">
        <v>150</v>
      </c>
      <c r="E196" s="115" t="s">
        <v>151</v>
      </c>
      <c r="F196" s="116">
        <v>2</v>
      </c>
      <c r="G196" s="116">
        <v>0</v>
      </c>
      <c r="H196" s="117">
        <f t="shared" si="6"/>
        <v>0</v>
      </c>
      <c r="I196" s="118" t="str">
        <f t="shared" si="7"/>
        <v>AR</v>
      </c>
    </row>
    <row r="197" spans="1:9" x14ac:dyDescent="0.3">
      <c r="A197" s="115" t="s">
        <v>187</v>
      </c>
      <c r="B197" s="115" t="s">
        <v>188</v>
      </c>
      <c r="C197" s="115" t="s">
        <v>44</v>
      </c>
      <c r="D197" s="115" t="s">
        <v>127</v>
      </c>
      <c r="E197" s="115" t="s">
        <v>137</v>
      </c>
      <c r="F197" s="116">
        <v>489</v>
      </c>
      <c r="G197" s="116">
        <v>1</v>
      </c>
      <c r="H197" s="117">
        <f t="shared" si="6"/>
        <v>2.0449897750511249E-3</v>
      </c>
      <c r="I197" s="118" t="str">
        <f t="shared" si="7"/>
        <v>EN</v>
      </c>
    </row>
    <row r="198" spans="1:9" x14ac:dyDescent="0.3">
      <c r="A198" s="115" t="s">
        <v>187</v>
      </c>
      <c r="B198" s="115" t="s">
        <v>188</v>
      </c>
      <c r="C198" s="115" t="s">
        <v>44</v>
      </c>
      <c r="D198" s="115" t="s">
        <v>127</v>
      </c>
      <c r="E198" s="115" t="s">
        <v>137</v>
      </c>
      <c r="F198" s="116">
        <v>3614</v>
      </c>
      <c r="G198" s="116">
        <v>6</v>
      </c>
      <c r="H198" s="117">
        <f t="shared" si="6"/>
        <v>1.6602102933038186E-3</v>
      </c>
      <c r="I198" s="118" t="str">
        <f t="shared" si="7"/>
        <v>EN</v>
      </c>
    </row>
    <row r="199" spans="1:9" x14ac:dyDescent="0.3">
      <c r="A199" s="115" t="s">
        <v>187</v>
      </c>
      <c r="B199" s="115" t="s">
        <v>188</v>
      </c>
      <c r="C199" s="115" t="s">
        <v>44</v>
      </c>
      <c r="D199" s="115" t="s">
        <v>127</v>
      </c>
      <c r="E199" s="115" t="s">
        <v>137</v>
      </c>
      <c r="F199" s="116">
        <v>4069</v>
      </c>
      <c r="G199" s="116">
        <v>19</v>
      </c>
      <c r="H199" s="117">
        <f t="shared" si="6"/>
        <v>4.6694519537970021E-3</v>
      </c>
      <c r="I199" s="118" t="str">
        <f t="shared" si="7"/>
        <v>EN</v>
      </c>
    </row>
    <row r="200" spans="1:9" x14ac:dyDescent="0.3">
      <c r="A200" s="115" t="s">
        <v>187</v>
      </c>
      <c r="B200" s="115" t="s">
        <v>188</v>
      </c>
      <c r="C200" s="115" t="s">
        <v>44</v>
      </c>
      <c r="D200" s="115" t="s">
        <v>127</v>
      </c>
      <c r="E200" s="115" t="s">
        <v>137</v>
      </c>
      <c r="F200" s="116">
        <v>3646</v>
      </c>
      <c r="G200" s="116">
        <v>3</v>
      </c>
      <c r="H200" s="117">
        <f t="shared" si="6"/>
        <v>8.2281952825013713E-4</v>
      </c>
      <c r="I200" s="118" t="str">
        <f t="shared" si="7"/>
        <v>EN</v>
      </c>
    </row>
    <row r="201" spans="1:9" x14ac:dyDescent="0.3">
      <c r="A201" s="115" t="s">
        <v>187</v>
      </c>
      <c r="B201" s="115" t="s">
        <v>188</v>
      </c>
      <c r="C201" s="115" t="s">
        <v>44</v>
      </c>
      <c r="D201" s="115" t="s">
        <v>127</v>
      </c>
      <c r="E201" s="115" t="s">
        <v>137</v>
      </c>
      <c r="F201" s="116">
        <v>182</v>
      </c>
      <c r="G201" s="116">
        <v>2</v>
      </c>
      <c r="H201" s="117">
        <f t="shared" si="6"/>
        <v>1.098901098901099E-2</v>
      </c>
      <c r="I201" s="118" t="str">
        <f t="shared" si="7"/>
        <v>EN</v>
      </c>
    </row>
    <row r="202" spans="1:9" x14ac:dyDescent="0.3">
      <c r="A202" s="115" t="s">
        <v>187</v>
      </c>
      <c r="B202" s="115" t="s">
        <v>189</v>
      </c>
      <c r="C202" s="115" t="s">
        <v>44</v>
      </c>
      <c r="D202" s="115" t="s">
        <v>127</v>
      </c>
      <c r="E202" s="115" t="s">
        <v>137</v>
      </c>
      <c r="F202" s="116">
        <v>7657</v>
      </c>
      <c r="G202" s="116">
        <v>40</v>
      </c>
      <c r="H202" s="117">
        <f t="shared" si="6"/>
        <v>5.2239780592921508E-3</v>
      </c>
      <c r="I202" s="118" t="str">
        <f t="shared" si="7"/>
        <v>EN</v>
      </c>
    </row>
    <row r="203" spans="1:9" x14ac:dyDescent="0.3">
      <c r="A203" s="115" t="s">
        <v>187</v>
      </c>
      <c r="B203" s="115" t="s">
        <v>189</v>
      </c>
      <c r="C203" s="115" t="s">
        <v>44</v>
      </c>
      <c r="D203" s="115" t="s">
        <v>127</v>
      </c>
      <c r="E203" s="115" t="s">
        <v>137</v>
      </c>
      <c r="F203" s="116">
        <v>36088</v>
      </c>
      <c r="G203" s="116">
        <v>128</v>
      </c>
      <c r="H203" s="117">
        <f t="shared" si="6"/>
        <v>3.5468853912657946E-3</v>
      </c>
      <c r="I203" s="118" t="str">
        <f t="shared" si="7"/>
        <v>EN</v>
      </c>
    </row>
    <row r="204" spans="1:9" x14ac:dyDescent="0.3">
      <c r="A204" s="115" t="s">
        <v>187</v>
      </c>
      <c r="B204" s="115" t="s">
        <v>189</v>
      </c>
      <c r="C204" s="115" t="s">
        <v>44</v>
      </c>
      <c r="D204" s="115" t="s">
        <v>127</v>
      </c>
      <c r="E204" s="115" t="s">
        <v>137</v>
      </c>
      <c r="F204" s="116">
        <v>71337</v>
      </c>
      <c r="G204" s="116">
        <v>226</v>
      </c>
      <c r="H204" s="117">
        <f t="shared" si="6"/>
        <v>3.1680614547850345E-3</v>
      </c>
      <c r="I204" s="118" t="str">
        <f t="shared" si="7"/>
        <v>EN</v>
      </c>
    </row>
    <row r="205" spans="1:9" x14ac:dyDescent="0.3">
      <c r="A205" s="115" t="s">
        <v>187</v>
      </c>
      <c r="B205" s="115" t="s">
        <v>189</v>
      </c>
      <c r="C205" s="115" t="s">
        <v>44</v>
      </c>
      <c r="D205" s="115" t="s">
        <v>127</v>
      </c>
      <c r="E205" s="115" t="s">
        <v>137</v>
      </c>
      <c r="F205" s="116">
        <v>53199</v>
      </c>
      <c r="G205" s="116">
        <v>208</v>
      </c>
      <c r="H205" s="117">
        <f t="shared" si="6"/>
        <v>3.9098479294723586E-3</v>
      </c>
      <c r="I205" s="118" t="str">
        <f t="shared" si="7"/>
        <v>EN</v>
      </c>
    </row>
    <row r="206" spans="1:9" x14ac:dyDescent="0.3">
      <c r="A206" s="115" t="s">
        <v>187</v>
      </c>
      <c r="B206" s="115" t="s">
        <v>189</v>
      </c>
      <c r="C206" s="115" t="s">
        <v>44</v>
      </c>
      <c r="D206" s="115" t="s">
        <v>127</v>
      </c>
      <c r="E206" s="115" t="s">
        <v>137</v>
      </c>
      <c r="F206" s="116">
        <v>56375</v>
      </c>
      <c r="G206" s="116">
        <v>235</v>
      </c>
      <c r="H206" s="117">
        <f t="shared" si="6"/>
        <v>4.1685144124168514E-3</v>
      </c>
      <c r="I206" s="118" t="str">
        <f t="shared" si="7"/>
        <v>EN</v>
      </c>
    </row>
    <row r="207" spans="1:9" x14ac:dyDescent="0.3">
      <c r="A207" s="115" t="s">
        <v>187</v>
      </c>
      <c r="B207" s="115" t="s">
        <v>190</v>
      </c>
      <c r="C207" s="115" t="s">
        <v>44</v>
      </c>
      <c r="D207" s="115" t="s">
        <v>127</v>
      </c>
      <c r="E207" s="115" t="s">
        <v>137</v>
      </c>
      <c r="F207" s="116">
        <v>2</v>
      </c>
      <c r="G207" s="116">
        <v>1</v>
      </c>
      <c r="H207" s="117">
        <f t="shared" si="6"/>
        <v>0.5</v>
      </c>
      <c r="I207" s="118" t="str">
        <f t="shared" si="7"/>
        <v>EN</v>
      </c>
    </row>
    <row r="208" spans="1:9" x14ac:dyDescent="0.3">
      <c r="A208" s="115" t="s">
        <v>187</v>
      </c>
      <c r="B208" s="115" t="s">
        <v>190</v>
      </c>
      <c r="C208" s="115" t="s">
        <v>44</v>
      </c>
      <c r="D208" s="115" t="s">
        <v>127</v>
      </c>
      <c r="E208" s="115" t="s">
        <v>137</v>
      </c>
      <c r="F208" s="116">
        <v>624</v>
      </c>
      <c r="G208" s="116">
        <v>2</v>
      </c>
      <c r="H208" s="117">
        <f t="shared" si="6"/>
        <v>3.205128205128205E-3</v>
      </c>
      <c r="I208" s="118" t="str">
        <f t="shared" si="7"/>
        <v>EN</v>
      </c>
    </row>
    <row r="209" spans="1:9" x14ac:dyDescent="0.3">
      <c r="A209" s="115" t="s">
        <v>187</v>
      </c>
      <c r="B209" s="115" t="s">
        <v>190</v>
      </c>
      <c r="C209" s="115" t="s">
        <v>44</v>
      </c>
      <c r="D209" s="115" t="s">
        <v>127</v>
      </c>
      <c r="E209" s="115" t="s">
        <v>137</v>
      </c>
      <c r="F209" s="116">
        <v>959</v>
      </c>
      <c r="G209" s="116">
        <v>7</v>
      </c>
      <c r="H209" s="117">
        <f t="shared" si="6"/>
        <v>7.2992700729927005E-3</v>
      </c>
      <c r="I209" s="118" t="str">
        <f t="shared" si="7"/>
        <v>EN</v>
      </c>
    </row>
    <row r="210" spans="1:9" x14ac:dyDescent="0.3">
      <c r="A210" s="115" t="s">
        <v>187</v>
      </c>
      <c r="B210" s="115" t="s">
        <v>190</v>
      </c>
      <c r="C210" s="115" t="s">
        <v>44</v>
      </c>
      <c r="D210" s="115" t="s">
        <v>127</v>
      </c>
      <c r="E210" s="115" t="s">
        <v>137</v>
      </c>
      <c r="F210" s="116">
        <v>1851</v>
      </c>
      <c r="G210" s="116">
        <v>7</v>
      </c>
      <c r="H210" s="117">
        <f t="shared" si="6"/>
        <v>3.7817396002160996E-3</v>
      </c>
      <c r="I210" s="118" t="str">
        <f t="shared" si="7"/>
        <v>EN</v>
      </c>
    </row>
    <row r="211" spans="1:9" x14ac:dyDescent="0.3">
      <c r="A211" s="115" t="s">
        <v>187</v>
      </c>
      <c r="B211" s="115" t="s">
        <v>190</v>
      </c>
      <c r="C211" s="115" t="s">
        <v>44</v>
      </c>
      <c r="D211" s="115" t="s">
        <v>127</v>
      </c>
      <c r="E211" s="115" t="s">
        <v>137</v>
      </c>
      <c r="F211" s="116">
        <v>429</v>
      </c>
      <c r="G211" s="116">
        <v>2</v>
      </c>
      <c r="H211" s="117">
        <f t="shared" si="6"/>
        <v>4.662004662004662E-3</v>
      </c>
      <c r="I211" s="118" t="str">
        <f t="shared" si="7"/>
        <v>EN</v>
      </c>
    </row>
    <row r="212" spans="1:9" x14ac:dyDescent="0.3">
      <c r="A212" s="115" t="s">
        <v>187</v>
      </c>
      <c r="B212" s="115" t="s">
        <v>191</v>
      </c>
      <c r="C212" s="115" t="s">
        <v>44</v>
      </c>
      <c r="D212" s="115" t="s">
        <v>127</v>
      </c>
      <c r="E212" s="115" t="s">
        <v>137</v>
      </c>
      <c r="F212" s="116">
        <v>1210</v>
      </c>
      <c r="G212" s="116">
        <v>0</v>
      </c>
      <c r="H212" s="117">
        <f t="shared" si="6"/>
        <v>0</v>
      </c>
      <c r="I212" s="118" t="str">
        <f t="shared" si="7"/>
        <v>EN</v>
      </c>
    </row>
    <row r="213" spans="1:9" x14ac:dyDescent="0.3">
      <c r="A213" s="115" t="s">
        <v>187</v>
      </c>
      <c r="B213" s="115" t="s">
        <v>191</v>
      </c>
      <c r="C213" s="115" t="s">
        <v>44</v>
      </c>
      <c r="D213" s="115" t="s">
        <v>127</v>
      </c>
      <c r="E213" s="115" t="s">
        <v>137</v>
      </c>
      <c r="F213" s="116">
        <v>8358</v>
      </c>
      <c r="G213" s="116">
        <v>11</v>
      </c>
      <c r="H213" s="117">
        <f t="shared" si="6"/>
        <v>1.316104331179708E-3</v>
      </c>
      <c r="I213" s="118" t="str">
        <f t="shared" si="7"/>
        <v>EN</v>
      </c>
    </row>
    <row r="214" spans="1:9" x14ac:dyDescent="0.3">
      <c r="A214" s="115" t="s">
        <v>187</v>
      </c>
      <c r="B214" s="115" t="s">
        <v>191</v>
      </c>
      <c r="C214" s="115" t="s">
        <v>44</v>
      </c>
      <c r="D214" s="115" t="s">
        <v>127</v>
      </c>
      <c r="E214" s="115" t="s">
        <v>137</v>
      </c>
      <c r="F214" s="116">
        <v>13128</v>
      </c>
      <c r="G214" s="116">
        <v>27</v>
      </c>
      <c r="H214" s="117">
        <f t="shared" si="6"/>
        <v>2.0566727605118829E-3</v>
      </c>
      <c r="I214" s="118" t="str">
        <f t="shared" si="7"/>
        <v>EN</v>
      </c>
    </row>
    <row r="215" spans="1:9" x14ac:dyDescent="0.3">
      <c r="A215" s="115" t="s">
        <v>187</v>
      </c>
      <c r="B215" s="115" t="s">
        <v>191</v>
      </c>
      <c r="C215" s="115" t="s">
        <v>44</v>
      </c>
      <c r="D215" s="115" t="s">
        <v>127</v>
      </c>
      <c r="E215" s="115" t="s">
        <v>137</v>
      </c>
      <c r="F215" s="116">
        <v>11924</v>
      </c>
      <c r="G215" s="116">
        <v>28</v>
      </c>
      <c r="H215" s="117">
        <f t="shared" si="6"/>
        <v>2.3482053002348204E-3</v>
      </c>
      <c r="I215" s="118" t="str">
        <f t="shared" si="7"/>
        <v>EN</v>
      </c>
    </row>
    <row r="216" spans="1:9" x14ac:dyDescent="0.3">
      <c r="A216" s="115" t="s">
        <v>187</v>
      </c>
      <c r="B216" s="115" t="s">
        <v>191</v>
      </c>
      <c r="C216" s="115" t="s">
        <v>44</v>
      </c>
      <c r="D216" s="115" t="s">
        <v>127</v>
      </c>
      <c r="E216" s="115" t="s">
        <v>137</v>
      </c>
      <c r="F216" s="116">
        <v>1383</v>
      </c>
      <c r="G216" s="116">
        <v>2</v>
      </c>
      <c r="H216" s="117">
        <f t="shared" si="6"/>
        <v>1.4461315979754157E-3</v>
      </c>
      <c r="I216" s="118" t="str">
        <f t="shared" si="7"/>
        <v>EN</v>
      </c>
    </row>
    <row r="217" spans="1:9" x14ac:dyDescent="0.3">
      <c r="A217" s="115" t="s">
        <v>187</v>
      </c>
      <c r="B217" s="115" t="s">
        <v>192</v>
      </c>
      <c r="C217" s="115" t="s">
        <v>44</v>
      </c>
      <c r="D217" s="115" t="s">
        <v>127</v>
      </c>
      <c r="E217" s="115" t="s">
        <v>137</v>
      </c>
      <c r="F217" s="116">
        <v>308</v>
      </c>
      <c r="G217" s="116">
        <v>1</v>
      </c>
      <c r="H217" s="117">
        <f t="shared" si="6"/>
        <v>3.246753246753247E-3</v>
      </c>
      <c r="I217" s="118" t="str">
        <f t="shared" si="7"/>
        <v>EN</v>
      </c>
    </row>
    <row r="218" spans="1:9" x14ac:dyDescent="0.3">
      <c r="A218" s="115" t="s">
        <v>187</v>
      </c>
      <c r="B218" s="115" t="s">
        <v>192</v>
      </c>
      <c r="C218" s="115" t="s">
        <v>44</v>
      </c>
      <c r="D218" s="115" t="s">
        <v>127</v>
      </c>
      <c r="E218" s="115" t="s">
        <v>137</v>
      </c>
      <c r="F218" s="116">
        <v>8099</v>
      </c>
      <c r="G218" s="116">
        <v>21</v>
      </c>
      <c r="H218" s="117">
        <f t="shared" si="6"/>
        <v>2.5929127052722557E-3</v>
      </c>
      <c r="I218" s="118" t="str">
        <f t="shared" si="7"/>
        <v>EN</v>
      </c>
    </row>
    <row r="219" spans="1:9" x14ac:dyDescent="0.3">
      <c r="A219" s="115" t="s">
        <v>187</v>
      </c>
      <c r="B219" s="115" t="s">
        <v>192</v>
      </c>
      <c r="C219" s="115" t="s">
        <v>44</v>
      </c>
      <c r="D219" s="115" t="s">
        <v>127</v>
      </c>
      <c r="E219" s="115" t="s">
        <v>137</v>
      </c>
      <c r="F219" s="116">
        <v>12653</v>
      </c>
      <c r="G219" s="116">
        <v>38</v>
      </c>
      <c r="H219" s="117">
        <f t="shared" si="6"/>
        <v>3.0032403382597014E-3</v>
      </c>
      <c r="I219" s="118" t="str">
        <f t="shared" si="7"/>
        <v>EN</v>
      </c>
    </row>
    <row r="220" spans="1:9" x14ac:dyDescent="0.3">
      <c r="A220" s="115" t="s">
        <v>187</v>
      </c>
      <c r="B220" s="115" t="s">
        <v>192</v>
      </c>
      <c r="C220" s="115" t="s">
        <v>44</v>
      </c>
      <c r="D220" s="115" t="s">
        <v>127</v>
      </c>
      <c r="E220" s="115" t="s">
        <v>137</v>
      </c>
      <c r="F220" s="116">
        <v>9680</v>
      </c>
      <c r="G220" s="116">
        <v>21</v>
      </c>
      <c r="H220" s="117">
        <f t="shared" si="6"/>
        <v>2.1694214876033058E-3</v>
      </c>
      <c r="I220" s="118" t="str">
        <f t="shared" si="7"/>
        <v>EN</v>
      </c>
    </row>
    <row r="221" spans="1:9" x14ac:dyDescent="0.3">
      <c r="A221" s="115" t="s">
        <v>187</v>
      </c>
      <c r="B221" s="115" t="s">
        <v>192</v>
      </c>
      <c r="C221" s="115" t="s">
        <v>44</v>
      </c>
      <c r="D221" s="115" t="s">
        <v>127</v>
      </c>
      <c r="E221" s="115" t="s">
        <v>137</v>
      </c>
      <c r="F221" s="116">
        <v>2361</v>
      </c>
      <c r="G221" s="116">
        <v>1</v>
      </c>
      <c r="H221" s="117">
        <f t="shared" si="6"/>
        <v>4.2354934349851756E-4</v>
      </c>
      <c r="I221" s="118" t="str">
        <f t="shared" si="7"/>
        <v>EN</v>
      </c>
    </row>
    <row r="222" spans="1:9" x14ac:dyDescent="0.3">
      <c r="A222" s="115" t="s">
        <v>187</v>
      </c>
      <c r="B222" s="115" t="s">
        <v>193</v>
      </c>
      <c r="C222" s="115" t="s">
        <v>44</v>
      </c>
      <c r="D222" s="115" t="s">
        <v>127</v>
      </c>
      <c r="E222" s="115" t="s">
        <v>137</v>
      </c>
      <c r="F222" s="116">
        <v>11391</v>
      </c>
      <c r="G222" s="116">
        <v>49</v>
      </c>
      <c r="H222" s="117">
        <f t="shared" si="6"/>
        <v>4.3016416469142307E-3</v>
      </c>
      <c r="I222" s="118" t="str">
        <f t="shared" si="7"/>
        <v>EN</v>
      </c>
    </row>
    <row r="223" spans="1:9" x14ac:dyDescent="0.3">
      <c r="A223" s="115" t="s">
        <v>187</v>
      </c>
      <c r="B223" s="115" t="s">
        <v>193</v>
      </c>
      <c r="C223" s="115" t="s">
        <v>44</v>
      </c>
      <c r="D223" s="115" t="s">
        <v>127</v>
      </c>
      <c r="E223" s="115" t="s">
        <v>137</v>
      </c>
      <c r="F223" s="116">
        <v>42646</v>
      </c>
      <c r="G223" s="116">
        <v>91</v>
      </c>
      <c r="H223" s="117">
        <f t="shared" si="6"/>
        <v>2.1338460816958216E-3</v>
      </c>
      <c r="I223" s="118" t="str">
        <f t="shared" si="7"/>
        <v>EN</v>
      </c>
    </row>
    <row r="224" spans="1:9" x14ac:dyDescent="0.3">
      <c r="A224" s="115" t="s">
        <v>187</v>
      </c>
      <c r="B224" s="115" t="s">
        <v>193</v>
      </c>
      <c r="C224" s="115" t="s">
        <v>44</v>
      </c>
      <c r="D224" s="115" t="s">
        <v>127</v>
      </c>
      <c r="E224" s="115" t="s">
        <v>137</v>
      </c>
      <c r="F224" s="116">
        <v>69264</v>
      </c>
      <c r="G224" s="116">
        <v>174</v>
      </c>
      <c r="H224" s="117">
        <f t="shared" si="6"/>
        <v>2.5121275121275121E-3</v>
      </c>
      <c r="I224" s="118" t="str">
        <f t="shared" si="7"/>
        <v>EN</v>
      </c>
    </row>
    <row r="225" spans="1:9" x14ac:dyDescent="0.3">
      <c r="A225" s="115" t="s">
        <v>187</v>
      </c>
      <c r="B225" s="115" t="s">
        <v>193</v>
      </c>
      <c r="C225" s="115" t="s">
        <v>44</v>
      </c>
      <c r="D225" s="115" t="s">
        <v>127</v>
      </c>
      <c r="E225" s="115" t="s">
        <v>137</v>
      </c>
      <c r="F225" s="116">
        <v>54740</v>
      </c>
      <c r="G225" s="116">
        <v>146</v>
      </c>
      <c r="H225" s="117">
        <f t="shared" si="6"/>
        <v>2.6671538180489587E-3</v>
      </c>
      <c r="I225" s="118" t="str">
        <f t="shared" si="7"/>
        <v>EN</v>
      </c>
    </row>
    <row r="226" spans="1:9" x14ac:dyDescent="0.3">
      <c r="A226" s="115" t="s">
        <v>187</v>
      </c>
      <c r="B226" s="115" t="s">
        <v>193</v>
      </c>
      <c r="C226" s="115" t="s">
        <v>44</v>
      </c>
      <c r="D226" s="115" t="s">
        <v>127</v>
      </c>
      <c r="E226" s="115" t="s">
        <v>137</v>
      </c>
      <c r="F226" s="116">
        <v>53283</v>
      </c>
      <c r="G226" s="116">
        <v>191</v>
      </c>
      <c r="H226" s="117">
        <f t="shared" si="6"/>
        <v>3.584632997391288E-3</v>
      </c>
      <c r="I226" s="118" t="str">
        <f t="shared" si="7"/>
        <v>EN</v>
      </c>
    </row>
    <row r="227" spans="1:9" x14ac:dyDescent="0.3">
      <c r="A227" s="115" t="s">
        <v>187</v>
      </c>
      <c r="B227" s="115" t="s">
        <v>194</v>
      </c>
      <c r="C227" s="115" t="s">
        <v>45</v>
      </c>
      <c r="D227" s="115" t="s">
        <v>127</v>
      </c>
      <c r="E227" s="115" t="s">
        <v>137</v>
      </c>
      <c r="F227" s="116">
        <v>1011</v>
      </c>
      <c r="G227" s="116">
        <v>3</v>
      </c>
      <c r="H227" s="117">
        <f t="shared" si="6"/>
        <v>2.967359050445104E-3</v>
      </c>
      <c r="I227" s="118" t="str">
        <f t="shared" si="7"/>
        <v>EN</v>
      </c>
    </row>
    <row r="228" spans="1:9" x14ac:dyDescent="0.3">
      <c r="A228" s="115" t="s">
        <v>187</v>
      </c>
      <c r="B228" s="115" t="s">
        <v>194</v>
      </c>
      <c r="C228" s="115" t="s">
        <v>45</v>
      </c>
      <c r="D228" s="115" t="s">
        <v>127</v>
      </c>
      <c r="E228" s="115" t="s">
        <v>137</v>
      </c>
      <c r="F228" s="116">
        <v>5101</v>
      </c>
      <c r="G228" s="116">
        <v>6</v>
      </c>
      <c r="H228" s="117">
        <f t="shared" si="6"/>
        <v>1.1762399529504019E-3</v>
      </c>
      <c r="I228" s="118" t="str">
        <f t="shared" si="7"/>
        <v>EN</v>
      </c>
    </row>
    <row r="229" spans="1:9" x14ac:dyDescent="0.3">
      <c r="A229" s="115" t="s">
        <v>187</v>
      </c>
      <c r="B229" s="115" t="s">
        <v>194</v>
      </c>
      <c r="C229" s="115" t="s">
        <v>45</v>
      </c>
      <c r="D229" s="115" t="s">
        <v>127</v>
      </c>
      <c r="E229" s="115" t="s">
        <v>137</v>
      </c>
      <c r="F229" s="116">
        <v>6000</v>
      </c>
      <c r="G229" s="116">
        <v>5</v>
      </c>
      <c r="H229" s="117">
        <f t="shared" si="6"/>
        <v>8.3333333333333339E-4</v>
      </c>
      <c r="I229" s="118" t="str">
        <f t="shared" si="7"/>
        <v>EN</v>
      </c>
    </row>
    <row r="230" spans="1:9" x14ac:dyDescent="0.3">
      <c r="A230" s="115" t="s">
        <v>187</v>
      </c>
      <c r="B230" s="115" t="s">
        <v>194</v>
      </c>
      <c r="C230" s="115" t="s">
        <v>45</v>
      </c>
      <c r="D230" s="115" t="s">
        <v>127</v>
      </c>
      <c r="E230" s="115" t="s">
        <v>137</v>
      </c>
      <c r="F230" s="116">
        <v>3616</v>
      </c>
      <c r="G230" s="116">
        <v>5</v>
      </c>
      <c r="H230" s="117">
        <f t="shared" si="6"/>
        <v>1.3827433628318584E-3</v>
      </c>
      <c r="I230" s="118" t="str">
        <f t="shared" si="7"/>
        <v>EN</v>
      </c>
    </row>
    <row r="231" spans="1:9" x14ac:dyDescent="0.3">
      <c r="A231" s="115" t="s">
        <v>187</v>
      </c>
      <c r="B231" s="115" t="s">
        <v>194</v>
      </c>
      <c r="C231" s="115" t="s">
        <v>45</v>
      </c>
      <c r="D231" s="115" t="s">
        <v>127</v>
      </c>
      <c r="E231" s="115" t="s">
        <v>137</v>
      </c>
      <c r="F231" s="116">
        <v>1319</v>
      </c>
      <c r="G231" s="116">
        <v>3</v>
      </c>
      <c r="H231" s="117">
        <f t="shared" si="6"/>
        <v>2.2744503411675512E-3</v>
      </c>
      <c r="I231" s="118" t="str">
        <f t="shared" si="7"/>
        <v>EN</v>
      </c>
    </row>
    <row r="232" spans="1:9" x14ac:dyDescent="0.3">
      <c r="A232" s="115" t="s">
        <v>187</v>
      </c>
      <c r="B232" s="115" t="s">
        <v>195</v>
      </c>
      <c r="C232" s="115" t="s">
        <v>45</v>
      </c>
      <c r="D232" s="115" t="s">
        <v>127</v>
      </c>
      <c r="E232" s="115" t="s">
        <v>137</v>
      </c>
      <c r="F232" s="116">
        <v>3579</v>
      </c>
      <c r="G232" s="116">
        <v>17</v>
      </c>
      <c r="H232" s="117">
        <f t="shared" si="6"/>
        <v>4.7499301480860576E-3</v>
      </c>
      <c r="I232" s="118" t="str">
        <f t="shared" si="7"/>
        <v>EN</v>
      </c>
    </row>
    <row r="233" spans="1:9" x14ac:dyDescent="0.3">
      <c r="A233" s="115" t="s">
        <v>187</v>
      </c>
      <c r="B233" s="115" t="s">
        <v>195</v>
      </c>
      <c r="C233" s="115" t="s">
        <v>45</v>
      </c>
      <c r="D233" s="115" t="s">
        <v>127</v>
      </c>
      <c r="E233" s="115" t="s">
        <v>137</v>
      </c>
      <c r="F233" s="116">
        <v>22098</v>
      </c>
      <c r="G233" s="116">
        <v>60</v>
      </c>
      <c r="H233" s="117">
        <f t="shared" si="6"/>
        <v>2.7151778441487917E-3</v>
      </c>
      <c r="I233" s="118" t="str">
        <f t="shared" si="7"/>
        <v>EN</v>
      </c>
    </row>
    <row r="234" spans="1:9" x14ac:dyDescent="0.3">
      <c r="A234" s="115" t="s">
        <v>187</v>
      </c>
      <c r="B234" s="115" t="s">
        <v>195</v>
      </c>
      <c r="C234" s="115" t="s">
        <v>45</v>
      </c>
      <c r="D234" s="115" t="s">
        <v>127</v>
      </c>
      <c r="E234" s="115" t="s">
        <v>137</v>
      </c>
      <c r="F234" s="116">
        <v>62349</v>
      </c>
      <c r="G234" s="116">
        <v>125</v>
      </c>
      <c r="H234" s="117">
        <f t="shared" si="6"/>
        <v>2.0048437023849619E-3</v>
      </c>
      <c r="I234" s="118" t="str">
        <f t="shared" si="7"/>
        <v>EN</v>
      </c>
    </row>
    <row r="235" spans="1:9" x14ac:dyDescent="0.3">
      <c r="A235" s="115" t="s">
        <v>187</v>
      </c>
      <c r="B235" s="115" t="s">
        <v>195</v>
      </c>
      <c r="C235" s="115" t="s">
        <v>45</v>
      </c>
      <c r="D235" s="115" t="s">
        <v>127</v>
      </c>
      <c r="E235" s="115" t="s">
        <v>137</v>
      </c>
      <c r="F235" s="116">
        <v>35702</v>
      </c>
      <c r="G235" s="116">
        <v>69</v>
      </c>
      <c r="H235" s="117">
        <f t="shared" si="6"/>
        <v>1.9326648367038262E-3</v>
      </c>
      <c r="I235" s="118" t="str">
        <f t="shared" si="7"/>
        <v>EN</v>
      </c>
    </row>
    <row r="236" spans="1:9" x14ac:dyDescent="0.3">
      <c r="A236" s="115" t="s">
        <v>187</v>
      </c>
      <c r="B236" s="115" t="s">
        <v>195</v>
      </c>
      <c r="C236" s="115" t="s">
        <v>45</v>
      </c>
      <c r="D236" s="115" t="s">
        <v>127</v>
      </c>
      <c r="E236" s="115" t="s">
        <v>137</v>
      </c>
      <c r="F236" s="116">
        <v>27459</v>
      </c>
      <c r="G236" s="116">
        <v>48</v>
      </c>
      <c r="H236" s="117">
        <f t="shared" si="6"/>
        <v>1.7480607451108925E-3</v>
      </c>
      <c r="I236" s="118" t="str">
        <f t="shared" si="7"/>
        <v>EN</v>
      </c>
    </row>
    <row r="237" spans="1:9" x14ac:dyDescent="0.3">
      <c r="A237" s="115" t="s">
        <v>187</v>
      </c>
      <c r="B237" s="115" t="s">
        <v>196</v>
      </c>
      <c r="C237" s="115" t="s">
        <v>45</v>
      </c>
      <c r="D237" s="115" t="s">
        <v>127</v>
      </c>
      <c r="E237" s="115" t="s">
        <v>137</v>
      </c>
      <c r="F237" s="116">
        <v>3201</v>
      </c>
      <c r="G237" s="116">
        <v>8</v>
      </c>
      <c r="H237" s="117">
        <f t="shared" si="6"/>
        <v>2.4992189940643548E-3</v>
      </c>
      <c r="I237" s="118" t="str">
        <f t="shared" si="7"/>
        <v>EN</v>
      </c>
    </row>
    <row r="238" spans="1:9" x14ac:dyDescent="0.3">
      <c r="A238" s="115" t="s">
        <v>187</v>
      </c>
      <c r="B238" s="115" t="s">
        <v>196</v>
      </c>
      <c r="C238" s="115" t="s">
        <v>45</v>
      </c>
      <c r="D238" s="115" t="s">
        <v>127</v>
      </c>
      <c r="E238" s="115" t="s">
        <v>137</v>
      </c>
      <c r="F238" s="116">
        <v>12425</v>
      </c>
      <c r="G238" s="116">
        <v>23</v>
      </c>
      <c r="H238" s="117">
        <f t="shared" si="6"/>
        <v>1.8511066398390341E-3</v>
      </c>
      <c r="I238" s="118" t="str">
        <f t="shared" si="7"/>
        <v>EN</v>
      </c>
    </row>
    <row r="239" spans="1:9" x14ac:dyDescent="0.3">
      <c r="A239" s="115" t="s">
        <v>187</v>
      </c>
      <c r="B239" s="115" t="s">
        <v>196</v>
      </c>
      <c r="C239" s="115" t="s">
        <v>45</v>
      </c>
      <c r="D239" s="115" t="s">
        <v>127</v>
      </c>
      <c r="E239" s="115" t="s">
        <v>137</v>
      </c>
      <c r="F239" s="116">
        <v>15388</v>
      </c>
      <c r="G239" s="116">
        <v>13</v>
      </c>
      <c r="H239" s="117">
        <f t="shared" si="6"/>
        <v>8.4481414088900439E-4</v>
      </c>
      <c r="I239" s="118" t="str">
        <f t="shared" si="7"/>
        <v>EN</v>
      </c>
    </row>
    <row r="240" spans="1:9" x14ac:dyDescent="0.3">
      <c r="A240" s="115" t="s">
        <v>187</v>
      </c>
      <c r="B240" s="115" t="s">
        <v>196</v>
      </c>
      <c r="C240" s="115" t="s">
        <v>45</v>
      </c>
      <c r="D240" s="115" t="s">
        <v>127</v>
      </c>
      <c r="E240" s="115" t="s">
        <v>137</v>
      </c>
      <c r="F240" s="116">
        <v>11397</v>
      </c>
      <c r="G240" s="116">
        <v>20</v>
      </c>
      <c r="H240" s="117">
        <f t="shared" si="6"/>
        <v>1.7548477669562166E-3</v>
      </c>
      <c r="I240" s="118" t="str">
        <f t="shared" si="7"/>
        <v>EN</v>
      </c>
    </row>
    <row r="241" spans="1:9" x14ac:dyDescent="0.3">
      <c r="A241" s="115" t="s">
        <v>187</v>
      </c>
      <c r="B241" s="115" t="s">
        <v>196</v>
      </c>
      <c r="C241" s="115" t="s">
        <v>45</v>
      </c>
      <c r="D241" s="115" t="s">
        <v>127</v>
      </c>
      <c r="E241" s="115" t="s">
        <v>137</v>
      </c>
      <c r="F241" s="116">
        <v>1424</v>
      </c>
      <c r="G241" s="116">
        <v>5</v>
      </c>
      <c r="H241" s="117">
        <f t="shared" si="6"/>
        <v>3.5112359550561797E-3</v>
      </c>
      <c r="I241" s="118" t="str">
        <f t="shared" si="7"/>
        <v>EN</v>
      </c>
    </row>
    <row r="242" spans="1:9" x14ac:dyDescent="0.3">
      <c r="A242" s="115" t="s">
        <v>187</v>
      </c>
      <c r="B242" s="115" t="s">
        <v>197</v>
      </c>
      <c r="C242" s="115" t="s">
        <v>45</v>
      </c>
      <c r="D242" s="115" t="s">
        <v>127</v>
      </c>
      <c r="E242" s="115" t="s">
        <v>137</v>
      </c>
      <c r="F242" s="116">
        <v>597</v>
      </c>
      <c r="G242" s="116">
        <v>2</v>
      </c>
      <c r="H242" s="117">
        <f t="shared" si="6"/>
        <v>3.3500837520938024E-3</v>
      </c>
      <c r="I242" s="118" t="str">
        <f t="shared" si="7"/>
        <v>EN</v>
      </c>
    </row>
    <row r="243" spans="1:9" x14ac:dyDescent="0.3">
      <c r="A243" s="115" t="s">
        <v>187</v>
      </c>
      <c r="B243" s="115" t="s">
        <v>197</v>
      </c>
      <c r="C243" s="115" t="s">
        <v>45</v>
      </c>
      <c r="D243" s="115" t="s">
        <v>127</v>
      </c>
      <c r="E243" s="115" t="s">
        <v>137</v>
      </c>
      <c r="F243" s="116">
        <v>5413</v>
      </c>
      <c r="G243" s="116">
        <v>2</v>
      </c>
      <c r="H243" s="117">
        <f t="shared" si="6"/>
        <v>3.6948087936449289E-4</v>
      </c>
      <c r="I243" s="118" t="str">
        <f t="shared" si="7"/>
        <v>EN</v>
      </c>
    </row>
    <row r="244" spans="1:9" x14ac:dyDescent="0.3">
      <c r="A244" s="115" t="s">
        <v>187</v>
      </c>
      <c r="B244" s="115" t="s">
        <v>197</v>
      </c>
      <c r="C244" s="115" t="s">
        <v>45</v>
      </c>
      <c r="D244" s="115" t="s">
        <v>127</v>
      </c>
      <c r="E244" s="115" t="s">
        <v>137</v>
      </c>
      <c r="F244" s="116">
        <v>9326</v>
      </c>
      <c r="G244" s="116">
        <v>6</v>
      </c>
      <c r="H244" s="117">
        <f t="shared" si="6"/>
        <v>6.4336264207591682E-4</v>
      </c>
      <c r="I244" s="118" t="str">
        <f t="shared" si="7"/>
        <v>EN</v>
      </c>
    </row>
    <row r="245" spans="1:9" x14ac:dyDescent="0.3">
      <c r="A245" s="115" t="s">
        <v>187</v>
      </c>
      <c r="B245" s="115" t="s">
        <v>197</v>
      </c>
      <c r="C245" s="115" t="s">
        <v>45</v>
      </c>
      <c r="D245" s="115" t="s">
        <v>127</v>
      </c>
      <c r="E245" s="115" t="s">
        <v>137</v>
      </c>
      <c r="F245" s="116">
        <v>7868</v>
      </c>
      <c r="G245" s="116">
        <v>8</v>
      </c>
      <c r="H245" s="117">
        <f t="shared" si="6"/>
        <v>1.0167768174885613E-3</v>
      </c>
      <c r="I245" s="118" t="str">
        <f t="shared" si="7"/>
        <v>EN</v>
      </c>
    </row>
    <row r="246" spans="1:9" x14ac:dyDescent="0.3">
      <c r="A246" s="115" t="s">
        <v>187</v>
      </c>
      <c r="B246" s="115" t="s">
        <v>197</v>
      </c>
      <c r="C246" s="115" t="s">
        <v>45</v>
      </c>
      <c r="D246" s="115" t="s">
        <v>127</v>
      </c>
      <c r="E246" s="115" t="s">
        <v>137</v>
      </c>
      <c r="F246" s="116">
        <v>478</v>
      </c>
      <c r="G246" s="116">
        <v>1</v>
      </c>
      <c r="H246" s="117">
        <f t="shared" si="6"/>
        <v>2.0920502092050207E-3</v>
      </c>
      <c r="I246" s="118" t="str">
        <f t="shared" si="7"/>
        <v>EN</v>
      </c>
    </row>
    <row r="247" spans="1:9" x14ac:dyDescent="0.3">
      <c r="A247" s="115" t="s">
        <v>187</v>
      </c>
      <c r="B247" s="115" t="s">
        <v>198</v>
      </c>
      <c r="C247" s="115" t="s">
        <v>45</v>
      </c>
      <c r="D247" s="115" t="s">
        <v>127</v>
      </c>
      <c r="E247" s="115" t="s">
        <v>137</v>
      </c>
      <c r="F247" s="116">
        <v>3714</v>
      </c>
      <c r="G247" s="116">
        <v>7</v>
      </c>
      <c r="H247" s="117">
        <f t="shared" si="6"/>
        <v>1.884760366182014E-3</v>
      </c>
      <c r="I247" s="118" t="str">
        <f t="shared" si="7"/>
        <v>EN</v>
      </c>
    </row>
    <row r="248" spans="1:9" x14ac:dyDescent="0.3">
      <c r="A248" s="115" t="s">
        <v>187</v>
      </c>
      <c r="B248" s="115" t="s">
        <v>198</v>
      </c>
      <c r="C248" s="115" t="s">
        <v>45</v>
      </c>
      <c r="D248" s="115" t="s">
        <v>127</v>
      </c>
      <c r="E248" s="115" t="s">
        <v>137</v>
      </c>
      <c r="F248" s="116">
        <v>14227</v>
      </c>
      <c r="G248" s="116">
        <v>37</v>
      </c>
      <c r="H248" s="117">
        <f t="shared" si="6"/>
        <v>2.6006888310958036E-3</v>
      </c>
      <c r="I248" s="118" t="str">
        <f t="shared" si="7"/>
        <v>EN</v>
      </c>
    </row>
    <row r="249" spans="1:9" x14ac:dyDescent="0.3">
      <c r="A249" s="115" t="s">
        <v>187</v>
      </c>
      <c r="B249" s="115" t="s">
        <v>198</v>
      </c>
      <c r="C249" s="115" t="s">
        <v>45</v>
      </c>
      <c r="D249" s="115" t="s">
        <v>127</v>
      </c>
      <c r="E249" s="115" t="s">
        <v>137</v>
      </c>
      <c r="F249" s="116">
        <v>29389</v>
      </c>
      <c r="G249" s="116">
        <v>64</v>
      </c>
      <c r="H249" s="117">
        <f t="shared" si="6"/>
        <v>2.1776855285991358E-3</v>
      </c>
      <c r="I249" s="118" t="str">
        <f t="shared" si="7"/>
        <v>EN</v>
      </c>
    </row>
    <row r="250" spans="1:9" x14ac:dyDescent="0.3">
      <c r="A250" s="115" t="s">
        <v>187</v>
      </c>
      <c r="B250" s="115" t="s">
        <v>198</v>
      </c>
      <c r="C250" s="115" t="s">
        <v>45</v>
      </c>
      <c r="D250" s="115" t="s">
        <v>127</v>
      </c>
      <c r="E250" s="115" t="s">
        <v>137</v>
      </c>
      <c r="F250" s="116">
        <v>17340</v>
      </c>
      <c r="G250" s="116">
        <v>46</v>
      </c>
      <c r="H250" s="117">
        <f t="shared" si="6"/>
        <v>2.6528258362168398E-3</v>
      </c>
      <c r="I250" s="118" t="str">
        <f t="shared" si="7"/>
        <v>EN</v>
      </c>
    </row>
    <row r="251" spans="1:9" x14ac:dyDescent="0.3">
      <c r="A251" s="115" t="s">
        <v>187</v>
      </c>
      <c r="B251" s="115" t="s">
        <v>198</v>
      </c>
      <c r="C251" s="115" t="s">
        <v>45</v>
      </c>
      <c r="D251" s="115" t="s">
        <v>127</v>
      </c>
      <c r="E251" s="115" t="s">
        <v>137</v>
      </c>
      <c r="F251" s="116">
        <v>15372</v>
      </c>
      <c r="G251" s="116">
        <v>48</v>
      </c>
      <c r="H251" s="117">
        <f t="shared" si="6"/>
        <v>3.1225604996096799E-3</v>
      </c>
      <c r="I251" s="118" t="str">
        <f t="shared" si="7"/>
        <v>EN</v>
      </c>
    </row>
    <row r="252" spans="1:9" x14ac:dyDescent="0.3">
      <c r="A252" s="115" t="s">
        <v>199</v>
      </c>
      <c r="B252" s="115" t="s">
        <v>200</v>
      </c>
      <c r="C252" s="115" t="s">
        <v>201</v>
      </c>
      <c r="D252" s="115" t="s">
        <v>127</v>
      </c>
      <c r="E252" s="115" t="s">
        <v>128</v>
      </c>
      <c r="F252" s="116">
        <v>4</v>
      </c>
      <c r="G252" s="116">
        <v>0</v>
      </c>
      <c r="H252" s="117">
        <f t="shared" si="6"/>
        <v>0</v>
      </c>
      <c r="I252" s="118" t="str">
        <f t="shared" si="7"/>
        <v>60</v>
      </c>
    </row>
    <row r="253" spans="1:9" x14ac:dyDescent="0.3">
      <c r="A253" s="115" t="s">
        <v>199</v>
      </c>
      <c r="B253" s="115" t="s">
        <v>200</v>
      </c>
      <c r="C253" s="115" t="s">
        <v>201</v>
      </c>
      <c r="D253" s="115" t="s">
        <v>127</v>
      </c>
      <c r="E253" s="115" t="s">
        <v>128</v>
      </c>
      <c r="F253" s="116">
        <v>6</v>
      </c>
      <c r="G253" s="116">
        <v>0</v>
      </c>
      <c r="H253" s="117">
        <f t="shared" si="6"/>
        <v>0</v>
      </c>
      <c r="I253" s="118" t="str">
        <f t="shared" si="7"/>
        <v>60</v>
      </c>
    </row>
    <row r="254" spans="1:9" x14ac:dyDescent="0.3">
      <c r="A254" s="115" t="s">
        <v>199</v>
      </c>
      <c r="B254" s="115" t="s">
        <v>200</v>
      </c>
      <c r="C254" s="115" t="s">
        <v>201</v>
      </c>
      <c r="D254" s="115" t="s">
        <v>127</v>
      </c>
      <c r="E254" s="115" t="s">
        <v>128</v>
      </c>
      <c r="F254" s="116">
        <v>14</v>
      </c>
      <c r="G254" s="116">
        <v>0</v>
      </c>
      <c r="H254" s="117">
        <f t="shared" si="6"/>
        <v>0</v>
      </c>
      <c r="I254" s="118" t="str">
        <f t="shared" si="7"/>
        <v>60</v>
      </c>
    </row>
    <row r="255" spans="1:9" x14ac:dyDescent="0.3">
      <c r="A255" s="115" t="s">
        <v>199</v>
      </c>
      <c r="B255" s="115" t="s">
        <v>200</v>
      </c>
      <c r="C255" s="115" t="s">
        <v>201</v>
      </c>
      <c r="D255" s="115" t="s">
        <v>127</v>
      </c>
      <c r="E255" s="115" t="s">
        <v>128</v>
      </c>
      <c r="F255" s="116">
        <v>3</v>
      </c>
      <c r="G255" s="116">
        <v>0</v>
      </c>
      <c r="H255" s="117">
        <f t="shared" si="6"/>
        <v>0</v>
      </c>
      <c r="I255" s="118" t="str">
        <f t="shared" si="7"/>
        <v>60</v>
      </c>
    </row>
    <row r="256" spans="1:9" x14ac:dyDescent="0.3">
      <c r="A256" s="115" t="s">
        <v>199</v>
      </c>
      <c r="B256" s="115" t="s">
        <v>200</v>
      </c>
      <c r="C256" s="115" t="s">
        <v>201</v>
      </c>
      <c r="D256" s="115" t="s">
        <v>127</v>
      </c>
      <c r="E256" s="115" t="s">
        <v>128</v>
      </c>
      <c r="F256" s="116">
        <v>1</v>
      </c>
      <c r="G256" s="116">
        <v>0</v>
      </c>
      <c r="H256" s="117">
        <f t="shared" si="6"/>
        <v>0</v>
      </c>
      <c r="I256" s="118" t="str">
        <f t="shared" si="7"/>
        <v>60</v>
      </c>
    </row>
    <row r="257" spans="1:9" x14ac:dyDescent="0.3">
      <c r="A257" s="115" t="s">
        <v>199</v>
      </c>
      <c r="B257" s="115" t="s">
        <v>202</v>
      </c>
      <c r="C257" s="115" t="s">
        <v>201</v>
      </c>
      <c r="D257" s="115" t="s">
        <v>127</v>
      </c>
      <c r="E257" s="115" t="s">
        <v>128</v>
      </c>
      <c r="F257" s="116">
        <v>8</v>
      </c>
      <c r="G257" s="116">
        <v>0</v>
      </c>
      <c r="H257" s="117">
        <f t="shared" si="6"/>
        <v>0</v>
      </c>
      <c r="I257" s="118" t="str">
        <f t="shared" si="7"/>
        <v>60</v>
      </c>
    </row>
    <row r="258" spans="1:9" x14ac:dyDescent="0.3">
      <c r="A258" s="115" t="s">
        <v>199</v>
      </c>
      <c r="B258" s="115" t="s">
        <v>202</v>
      </c>
      <c r="C258" s="115" t="s">
        <v>201</v>
      </c>
      <c r="D258" s="115" t="s">
        <v>127</v>
      </c>
      <c r="E258" s="115" t="s">
        <v>128</v>
      </c>
      <c r="F258" s="116">
        <v>24</v>
      </c>
      <c r="G258" s="116">
        <v>1</v>
      </c>
      <c r="H258" s="117">
        <f t="shared" si="6"/>
        <v>4.1666666666666664E-2</v>
      </c>
      <c r="I258" s="118" t="str">
        <f t="shared" si="7"/>
        <v>60</v>
      </c>
    </row>
    <row r="259" spans="1:9" x14ac:dyDescent="0.3">
      <c r="A259" s="115" t="s">
        <v>199</v>
      </c>
      <c r="B259" s="115" t="s">
        <v>202</v>
      </c>
      <c r="C259" s="115" t="s">
        <v>201</v>
      </c>
      <c r="D259" s="115" t="s">
        <v>127</v>
      </c>
      <c r="E259" s="115" t="s">
        <v>128</v>
      </c>
      <c r="F259" s="116">
        <v>10</v>
      </c>
      <c r="G259" s="116">
        <v>0</v>
      </c>
      <c r="H259" s="117">
        <f t="shared" ref="H259:H322" si="8">G259/F259</f>
        <v>0</v>
      </c>
      <c r="I259" s="118" t="str">
        <f t="shared" ref="I259:I322" si="9">RIGHT(B259,2)</f>
        <v>60</v>
      </c>
    </row>
    <row r="260" spans="1:9" x14ac:dyDescent="0.3">
      <c r="A260" s="115" t="s">
        <v>199</v>
      </c>
      <c r="B260" s="115" t="s">
        <v>202</v>
      </c>
      <c r="C260" s="115" t="s">
        <v>201</v>
      </c>
      <c r="D260" s="115" t="s">
        <v>127</v>
      </c>
      <c r="E260" s="115" t="s">
        <v>128</v>
      </c>
      <c r="F260" s="116">
        <v>4</v>
      </c>
      <c r="G260" s="116">
        <v>0</v>
      </c>
      <c r="H260" s="117">
        <f t="shared" si="8"/>
        <v>0</v>
      </c>
      <c r="I260" s="118" t="str">
        <f t="shared" si="9"/>
        <v>60</v>
      </c>
    </row>
    <row r="261" spans="1:9" x14ac:dyDescent="0.3">
      <c r="A261" s="115" t="s">
        <v>199</v>
      </c>
      <c r="B261" s="115" t="s">
        <v>202</v>
      </c>
      <c r="C261" s="115" t="s">
        <v>201</v>
      </c>
      <c r="D261" s="115" t="s">
        <v>127</v>
      </c>
      <c r="E261" s="115" t="s">
        <v>128</v>
      </c>
      <c r="F261" s="116">
        <v>1</v>
      </c>
      <c r="G261" s="116">
        <v>0</v>
      </c>
      <c r="H261" s="117">
        <f t="shared" si="8"/>
        <v>0</v>
      </c>
      <c r="I261" s="118" t="str">
        <f t="shared" si="9"/>
        <v>60</v>
      </c>
    </row>
    <row r="262" spans="1:9" x14ac:dyDescent="0.3">
      <c r="A262" s="115" t="s">
        <v>199</v>
      </c>
      <c r="B262" s="115" t="s">
        <v>203</v>
      </c>
      <c r="C262" s="115" t="s">
        <v>201</v>
      </c>
      <c r="D262" s="115" t="s">
        <v>127</v>
      </c>
      <c r="E262" s="115" t="s">
        <v>128</v>
      </c>
      <c r="F262" s="116">
        <v>3</v>
      </c>
      <c r="G262" s="116">
        <v>0</v>
      </c>
      <c r="H262" s="117">
        <f t="shared" si="8"/>
        <v>0</v>
      </c>
      <c r="I262" s="118" t="str">
        <f t="shared" si="9"/>
        <v>60</v>
      </c>
    </row>
    <row r="263" spans="1:9" x14ac:dyDescent="0.3">
      <c r="A263" s="115" t="s">
        <v>199</v>
      </c>
      <c r="B263" s="115" t="s">
        <v>203</v>
      </c>
      <c r="C263" s="115" t="s">
        <v>201</v>
      </c>
      <c r="D263" s="115" t="s">
        <v>127</v>
      </c>
      <c r="E263" s="115" t="s">
        <v>128</v>
      </c>
      <c r="F263" s="116">
        <v>8</v>
      </c>
      <c r="G263" s="116">
        <v>0</v>
      </c>
      <c r="H263" s="117">
        <f t="shared" si="8"/>
        <v>0</v>
      </c>
      <c r="I263" s="118" t="str">
        <f t="shared" si="9"/>
        <v>60</v>
      </c>
    </row>
    <row r="264" spans="1:9" x14ac:dyDescent="0.3">
      <c r="A264" s="115" t="s">
        <v>199</v>
      </c>
      <c r="B264" s="115" t="s">
        <v>203</v>
      </c>
      <c r="C264" s="115" t="s">
        <v>201</v>
      </c>
      <c r="D264" s="115" t="s">
        <v>127</v>
      </c>
      <c r="E264" s="115" t="s">
        <v>128</v>
      </c>
      <c r="F264" s="116">
        <v>7</v>
      </c>
      <c r="G264" s="116">
        <v>0</v>
      </c>
      <c r="H264" s="117">
        <f t="shared" si="8"/>
        <v>0</v>
      </c>
      <c r="I264" s="118" t="str">
        <f t="shared" si="9"/>
        <v>60</v>
      </c>
    </row>
    <row r="265" spans="1:9" x14ac:dyDescent="0.3">
      <c r="A265" s="115" t="s">
        <v>199</v>
      </c>
      <c r="B265" s="115" t="s">
        <v>203</v>
      </c>
      <c r="C265" s="115" t="s">
        <v>201</v>
      </c>
      <c r="D265" s="115" t="s">
        <v>127</v>
      </c>
      <c r="E265" s="115" t="s">
        <v>128</v>
      </c>
      <c r="F265" s="116">
        <v>7</v>
      </c>
      <c r="G265" s="116">
        <v>0</v>
      </c>
      <c r="H265" s="117">
        <f t="shared" si="8"/>
        <v>0</v>
      </c>
      <c r="I265" s="118" t="str">
        <f t="shared" si="9"/>
        <v>60</v>
      </c>
    </row>
    <row r="266" spans="1:9" x14ac:dyDescent="0.3">
      <c r="A266" s="115" t="s">
        <v>199</v>
      </c>
      <c r="B266" s="115" t="s">
        <v>203</v>
      </c>
      <c r="C266" s="115" t="s">
        <v>201</v>
      </c>
      <c r="D266" s="115" t="s">
        <v>127</v>
      </c>
      <c r="E266" s="115" t="s">
        <v>128</v>
      </c>
      <c r="F266" s="116">
        <v>4</v>
      </c>
      <c r="G266" s="116">
        <v>0</v>
      </c>
      <c r="H266" s="117">
        <f t="shared" si="8"/>
        <v>0</v>
      </c>
      <c r="I266" s="118" t="str">
        <f t="shared" si="9"/>
        <v>60</v>
      </c>
    </row>
    <row r="267" spans="1:9" x14ac:dyDescent="0.3">
      <c r="A267" s="115" t="s">
        <v>199</v>
      </c>
      <c r="B267" s="115" t="s">
        <v>204</v>
      </c>
      <c r="C267" s="115" t="s">
        <v>201</v>
      </c>
      <c r="D267" s="115" t="s">
        <v>127</v>
      </c>
      <c r="E267" s="115" t="s">
        <v>128</v>
      </c>
      <c r="F267" s="116">
        <v>7</v>
      </c>
      <c r="G267" s="116">
        <v>0</v>
      </c>
      <c r="H267" s="117">
        <f t="shared" si="8"/>
        <v>0</v>
      </c>
      <c r="I267" s="118" t="str">
        <f t="shared" si="9"/>
        <v>60</v>
      </c>
    </row>
    <row r="268" spans="1:9" x14ac:dyDescent="0.3">
      <c r="A268" s="115" t="s">
        <v>199</v>
      </c>
      <c r="B268" s="115" t="s">
        <v>204</v>
      </c>
      <c r="C268" s="115" t="s">
        <v>201</v>
      </c>
      <c r="D268" s="115" t="s">
        <v>127</v>
      </c>
      <c r="E268" s="115" t="s">
        <v>128</v>
      </c>
      <c r="F268" s="116">
        <v>6</v>
      </c>
      <c r="G268" s="116">
        <v>0</v>
      </c>
      <c r="H268" s="117">
        <f t="shared" si="8"/>
        <v>0</v>
      </c>
      <c r="I268" s="118" t="str">
        <f t="shared" si="9"/>
        <v>60</v>
      </c>
    </row>
    <row r="269" spans="1:9" x14ac:dyDescent="0.3">
      <c r="A269" s="115" t="s">
        <v>199</v>
      </c>
      <c r="B269" s="115" t="s">
        <v>204</v>
      </c>
      <c r="C269" s="115" t="s">
        <v>201</v>
      </c>
      <c r="D269" s="115" t="s">
        <v>127</v>
      </c>
      <c r="E269" s="115" t="s">
        <v>128</v>
      </c>
      <c r="F269" s="116">
        <v>4</v>
      </c>
      <c r="G269" s="116">
        <v>0</v>
      </c>
      <c r="H269" s="117">
        <f t="shared" si="8"/>
        <v>0</v>
      </c>
      <c r="I269" s="118" t="str">
        <f t="shared" si="9"/>
        <v>60</v>
      </c>
    </row>
    <row r="270" spans="1:9" x14ac:dyDescent="0.3">
      <c r="A270" s="115" t="s">
        <v>199</v>
      </c>
      <c r="B270" s="115" t="s">
        <v>204</v>
      </c>
      <c r="C270" s="115" t="s">
        <v>201</v>
      </c>
      <c r="D270" s="115" t="s">
        <v>127</v>
      </c>
      <c r="E270" s="115" t="s">
        <v>128</v>
      </c>
      <c r="F270" s="116">
        <v>5</v>
      </c>
      <c r="G270" s="116">
        <v>0</v>
      </c>
      <c r="H270" s="117">
        <f t="shared" si="8"/>
        <v>0</v>
      </c>
      <c r="I270" s="118" t="str">
        <f t="shared" si="9"/>
        <v>60</v>
      </c>
    </row>
    <row r="271" spans="1:9" x14ac:dyDescent="0.3">
      <c r="A271" s="115" t="s">
        <v>199</v>
      </c>
      <c r="B271" s="115" t="s">
        <v>204</v>
      </c>
      <c r="C271" s="115" t="s">
        <v>201</v>
      </c>
      <c r="D271" s="115" t="s">
        <v>127</v>
      </c>
      <c r="E271" s="115" t="s">
        <v>128</v>
      </c>
      <c r="F271" s="116">
        <v>4</v>
      </c>
      <c r="G271" s="116">
        <v>0</v>
      </c>
      <c r="H271" s="117">
        <f t="shared" si="8"/>
        <v>0</v>
      </c>
      <c r="I271" s="118" t="str">
        <f t="shared" si="9"/>
        <v>60</v>
      </c>
    </row>
    <row r="272" spans="1:9" x14ac:dyDescent="0.3">
      <c r="A272" s="115" t="s">
        <v>199</v>
      </c>
      <c r="B272" s="115" t="s">
        <v>205</v>
      </c>
      <c r="C272" s="115" t="s">
        <v>201</v>
      </c>
      <c r="D272" s="115" t="s">
        <v>127</v>
      </c>
      <c r="E272" s="115" t="s">
        <v>128</v>
      </c>
      <c r="F272" s="116">
        <v>8</v>
      </c>
      <c r="G272" s="116">
        <v>0</v>
      </c>
      <c r="H272" s="117">
        <f t="shared" si="8"/>
        <v>0</v>
      </c>
      <c r="I272" s="118" t="str">
        <f t="shared" si="9"/>
        <v>60</v>
      </c>
    </row>
    <row r="273" spans="1:9" x14ac:dyDescent="0.3">
      <c r="A273" s="115" t="s">
        <v>199</v>
      </c>
      <c r="B273" s="115" t="s">
        <v>205</v>
      </c>
      <c r="C273" s="115" t="s">
        <v>201</v>
      </c>
      <c r="D273" s="115" t="s">
        <v>127</v>
      </c>
      <c r="E273" s="115" t="s">
        <v>128</v>
      </c>
      <c r="F273" s="116">
        <v>5</v>
      </c>
      <c r="G273" s="116">
        <v>0</v>
      </c>
      <c r="H273" s="117">
        <f t="shared" si="8"/>
        <v>0</v>
      </c>
      <c r="I273" s="118" t="str">
        <f t="shared" si="9"/>
        <v>60</v>
      </c>
    </row>
    <row r="274" spans="1:9" x14ac:dyDescent="0.3">
      <c r="A274" s="115" t="s">
        <v>199</v>
      </c>
      <c r="B274" s="115" t="s">
        <v>205</v>
      </c>
      <c r="C274" s="115" t="s">
        <v>201</v>
      </c>
      <c r="D274" s="115" t="s">
        <v>127</v>
      </c>
      <c r="E274" s="115" t="s">
        <v>128</v>
      </c>
      <c r="F274" s="116">
        <v>6</v>
      </c>
      <c r="G274" s="116">
        <v>0</v>
      </c>
      <c r="H274" s="117">
        <f t="shared" si="8"/>
        <v>0</v>
      </c>
      <c r="I274" s="118" t="str">
        <f t="shared" si="9"/>
        <v>60</v>
      </c>
    </row>
    <row r="275" spans="1:9" x14ac:dyDescent="0.3">
      <c r="A275" s="115" t="s">
        <v>199</v>
      </c>
      <c r="B275" s="115" t="s">
        <v>205</v>
      </c>
      <c r="C275" s="115" t="s">
        <v>201</v>
      </c>
      <c r="D275" s="115" t="s">
        <v>127</v>
      </c>
      <c r="E275" s="115" t="s">
        <v>128</v>
      </c>
      <c r="F275" s="116">
        <v>5</v>
      </c>
      <c r="G275" s="116">
        <v>0</v>
      </c>
      <c r="H275" s="117">
        <f t="shared" si="8"/>
        <v>0</v>
      </c>
      <c r="I275" s="118" t="str">
        <f t="shared" si="9"/>
        <v>60</v>
      </c>
    </row>
    <row r="276" spans="1:9" x14ac:dyDescent="0.3">
      <c r="A276" s="115" t="s">
        <v>199</v>
      </c>
      <c r="B276" s="115" t="s">
        <v>205</v>
      </c>
      <c r="C276" s="115" t="s">
        <v>201</v>
      </c>
      <c r="D276" s="115" t="s">
        <v>127</v>
      </c>
      <c r="E276" s="115" t="s">
        <v>128</v>
      </c>
      <c r="F276" s="116">
        <v>5</v>
      </c>
      <c r="G276" s="116">
        <v>0</v>
      </c>
      <c r="H276" s="117">
        <f t="shared" si="8"/>
        <v>0</v>
      </c>
      <c r="I276" s="118" t="str">
        <f t="shared" si="9"/>
        <v>60</v>
      </c>
    </row>
    <row r="277" spans="1:9" x14ac:dyDescent="0.3">
      <c r="A277" s="115" t="s">
        <v>199</v>
      </c>
      <c r="B277" s="115" t="s">
        <v>206</v>
      </c>
      <c r="C277" s="115" t="s">
        <v>201</v>
      </c>
      <c r="D277" s="115" t="s">
        <v>127</v>
      </c>
      <c r="E277" s="115" t="s">
        <v>128</v>
      </c>
      <c r="F277" s="116">
        <v>103</v>
      </c>
      <c r="G277" s="116">
        <v>0</v>
      </c>
      <c r="H277" s="117">
        <f t="shared" si="8"/>
        <v>0</v>
      </c>
      <c r="I277" s="118" t="str">
        <f t="shared" si="9"/>
        <v>60</v>
      </c>
    </row>
    <row r="278" spans="1:9" x14ac:dyDescent="0.3">
      <c r="A278" s="115" t="s">
        <v>199</v>
      </c>
      <c r="B278" s="115" t="s">
        <v>206</v>
      </c>
      <c r="C278" s="115" t="s">
        <v>201</v>
      </c>
      <c r="D278" s="115" t="s">
        <v>127</v>
      </c>
      <c r="E278" s="115" t="s">
        <v>128</v>
      </c>
      <c r="F278" s="116">
        <v>118</v>
      </c>
      <c r="G278" s="116">
        <v>0</v>
      </c>
      <c r="H278" s="117">
        <f t="shared" si="8"/>
        <v>0</v>
      </c>
      <c r="I278" s="118" t="str">
        <f t="shared" si="9"/>
        <v>60</v>
      </c>
    </row>
    <row r="279" spans="1:9" x14ac:dyDescent="0.3">
      <c r="A279" s="115" t="s">
        <v>199</v>
      </c>
      <c r="B279" s="115" t="s">
        <v>206</v>
      </c>
      <c r="C279" s="115" t="s">
        <v>201</v>
      </c>
      <c r="D279" s="115" t="s">
        <v>127</v>
      </c>
      <c r="E279" s="115" t="s">
        <v>128</v>
      </c>
      <c r="F279" s="116">
        <v>137</v>
      </c>
      <c r="G279" s="116">
        <v>0</v>
      </c>
      <c r="H279" s="117">
        <f t="shared" si="8"/>
        <v>0</v>
      </c>
      <c r="I279" s="118" t="str">
        <f t="shared" si="9"/>
        <v>60</v>
      </c>
    </row>
    <row r="280" spans="1:9" x14ac:dyDescent="0.3">
      <c r="A280" s="115" t="s">
        <v>199</v>
      </c>
      <c r="B280" s="115" t="s">
        <v>206</v>
      </c>
      <c r="C280" s="115" t="s">
        <v>201</v>
      </c>
      <c r="D280" s="115" t="s">
        <v>127</v>
      </c>
      <c r="E280" s="115" t="s">
        <v>128</v>
      </c>
      <c r="F280" s="116">
        <v>166</v>
      </c>
      <c r="G280" s="116">
        <v>0</v>
      </c>
      <c r="H280" s="117">
        <f t="shared" si="8"/>
        <v>0</v>
      </c>
      <c r="I280" s="118" t="str">
        <f t="shared" si="9"/>
        <v>60</v>
      </c>
    </row>
    <row r="281" spans="1:9" x14ac:dyDescent="0.3">
      <c r="A281" s="115" t="s">
        <v>199</v>
      </c>
      <c r="B281" s="115" t="s">
        <v>206</v>
      </c>
      <c r="C281" s="115" t="s">
        <v>201</v>
      </c>
      <c r="D281" s="115" t="s">
        <v>127</v>
      </c>
      <c r="E281" s="115" t="s">
        <v>128</v>
      </c>
      <c r="F281" s="116">
        <v>95</v>
      </c>
      <c r="G281" s="116">
        <v>1</v>
      </c>
      <c r="H281" s="117">
        <f t="shared" si="8"/>
        <v>1.0526315789473684E-2</v>
      </c>
      <c r="I281" s="118" t="str">
        <f t="shared" si="9"/>
        <v>60</v>
      </c>
    </row>
    <row r="282" spans="1:9" x14ac:dyDescent="0.3">
      <c r="A282" s="115" t="s">
        <v>207</v>
      </c>
      <c r="B282" s="115" t="s">
        <v>208</v>
      </c>
      <c r="C282" s="115" t="s">
        <v>209</v>
      </c>
      <c r="D282" s="115" t="s">
        <v>150</v>
      </c>
      <c r="E282" s="115" t="s">
        <v>151</v>
      </c>
      <c r="F282" s="116">
        <v>1</v>
      </c>
      <c r="G282" s="116">
        <v>0</v>
      </c>
      <c r="H282" s="117">
        <f t="shared" si="8"/>
        <v>0</v>
      </c>
      <c r="I282" s="118" t="str">
        <f t="shared" si="9"/>
        <v>EN</v>
      </c>
    </row>
    <row r="283" spans="1:9" x14ac:dyDescent="0.3">
      <c r="A283" s="115" t="s">
        <v>207</v>
      </c>
      <c r="B283" s="115" t="s">
        <v>210</v>
      </c>
      <c r="C283" s="115" t="s">
        <v>45</v>
      </c>
      <c r="D283" s="115" t="s">
        <v>150</v>
      </c>
      <c r="E283" s="115" t="s">
        <v>151</v>
      </c>
      <c r="F283" s="116">
        <v>1</v>
      </c>
      <c r="G283" s="116">
        <v>0</v>
      </c>
      <c r="H283" s="117">
        <f t="shared" si="8"/>
        <v>0</v>
      </c>
      <c r="I283" s="118" t="str">
        <f t="shared" si="9"/>
        <v>AR</v>
      </c>
    </row>
    <row r="284" spans="1:9" x14ac:dyDescent="0.3">
      <c r="A284" s="115" t="s">
        <v>207</v>
      </c>
      <c r="B284" s="115" t="s">
        <v>211</v>
      </c>
      <c r="C284" s="115" t="s">
        <v>45</v>
      </c>
      <c r="D284" s="115" t="s">
        <v>150</v>
      </c>
      <c r="E284" s="115" t="s">
        <v>151</v>
      </c>
      <c r="F284" s="116">
        <v>3</v>
      </c>
      <c r="G284" s="116">
        <v>0</v>
      </c>
      <c r="H284" s="117">
        <f t="shared" si="8"/>
        <v>0</v>
      </c>
      <c r="I284" s="118" t="str">
        <f t="shared" si="9"/>
        <v>AR</v>
      </c>
    </row>
    <row r="285" spans="1:9" x14ac:dyDescent="0.3">
      <c r="A285" s="115" t="s">
        <v>207</v>
      </c>
      <c r="B285" s="115" t="s">
        <v>212</v>
      </c>
      <c r="C285" s="115" t="s">
        <v>45</v>
      </c>
      <c r="D285" s="115" t="s">
        <v>150</v>
      </c>
      <c r="E285" s="115" t="s">
        <v>151</v>
      </c>
      <c r="F285" s="116">
        <v>1</v>
      </c>
      <c r="G285" s="116">
        <v>0</v>
      </c>
      <c r="H285" s="117">
        <f t="shared" si="8"/>
        <v>0</v>
      </c>
      <c r="I285" s="118" t="str">
        <f t="shared" si="9"/>
        <v>AR</v>
      </c>
    </row>
    <row r="286" spans="1:9" x14ac:dyDescent="0.3">
      <c r="A286" s="115" t="s">
        <v>207</v>
      </c>
      <c r="B286" s="115" t="s">
        <v>213</v>
      </c>
      <c r="C286" s="115" t="s">
        <v>45</v>
      </c>
      <c r="D286" s="115" t="s">
        <v>150</v>
      </c>
      <c r="E286" s="115" t="s">
        <v>151</v>
      </c>
      <c r="F286" s="116">
        <v>2</v>
      </c>
      <c r="G286" s="116">
        <v>0</v>
      </c>
      <c r="H286" s="117">
        <f t="shared" si="8"/>
        <v>0</v>
      </c>
      <c r="I286" s="118" t="str">
        <f t="shared" si="9"/>
        <v>AR</v>
      </c>
    </row>
    <row r="287" spans="1:9" x14ac:dyDescent="0.3">
      <c r="A287" s="115" t="s">
        <v>214</v>
      </c>
      <c r="B287" s="115" t="s">
        <v>215</v>
      </c>
      <c r="C287" s="115" t="s">
        <v>44</v>
      </c>
      <c r="D287" s="115" t="s">
        <v>150</v>
      </c>
      <c r="E287" s="115" t="s">
        <v>151</v>
      </c>
      <c r="F287" s="116">
        <v>9</v>
      </c>
      <c r="G287" s="116">
        <v>0</v>
      </c>
      <c r="H287" s="117">
        <f t="shared" si="8"/>
        <v>0</v>
      </c>
      <c r="I287" s="118" t="str">
        <f t="shared" si="9"/>
        <v>AR</v>
      </c>
    </row>
    <row r="288" spans="1:9" x14ac:dyDescent="0.3">
      <c r="A288" s="115" t="s">
        <v>214</v>
      </c>
      <c r="B288" s="115" t="s">
        <v>215</v>
      </c>
      <c r="C288" s="115" t="s">
        <v>44</v>
      </c>
      <c r="D288" s="115" t="s">
        <v>150</v>
      </c>
      <c r="E288" s="115" t="s">
        <v>151</v>
      </c>
      <c r="F288" s="116">
        <v>62</v>
      </c>
      <c r="G288" s="116">
        <v>0</v>
      </c>
      <c r="H288" s="117">
        <f t="shared" si="8"/>
        <v>0</v>
      </c>
      <c r="I288" s="118" t="str">
        <f t="shared" si="9"/>
        <v>AR</v>
      </c>
    </row>
    <row r="289" spans="1:9" x14ac:dyDescent="0.3">
      <c r="A289" s="115" t="s">
        <v>214</v>
      </c>
      <c r="B289" s="115" t="s">
        <v>215</v>
      </c>
      <c r="C289" s="115" t="s">
        <v>44</v>
      </c>
      <c r="D289" s="115" t="s">
        <v>150</v>
      </c>
      <c r="E289" s="115" t="s">
        <v>151</v>
      </c>
      <c r="F289" s="116">
        <v>39</v>
      </c>
      <c r="G289" s="116">
        <v>0</v>
      </c>
      <c r="H289" s="117">
        <f t="shared" si="8"/>
        <v>0</v>
      </c>
      <c r="I289" s="118" t="str">
        <f t="shared" si="9"/>
        <v>AR</v>
      </c>
    </row>
    <row r="290" spans="1:9" x14ac:dyDescent="0.3">
      <c r="A290" s="115" t="s">
        <v>214</v>
      </c>
      <c r="B290" s="115" t="s">
        <v>215</v>
      </c>
      <c r="C290" s="115" t="s">
        <v>44</v>
      </c>
      <c r="D290" s="115" t="s">
        <v>150</v>
      </c>
      <c r="E290" s="115" t="s">
        <v>151</v>
      </c>
      <c r="F290" s="116">
        <v>26</v>
      </c>
      <c r="G290" s="116">
        <v>0</v>
      </c>
      <c r="H290" s="117">
        <f t="shared" si="8"/>
        <v>0</v>
      </c>
      <c r="I290" s="118" t="str">
        <f t="shared" si="9"/>
        <v>AR</v>
      </c>
    </row>
    <row r="291" spans="1:9" x14ac:dyDescent="0.3">
      <c r="A291" s="115" t="s">
        <v>214</v>
      </c>
      <c r="B291" s="115" t="s">
        <v>215</v>
      </c>
      <c r="C291" s="115" t="s">
        <v>44</v>
      </c>
      <c r="D291" s="115" t="s">
        <v>150</v>
      </c>
      <c r="E291" s="115" t="s">
        <v>151</v>
      </c>
      <c r="F291" s="116">
        <v>210</v>
      </c>
      <c r="G291" s="116">
        <v>0</v>
      </c>
      <c r="H291" s="117">
        <f t="shared" si="8"/>
        <v>0</v>
      </c>
      <c r="I291" s="118" t="str">
        <f t="shared" si="9"/>
        <v>AR</v>
      </c>
    </row>
    <row r="292" spans="1:9" x14ac:dyDescent="0.3">
      <c r="A292" s="115" t="s">
        <v>214</v>
      </c>
      <c r="B292" s="115" t="s">
        <v>215</v>
      </c>
      <c r="C292" s="115" t="s">
        <v>44</v>
      </c>
      <c r="D292" s="115" t="s">
        <v>127</v>
      </c>
      <c r="E292" s="115" t="s">
        <v>137</v>
      </c>
      <c r="F292" s="116">
        <v>24689</v>
      </c>
      <c r="G292" s="116">
        <v>35</v>
      </c>
      <c r="H292" s="117">
        <f t="shared" si="8"/>
        <v>1.4176353841791891E-3</v>
      </c>
      <c r="I292" s="118" t="str">
        <f t="shared" si="9"/>
        <v>AR</v>
      </c>
    </row>
    <row r="293" spans="1:9" x14ac:dyDescent="0.3">
      <c r="A293" s="115" t="s">
        <v>214</v>
      </c>
      <c r="B293" s="115" t="s">
        <v>215</v>
      </c>
      <c r="C293" s="115" t="s">
        <v>44</v>
      </c>
      <c r="D293" s="115" t="s">
        <v>127</v>
      </c>
      <c r="E293" s="115" t="s">
        <v>137</v>
      </c>
      <c r="F293" s="116">
        <v>59547</v>
      </c>
      <c r="G293" s="116">
        <v>74</v>
      </c>
      <c r="H293" s="117">
        <f t="shared" si="8"/>
        <v>1.2427158379095505E-3</v>
      </c>
      <c r="I293" s="118" t="str">
        <f t="shared" si="9"/>
        <v>AR</v>
      </c>
    </row>
    <row r="294" spans="1:9" x14ac:dyDescent="0.3">
      <c r="A294" s="115" t="s">
        <v>214</v>
      </c>
      <c r="B294" s="115" t="s">
        <v>215</v>
      </c>
      <c r="C294" s="115" t="s">
        <v>44</v>
      </c>
      <c r="D294" s="115" t="s">
        <v>127</v>
      </c>
      <c r="E294" s="115" t="s">
        <v>137</v>
      </c>
      <c r="F294" s="116">
        <v>59049</v>
      </c>
      <c r="G294" s="116">
        <v>69</v>
      </c>
      <c r="H294" s="117">
        <f t="shared" si="8"/>
        <v>1.1685210587816899E-3</v>
      </c>
      <c r="I294" s="118" t="str">
        <f t="shared" si="9"/>
        <v>AR</v>
      </c>
    </row>
    <row r="295" spans="1:9" x14ac:dyDescent="0.3">
      <c r="A295" s="115" t="s">
        <v>214</v>
      </c>
      <c r="B295" s="115" t="s">
        <v>215</v>
      </c>
      <c r="C295" s="115" t="s">
        <v>44</v>
      </c>
      <c r="D295" s="115" t="s">
        <v>127</v>
      </c>
      <c r="E295" s="115" t="s">
        <v>137</v>
      </c>
      <c r="F295" s="116">
        <v>58763</v>
      </c>
      <c r="G295" s="116">
        <v>91</v>
      </c>
      <c r="H295" s="117">
        <f t="shared" si="8"/>
        <v>1.548593502714293E-3</v>
      </c>
      <c r="I295" s="118" t="str">
        <f t="shared" si="9"/>
        <v>AR</v>
      </c>
    </row>
    <row r="296" spans="1:9" x14ac:dyDescent="0.3">
      <c r="A296" s="115" t="s">
        <v>214</v>
      </c>
      <c r="B296" s="115" t="s">
        <v>215</v>
      </c>
      <c r="C296" s="115" t="s">
        <v>44</v>
      </c>
      <c r="D296" s="115" t="s">
        <v>127</v>
      </c>
      <c r="E296" s="115" t="s">
        <v>137</v>
      </c>
      <c r="F296" s="116">
        <v>573467</v>
      </c>
      <c r="G296" s="116">
        <v>599</v>
      </c>
      <c r="H296" s="117">
        <f t="shared" si="8"/>
        <v>1.044523922039106E-3</v>
      </c>
      <c r="I296" s="118" t="str">
        <f t="shared" si="9"/>
        <v>AR</v>
      </c>
    </row>
    <row r="297" spans="1:9" x14ac:dyDescent="0.3">
      <c r="A297" s="115" t="s">
        <v>214</v>
      </c>
      <c r="B297" s="115" t="s">
        <v>216</v>
      </c>
      <c r="C297" s="115" t="s">
        <v>44</v>
      </c>
      <c r="D297" s="115" t="s">
        <v>150</v>
      </c>
      <c r="E297" s="115" t="s">
        <v>151</v>
      </c>
      <c r="F297" s="116">
        <v>5</v>
      </c>
      <c r="G297" s="116">
        <v>0</v>
      </c>
      <c r="H297" s="117">
        <f t="shared" si="8"/>
        <v>0</v>
      </c>
      <c r="I297" s="118" t="str">
        <f t="shared" si="9"/>
        <v>EN</v>
      </c>
    </row>
    <row r="298" spans="1:9" x14ac:dyDescent="0.3">
      <c r="A298" s="115" t="s">
        <v>214</v>
      </c>
      <c r="B298" s="115" t="s">
        <v>216</v>
      </c>
      <c r="C298" s="115" t="s">
        <v>44</v>
      </c>
      <c r="D298" s="115" t="s">
        <v>150</v>
      </c>
      <c r="E298" s="115" t="s">
        <v>151</v>
      </c>
      <c r="F298" s="116">
        <v>16</v>
      </c>
      <c r="G298" s="116">
        <v>0</v>
      </c>
      <c r="H298" s="117">
        <f t="shared" si="8"/>
        <v>0</v>
      </c>
      <c r="I298" s="118" t="str">
        <f t="shared" si="9"/>
        <v>EN</v>
      </c>
    </row>
    <row r="299" spans="1:9" x14ac:dyDescent="0.3">
      <c r="A299" s="115" t="s">
        <v>214</v>
      </c>
      <c r="B299" s="115" t="s">
        <v>216</v>
      </c>
      <c r="C299" s="115" t="s">
        <v>44</v>
      </c>
      <c r="D299" s="115" t="s">
        <v>150</v>
      </c>
      <c r="E299" s="115" t="s">
        <v>151</v>
      </c>
      <c r="F299" s="116">
        <v>6</v>
      </c>
      <c r="G299" s="116">
        <v>0</v>
      </c>
      <c r="H299" s="117">
        <f t="shared" si="8"/>
        <v>0</v>
      </c>
      <c r="I299" s="118" t="str">
        <f t="shared" si="9"/>
        <v>EN</v>
      </c>
    </row>
    <row r="300" spans="1:9" x14ac:dyDescent="0.3">
      <c r="A300" s="115" t="s">
        <v>214</v>
      </c>
      <c r="B300" s="115" t="s">
        <v>216</v>
      </c>
      <c r="C300" s="115" t="s">
        <v>44</v>
      </c>
      <c r="D300" s="115" t="s">
        <v>150</v>
      </c>
      <c r="E300" s="115" t="s">
        <v>151</v>
      </c>
      <c r="F300" s="116">
        <v>70</v>
      </c>
      <c r="G300" s="116">
        <v>0</v>
      </c>
      <c r="H300" s="117">
        <f t="shared" si="8"/>
        <v>0</v>
      </c>
      <c r="I300" s="118" t="str">
        <f t="shared" si="9"/>
        <v>EN</v>
      </c>
    </row>
    <row r="301" spans="1:9" x14ac:dyDescent="0.3">
      <c r="A301" s="115" t="s">
        <v>214</v>
      </c>
      <c r="B301" s="115" t="s">
        <v>216</v>
      </c>
      <c r="C301" s="115" t="s">
        <v>44</v>
      </c>
      <c r="D301" s="115" t="s">
        <v>127</v>
      </c>
      <c r="E301" s="115" t="s">
        <v>137</v>
      </c>
      <c r="F301" s="116">
        <v>23257</v>
      </c>
      <c r="G301" s="116">
        <v>21</v>
      </c>
      <c r="H301" s="117">
        <f t="shared" si="8"/>
        <v>9.0295394934858321E-4</v>
      </c>
      <c r="I301" s="118" t="str">
        <f t="shared" si="9"/>
        <v>EN</v>
      </c>
    </row>
    <row r="302" spans="1:9" x14ac:dyDescent="0.3">
      <c r="A302" s="115" t="s">
        <v>214</v>
      </c>
      <c r="B302" s="115" t="s">
        <v>216</v>
      </c>
      <c r="C302" s="115" t="s">
        <v>44</v>
      </c>
      <c r="D302" s="115" t="s">
        <v>127</v>
      </c>
      <c r="E302" s="115" t="s">
        <v>137</v>
      </c>
      <c r="F302" s="116">
        <v>35630</v>
      </c>
      <c r="G302" s="116">
        <v>34</v>
      </c>
      <c r="H302" s="117">
        <f t="shared" si="8"/>
        <v>9.5425203480213302E-4</v>
      </c>
      <c r="I302" s="118" t="str">
        <f t="shared" si="9"/>
        <v>EN</v>
      </c>
    </row>
    <row r="303" spans="1:9" x14ac:dyDescent="0.3">
      <c r="A303" s="115" t="s">
        <v>214</v>
      </c>
      <c r="B303" s="115" t="s">
        <v>216</v>
      </c>
      <c r="C303" s="115" t="s">
        <v>44</v>
      </c>
      <c r="D303" s="115" t="s">
        <v>127</v>
      </c>
      <c r="E303" s="115" t="s">
        <v>137</v>
      </c>
      <c r="F303" s="116">
        <v>61592</v>
      </c>
      <c r="G303" s="116">
        <v>20</v>
      </c>
      <c r="H303" s="117">
        <f t="shared" si="8"/>
        <v>3.2471749577867254E-4</v>
      </c>
      <c r="I303" s="118" t="str">
        <f t="shared" si="9"/>
        <v>EN</v>
      </c>
    </row>
    <row r="304" spans="1:9" x14ac:dyDescent="0.3">
      <c r="A304" s="115" t="s">
        <v>214</v>
      </c>
      <c r="B304" s="115" t="s">
        <v>216</v>
      </c>
      <c r="C304" s="115" t="s">
        <v>44</v>
      </c>
      <c r="D304" s="115" t="s">
        <v>127</v>
      </c>
      <c r="E304" s="115" t="s">
        <v>137</v>
      </c>
      <c r="F304" s="116">
        <v>62113</v>
      </c>
      <c r="G304" s="116">
        <v>17</v>
      </c>
      <c r="H304" s="117">
        <f t="shared" si="8"/>
        <v>2.7369471769194857E-4</v>
      </c>
      <c r="I304" s="118" t="str">
        <f t="shared" si="9"/>
        <v>EN</v>
      </c>
    </row>
    <row r="305" spans="1:9" x14ac:dyDescent="0.3">
      <c r="A305" s="115" t="s">
        <v>214</v>
      </c>
      <c r="B305" s="115" t="s">
        <v>216</v>
      </c>
      <c r="C305" s="115" t="s">
        <v>44</v>
      </c>
      <c r="D305" s="115" t="s">
        <v>127</v>
      </c>
      <c r="E305" s="115" t="s">
        <v>137</v>
      </c>
      <c r="F305" s="116">
        <v>171527</v>
      </c>
      <c r="G305" s="116">
        <v>92</v>
      </c>
      <c r="H305" s="117">
        <f t="shared" si="8"/>
        <v>5.3635870737551528E-4</v>
      </c>
      <c r="I305" s="118" t="str">
        <f t="shared" si="9"/>
        <v>EN</v>
      </c>
    </row>
    <row r="306" spans="1:9" x14ac:dyDescent="0.3">
      <c r="A306" s="115" t="s">
        <v>214</v>
      </c>
      <c r="B306" s="115" t="s">
        <v>217</v>
      </c>
      <c r="C306" s="115" t="s">
        <v>44</v>
      </c>
      <c r="D306" s="115" t="s">
        <v>150</v>
      </c>
      <c r="E306" s="115" t="s">
        <v>151</v>
      </c>
      <c r="F306" s="116">
        <v>9</v>
      </c>
      <c r="G306" s="116">
        <v>0</v>
      </c>
      <c r="H306" s="117">
        <f t="shared" si="8"/>
        <v>0</v>
      </c>
      <c r="I306" s="118" t="str">
        <f t="shared" si="9"/>
        <v>AR</v>
      </c>
    </row>
    <row r="307" spans="1:9" x14ac:dyDescent="0.3">
      <c r="A307" s="115" t="s">
        <v>214</v>
      </c>
      <c r="B307" s="115" t="s">
        <v>217</v>
      </c>
      <c r="C307" s="115" t="s">
        <v>44</v>
      </c>
      <c r="D307" s="115" t="s">
        <v>150</v>
      </c>
      <c r="E307" s="115" t="s">
        <v>151</v>
      </c>
      <c r="F307" s="116">
        <v>21</v>
      </c>
      <c r="G307" s="116">
        <v>0</v>
      </c>
      <c r="H307" s="117">
        <f t="shared" si="8"/>
        <v>0</v>
      </c>
      <c r="I307" s="118" t="str">
        <f t="shared" si="9"/>
        <v>AR</v>
      </c>
    </row>
    <row r="308" spans="1:9" x14ac:dyDescent="0.3">
      <c r="A308" s="115" t="s">
        <v>214</v>
      </c>
      <c r="B308" s="115" t="s">
        <v>217</v>
      </c>
      <c r="C308" s="115" t="s">
        <v>44</v>
      </c>
      <c r="D308" s="115" t="s">
        <v>150</v>
      </c>
      <c r="E308" s="115" t="s">
        <v>151</v>
      </c>
      <c r="F308" s="116">
        <v>5</v>
      </c>
      <c r="G308" s="116">
        <v>0</v>
      </c>
      <c r="H308" s="117">
        <f t="shared" si="8"/>
        <v>0</v>
      </c>
      <c r="I308" s="118" t="str">
        <f t="shared" si="9"/>
        <v>AR</v>
      </c>
    </row>
    <row r="309" spans="1:9" x14ac:dyDescent="0.3">
      <c r="A309" s="115" t="s">
        <v>214</v>
      </c>
      <c r="B309" s="115" t="s">
        <v>217</v>
      </c>
      <c r="C309" s="115" t="s">
        <v>44</v>
      </c>
      <c r="D309" s="115" t="s">
        <v>150</v>
      </c>
      <c r="E309" s="115" t="s">
        <v>151</v>
      </c>
      <c r="F309" s="116">
        <v>37</v>
      </c>
      <c r="G309" s="116">
        <v>0</v>
      </c>
      <c r="H309" s="117">
        <f t="shared" si="8"/>
        <v>0</v>
      </c>
      <c r="I309" s="118" t="str">
        <f t="shared" si="9"/>
        <v>AR</v>
      </c>
    </row>
    <row r="310" spans="1:9" x14ac:dyDescent="0.3">
      <c r="A310" s="115" t="s">
        <v>214</v>
      </c>
      <c r="B310" s="115" t="s">
        <v>217</v>
      </c>
      <c r="C310" s="115" t="s">
        <v>44</v>
      </c>
      <c r="D310" s="115" t="s">
        <v>150</v>
      </c>
      <c r="E310" s="115" t="s">
        <v>151</v>
      </c>
      <c r="F310" s="116">
        <v>25</v>
      </c>
      <c r="G310" s="116">
        <v>0</v>
      </c>
      <c r="H310" s="117">
        <f t="shared" si="8"/>
        <v>0</v>
      </c>
      <c r="I310" s="118" t="str">
        <f t="shared" si="9"/>
        <v>AR</v>
      </c>
    </row>
    <row r="311" spans="1:9" x14ac:dyDescent="0.3">
      <c r="A311" s="115" t="s">
        <v>214</v>
      </c>
      <c r="B311" s="115" t="s">
        <v>217</v>
      </c>
      <c r="C311" s="115" t="s">
        <v>44</v>
      </c>
      <c r="D311" s="115" t="s">
        <v>127</v>
      </c>
      <c r="E311" s="115" t="s">
        <v>137</v>
      </c>
      <c r="F311" s="116">
        <v>16139</v>
      </c>
      <c r="G311" s="116">
        <v>13</v>
      </c>
      <c r="H311" s="117">
        <f t="shared" si="8"/>
        <v>8.0550219964062211E-4</v>
      </c>
      <c r="I311" s="118" t="str">
        <f t="shared" si="9"/>
        <v>AR</v>
      </c>
    </row>
    <row r="312" spans="1:9" x14ac:dyDescent="0.3">
      <c r="A312" s="115" t="s">
        <v>214</v>
      </c>
      <c r="B312" s="115" t="s">
        <v>217</v>
      </c>
      <c r="C312" s="115" t="s">
        <v>44</v>
      </c>
      <c r="D312" s="115" t="s">
        <v>127</v>
      </c>
      <c r="E312" s="115" t="s">
        <v>137</v>
      </c>
      <c r="F312" s="116">
        <v>23941</v>
      </c>
      <c r="G312" s="116">
        <v>23</v>
      </c>
      <c r="H312" s="117">
        <f t="shared" si="8"/>
        <v>9.6069504197819643E-4</v>
      </c>
      <c r="I312" s="118" t="str">
        <f t="shared" si="9"/>
        <v>AR</v>
      </c>
    </row>
    <row r="313" spans="1:9" x14ac:dyDescent="0.3">
      <c r="A313" s="115" t="s">
        <v>214</v>
      </c>
      <c r="B313" s="115" t="s">
        <v>217</v>
      </c>
      <c r="C313" s="115" t="s">
        <v>44</v>
      </c>
      <c r="D313" s="115" t="s">
        <v>127</v>
      </c>
      <c r="E313" s="115" t="s">
        <v>137</v>
      </c>
      <c r="F313" s="116">
        <v>16087</v>
      </c>
      <c r="G313" s="116">
        <v>10</v>
      </c>
      <c r="H313" s="117">
        <f t="shared" si="8"/>
        <v>6.2161994156772549E-4</v>
      </c>
      <c r="I313" s="118" t="str">
        <f t="shared" si="9"/>
        <v>AR</v>
      </c>
    </row>
    <row r="314" spans="1:9" x14ac:dyDescent="0.3">
      <c r="A314" s="115" t="s">
        <v>214</v>
      </c>
      <c r="B314" s="115" t="s">
        <v>217</v>
      </c>
      <c r="C314" s="115" t="s">
        <v>44</v>
      </c>
      <c r="D314" s="115" t="s">
        <v>127</v>
      </c>
      <c r="E314" s="115" t="s">
        <v>137</v>
      </c>
      <c r="F314" s="116">
        <v>29334</v>
      </c>
      <c r="G314" s="116">
        <v>25</v>
      </c>
      <c r="H314" s="117">
        <f t="shared" si="8"/>
        <v>8.5225335787823006E-4</v>
      </c>
      <c r="I314" s="118" t="str">
        <f t="shared" si="9"/>
        <v>AR</v>
      </c>
    </row>
    <row r="315" spans="1:9" x14ac:dyDescent="0.3">
      <c r="A315" s="115" t="s">
        <v>214</v>
      </c>
      <c r="B315" s="115" t="s">
        <v>217</v>
      </c>
      <c r="C315" s="115" t="s">
        <v>44</v>
      </c>
      <c r="D315" s="115" t="s">
        <v>127</v>
      </c>
      <c r="E315" s="115" t="s">
        <v>137</v>
      </c>
      <c r="F315" s="116">
        <v>34491</v>
      </c>
      <c r="G315" s="116">
        <v>31</v>
      </c>
      <c r="H315" s="117">
        <f t="shared" si="8"/>
        <v>8.9878519033950884E-4</v>
      </c>
      <c r="I315" s="118" t="str">
        <f t="shared" si="9"/>
        <v>AR</v>
      </c>
    </row>
    <row r="316" spans="1:9" x14ac:dyDescent="0.3">
      <c r="A316" s="115" t="s">
        <v>214</v>
      </c>
      <c r="B316" s="115" t="s">
        <v>218</v>
      </c>
      <c r="C316" s="115" t="s">
        <v>44</v>
      </c>
      <c r="D316" s="115" t="s">
        <v>150</v>
      </c>
      <c r="E316" s="115" t="s">
        <v>151</v>
      </c>
      <c r="F316" s="116">
        <v>4</v>
      </c>
      <c r="G316" s="116">
        <v>0</v>
      </c>
      <c r="H316" s="117">
        <f t="shared" si="8"/>
        <v>0</v>
      </c>
      <c r="I316" s="118" t="str">
        <f t="shared" si="9"/>
        <v>EN</v>
      </c>
    </row>
    <row r="317" spans="1:9" x14ac:dyDescent="0.3">
      <c r="A317" s="115" t="s">
        <v>214</v>
      </c>
      <c r="B317" s="115" t="s">
        <v>218</v>
      </c>
      <c r="C317" s="115" t="s">
        <v>44</v>
      </c>
      <c r="D317" s="115" t="s">
        <v>127</v>
      </c>
      <c r="E317" s="115" t="s">
        <v>137</v>
      </c>
      <c r="F317" s="116">
        <v>461</v>
      </c>
      <c r="G317" s="116">
        <v>0</v>
      </c>
      <c r="H317" s="117">
        <f t="shared" si="8"/>
        <v>0</v>
      </c>
      <c r="I317" s="118" t="str">
        <f t="shared" si="9"/>
        <v>EN</v>
      </c>
    </row>
    <row r="318" spans="1:9" x14ac:dyDescent="0.3">
      <c r="A318" s="115" t="s">
        <v>214</v>
      </c>
      <c r="B318" s="115" t="s">
        <v>218</v>
      </c>
      <c r="C318" s="115" t="s">
        <v>44</v>
      </c>
      <c r="D318" s="115" t="s">
        <v>127</v>
      </c>
      <c r="E318" s="115" t="s">
        <v>137</v>
      </c>
      <c r="F318" s="116">
        <v>1</v>
      </c>
      <c r="G318" s="116">
        <v>0</v>
      </c>
      <c r="H318" s="117">
        <f t="shared" si="8"/>
        <v>0</v>
      </c>
      <c r="I318" s="118" t="str">
        <f t="shared" si="9"/>
        <v>EN</v>
      </c>
    </row>
    <row r="319" spans="1:9" x14ac:dyDescent="0.3">
      <c r="A319" s="115" t="s">
        <v>214</v>
      </c>
      <c r="B319" s="115" t="s">
        <v>218</v>
      </c>
      <c r="C319" s="115" t="s">
        <v>44</v>
      </c>
      <c r="D319" s="115" t="s">
        <v>127</v>
      </c>
      <c r="E319" s="115" t="s">
        <v>137</v>
      </c>
      <c r="F319" s="116">
        <v>1</v>
      </c>
      <c r="G319" s="116">
        <v>0</v>
      </c>
      <c r="H319" s="117">
        <f t="shared" si="8"/>
        <v>0</v>
      </c>
      <c r="I319" s="118" t="str">
        <f t="shared" si="9"/>
        <v>EN</v>
      </c>
    </row>
    <row r="320" spans="1:9" x14ac:dyDescent="0.3">
      <c r="A320" s="115" t="s">
        <v>214</v>
      </c>
      <c r="B320" s="115" t="s">
        <v>218</v>
      </c>
      <c r="C320" s="115" t="s">
        <v>44</v>
      </c>
      <c r="D320" s="115" t="s">
        <v>127</v>
      </c>
      <c r="E320" s="115" t="s">
        <v>137</v>
      </c>
      <c r="F320" s="116">
        <v>2451</v>
      </c>
      <c r="G320" s="116">
        <v>1</v>
      </c>
      <c r="H320" s="117">
        <f t="shared" si="8"/>
        <v>4.0799673602611179E-4</v>
      </c>
      <c r="I320" s="118" t="str">
        <f t="shared" si="9"/>
        <v>EN</v>
      </c>
    </row>
    <row r="321" spans="1:9" x14ac:dyDescent="0.3">
      <c r="A321" s="115" t="s">
        <v>214</v>
      </c>
      <c r="B321" s="115" t="s">
        <v>218</v>
      </c>
      <c r="C321" s="115" t="s">
        <v>44</v>
      </c>
      <c r="D321" s="115" t="s">
        <v>127</v>
      </c>
      <c r="E321" s="115" t="s">
        <v>137</v>
      </c>
      <c r="F321" s="116">
        <v>15275</v>
      </c>
      <c r="G321" s="116">
        <v>8</v>
      </c>
      <c r="H321" s="117">
        <f t="shared" si="8"/>
        <v>5.2373158756137482E-4</v>
      </c>
      <c r="I321" s="118" t="str">
        <f t="shared" si="9"/>
        <v>EN</v>
      </c>
    </row>
    <row r="322" spans="1:9" x14ac:dyDescent="0.3">
      <c r="A322" s="115" t="s">
        <v>214</v>
      </c>
      <c r="B322" s="115" t="s">
        <v>219</v>
      </c>
      <c r="C322" s="115" t="s">
        <v>45</v>
      </c>
      <c r="D322" s="115" t="s">
        <v>150</v>
      </c>
      <c r="E322" s="115" t="s">
        <v>151</v>
      </c>
      <c r="F322" s="116">
        <v>3</v>
      </c>
      <c r="G322" s="116">
        <v>0</v>
      </c>
      <c r="H322" s="117">
        <f t="shared" si="8"/>
        <v>0</v>
      </c>
      <c r="I322" s="118" t="str">
        <f t="shared" si="9"/>
        <v>AR</v>
      </c>
    </row>
    <row r="323" spans="1:9" x14ac:dyDescent="0.3">
      <c r="A323" s="115" t="s">
        <v>214</v>
      </c>
      <c r="B323" s="115" t="s">
        <v>219</v>
      </c>
      <c r="C323" s="115" t="s">
        <v>45</v>
      </c>
      <c r="D323" s="115" t="s">
        <v>150</v>
      </c>
      <c r="E323" s="115" t="s">
        <v>151</v>
      </c>
      <c r="F323" s="116">
        <v>18</v>
      </c>
      <c r="G323" s="116">
        <v>0</v>
      </c>
      <c r="H323" s="117">
        <f t="shared" ref="H323:H386" si="10">G323/F323</f>
        <v>0</v>
      </c>
      <c r="I323" s="118" t="str">
        <f t="shared" ref="I323:I386" si="11">RIGHT(B323,2)</f>
        <v>AR</v>
      </c>
    </row>
    <row r="324" spans="1:9" x14ac:dyDescent="0.3">
      <c r="A324" s="115" t="s">
        <v>214</v>
      </c>
      <c r="B324" s="115" t="s">
        <v>219</v>
      </c>
      <c r="C324" s="115" t="s">
        <v>45</v>
      </c>
      <c r="D324" s="115" t="s">
        <v>150</v>
      </c>
      <c r="E324" s="115" t="s">
        <v>151</v>
      </c>
      <c r="F324" s="116">
        <v>18</v>
      </c>
      <c r="G324" s="116">
        <v>0</v>
      </c>
      <c r="H324" s="117">
        <f t="shared" si="10"/>
        <v>0</v>
      </c>
      <c r="I324" s="118" t="str">
        <f t="shared" si="11"/>
        <v>AR</v>
      </c>
    </row>
    <row r="325" spans="1:9" x14ac:dyDescent="0.3">
      <c r="A325" s="115" t="s">
        <v>214</v>
      </c>
      <c r="B325" s="115" t="s">
        <v>219</v>
      </c>
      <c r="C325" s="115" t="s">
        <v>45</v>
      </c>
      <c r="D325" s="115" t="s">
        <v>150</v>
      </c>
      <c r="E325" s="115" t="s">
        <v>151</v>
      </c>
      <c r="F325" s="116">
        <v>10</v>
      </c>
      <c r="G325" s="116">
        <v>0</v>
      </c>
      <c r="H325" s="117">
        <f t="shared" si="10"/>
        <v>0</v>
      </c>
      <c r="I325" s="118" t="str">
        <f t="shared" si="11"/>
        <v>AR</v>
      </c>
    </row>
    <row r="326" spans="1:9" x14ac:dyDescent="0.3">
      <c r="A326" s="115" t="s">
        <v>214</v>
      </c>
      <c r="B326" s="115" t="s">
        <v>219</v>
      </c>
      <c r="C326" s="115" t="s">
        <v>45</v>
      </c>
      <c r="D326" s="115" t="s">
        <v>150</v>
      </c>
      <c r="E326" s="115" t="s">
        <v>151</v>
      </c>
      <c r="F326" s="116">
        <v>71</v>
      </c>
      <c r="G326" s="116">
        <v>0</v>
      </c>
      <c r="H326" s="117">
        <f t="shared" si="10"/>
        <v>0</v>
      </c>
      <c r="I326" s="118" t="str">
        <f t="shared" si="11"/>
        <v>AR</v>
      </c>
    </row>
    <row r="327" spans="1:9" x14ac:dyDescent="0.3">
      <c r="A327" s="115" t="s">
        <v>214</v>
      </c>
      <c r="B327" s="115" t="s">
        <v>219</v>
      </c>
      <c r="C327" s="115" t="s">
        <v>45</v>
      </c>
      <c r="D327" s="115" t="s">
        <v>127</v>
      </c>
      <c r="E327" s="115" t="s">
        <v>137</v>
      </c>
      <c r="F327" s="116">
        <v>6754</v>
      </c>
      <c r="G327" s="116">
        <v>3</v>
      </c>
      <c r="H327" s="117">
        <f t="shared" si="10"/>
        <v>4.4418122594018359E-4</v>
      </c>
      <c r="I327" s="118" t="str">
        <f t="shared" si="11"/>
        <v>AR</v>
      </c>
    </row>
    <row r="328" spans="1:9" x14ac:dyDescent="0.3">
      <c r="A328" s="115" t="s">
        <v>214</v>
      </c>
      <c r="B328" s="115" t="s">
        <v>219</v>
      </c>
      <c r="C328" s="115" t="s">
        <v>45</v>
      </c>
      <c r="D328" s="115" t="s">
        <v>127</v>
      </c>
      <c r="E328" s="115" t="s">
        <v>137</v>
      </c>
      <c r="F328" s="116">
        <v>36275</v>
      </c>
      <c r="G328" s="116">
        <v>28</v>
      </c>
      <c r="H328" s="117">
        <f t="shared" si="10"/>
        <v>7.7188146106133698E-4</v>
      </c>
      <c r="I328" s="118" t="str">
        <f t="shared" si="11"/>
        <v>AR</v>
      </c>
    </row>
    <row r="329" spans="1:9" x14ac:dyDescent="0.3">
      <c r="A329" s="115" t="s">
        <v>214</v>
      </c>
      <c r="B329" s="115" t="s">
        <v>219</v>
      </c>
      <c r="C329" s="115" t="s">
        <v>45</v>
      </c>
      <c r="D329" s="115" t="s">
        <v>127</v>
      </c>
      <c r="E329" s="115" t="s">
        <v>137</v>
      </c>
      <c r="F329" s="116">
        <v>36420</v>
      </c>
      <c r="G329" s="116">
        <v>24</v>
      </c>
      <c r="H329" s="117">
        <f t="shared" si="10"/>
        <v>6.5897858319604609E-4</v>
      </c>
      <c r="I329" s="118" t="str">
        <f t="shared" si="11"/>
        <v>AR</v>
      </c>
    </row>
    <row r="330" spans="1:9" x14ac:dyDescent="0.3">
      <c r="A330" s="115" t="s">
        <v>214</v>
      </c>
      <c r="B330" s="115" t="s">
        <v>219</v>
      </c>
      <c r="C330" s="115" t="s">
        <v>45</v>
      </c>
      <c r="D330" s="115" t="s">
        <v>127</v>
      </c>
      <c r="E330" s="115" t="s">
        <v>137</v>
      </c>
      <c r="F330" s="116">
        <v>6733</v>
      </c>
      <c r="G330" s="116">
        <v>8</v>
      </c>
      <c r="H330" s="117">
        <f t="shared" si="10"/>
        <v>1.1881776325560671E-3</v>
      </c>
      <c r="I330" s="118" t="str">
        <f t="shared" si="11"/>
        <v>AR</v>
      </c>
    </row>
    <row r="331" spans="1:9" x14ac:dyDescent="0.3">
      <c r="A331" s="115" t="s">
        <v>214</v>
      </c>
      <c r="B331" s="115" t="s">
        <v>219</v>
      </c>
      <c r="C331" s="115" t="s">
        <v>45</v>
      </c>
      <c r="D331" s="115" t="s">
        <v>127</v>
      </c>
      <c r="E331" s="115" t="s">
        <v>137</v>
      </c>
      <c r="F331" s="116">
        <v>196053</v>
      </c>
      <c r="G331" s="116">
        <v>141</v>
      </c>
      <c r="H331" s="117">
        <f t="shared" si="10"/>
        <v>7.1919327936833405E-4</v>
      </c>
      <c r="I331" s="118" t="str">
        <f t="shared" si="11"/>
        <v>AR</v>
      </c>
    </row>
    <row r="332" spans="1:9" x14ac:dyDescent="0.3">
      <c r="A332" s="115" t="s">
        <v>214</v>
      </c>
      <c r="B332" s="115" t="s">
        <v>220</v>
      </c>
      <c r="C332" s="115" t="s">
        <v>45</v>
      </c>
      <c r="D332" s="115" t="s">
        <v>150</v>
      </c>
      <c r="E332" s="115" t="s">
        <v>151</v>
      </c>
      <c r="F332" s="116">
        <v>4</v>
      </c>
      <c r="G332" s="116">
        <v>0</v>
      </c>
      <c r="H332" s="117">
        <f t="shared" si="10"/>
        <v>0</v>
      </c>
      <c r="I332" s="118" t="str">
        <f t="shared" si="11"/>
        <v>EN</v>
      </c>
    </row>
    <row r="333" spans="1:9" x14ac:dyDescent="0.3">
      <c r="A333" s="115" t="s">
        <v>214</v>
      </c>
      <c r="B333" s="115" t="s">
        <v>220</v>
      </c>
      <c r="C333" s="115" t="s">
        <v>45</v>
      </c>
      <c r="D333" s="115" t="s">
        <v>150</v>
      </c>
      <c r="E333" s="115" t="s">
        <v>151</v>
      </c>
      <c r="F333" s="116">
        <v>8</v>
      </c>
      <c r="G333" s="116">
        <v>0</v>
      </c>
      <c r="H333" s="117">
        <f t="shared" si="10"/>
        <v>0</v>
      </c>
      <c r="I333" s="118" t="str">
        <f t="shared" si="11"/>
        <v>EN</v>
      </c>
    </row>
    <row r="334" spans="1:9" x14ac:dyDescent="0.3">
      <c r="A334" s="115" t="s">
        <v>214</v>
      </c>
      <c r="B334" s="115" t="s">
        <v>220</v>
      </c>
      <c r="C334" s="115" t="s">
        <v>45</v>
      </c>
      <c r="D334" s="115" t="s">
        <v>150</v>
      </c>
      <c r="E334" s="115" t="s">
        <v>151</v>
      </c>
      <c r="F334" s="116">
        <v>3</v>
      </c>
      <c r="G334" s="116">
        <v>0</v>
      </c>
      <c r="H334" s="117">
        <f t="shared" si="10"/>
        <v>0</v>
      </c>
      <c r="I334" s="118" t="str">
        <f t="shared" si="11"/>
        <v>EN</v>
      </c>
    </row>
    <row r="335" spans="1:9" x14ac:dyDescent="0.3">
      <c r="A335" s="115" t="s">
        <v>214</v>
      </c>
      <c r="B335" s="115" t="s">
        <v>220</v>
      </c>
      <c r="C335" s="115" t="s">
        <v>45</v>
      </c>
      <c r="D335" s="115" t="s">
        <v>150</v>
      </c>
      <c r="E335" s="115" t="s">
        <v>151</v>
      </c>
      <c r="F335" s="116">
        <v>18</v>
      </c>
      <c r="G335" s="116">
        <v>0</v>
      </c>
      <c r="H335" s="117">
        <f t="shared" si="10"/>
        <v>0</v>
      </c>
      <c r="I335" s="118" t="str">
        <f t="shared" si="11"/>
        <v>EN</v>
      </c>
    </row>
    <row r="336" spans="1:9" x14ac:dyDescent="0.3">
      <c r="A336" s="115" t="s">
        <v>214</v>
      </c>
      <c r="B336" s="115" t="s">
        <v>220</v>
      </c>
      <c r="C336" s="115" t="s">
        <v>45</v>
      </c>
      <c r="D336" s="115" t="s">
        <v>127</v>
      </c>
      <c r="E336" s="115" t="s">
        <v>137</v>
      </c>
      <c r="F336" s="116">
        <v>13714</v>
      </c>
      <c r="G336" s="116">
        <v>10</v>
      </c>
      <c r="H336" s="117">
        <f t="shared" si="10"/>
        <v>7.2918185795537403E-4</v>
      </c>
      <c r="I336" s="118" t="str">
        <f t="shared" si="11"/>
        <v>EN</v>
      </c>
    </row>
    <row r="337" spans="1:9" x14ac:dyDescent="0.3">
      <c r="A337" s="115" t="s">
        <v>214</v>
      </c>
      <c r="B337" s="115" t="s">
        <v>220</v>
      </c>
      <c r="C337" s="115" t="s">
        <v>45</v>
      </c>
      <c r="D337" s="115" t="s">
        <v>127</v>
      </c>
      <c r="E337" s="115" t="s">
        <v>137</v>
      </c>
      <c r="F337" s="116">
        <v>30071</v>
      </c>
      <c r="G337" s="116">
        <v>10</v>
      </c>
      <c r="H337" s="117">
        <f t="shared" si="10"/>
        <v>3.3254630707325996E-4</v>
      </c>
      <c r="I337" s="118" t="str">
        <f t="shared" si="11"/>
        <v>EN</v>
      </c>
    </row>
    <row r="338" spans="1:9" x14ac:dyDescent="0.3">
      <c r="A338" s="115" t="s">
        <v>214</v>
      </c>
      <c r="B338" s="115" t="s">
        <v>220</v>
      </c>
      <c r="C338" s="115" t="s">
        <v>45</v>
      </c>
      <c r="D338" s="115" t="s">
        <v>127</v>
      </c>
      <c r="E338" s="115" t="s">
        <v>137</v>
      </c>
      <c r="F338" s="116">
        <v>46548</v>
      </c>
      <c r="G338" s="116">
        <v>28</v>
      </c>
      <c r="H338" s="117">
        <f t="shared" si="10"/>
        <v>6.0152960384978946E-4</v>
      </c>
      <c r="I338" s="118" t="str">
        <f t="shared" si="11"/>
        <v>EN</v>
      </c>
    </row>
    <row r="339" spans="1:9" x14ac:dyDescent="0.3">
      <c r="A339" s="115" t="s">
        <v>214</v>
      </c>
      <c r="B339" s="115" t="s">
        <v>220</v>
      </c>
      <c r="C339" s="115" t="s">
        <v>45</v>
      </c>
      <c r="D339" s="115" t="s">
        <v>127</v>
      </c>
      <c r="E339" s="115" t="s">
        <v>137</v>
      </c>
      <c r="F339" s="116">
        <v>47065</v>
      </c>
      <c r="G339" s="116">
        <v>26</v>
      </c>
      <c r="H339" s="117">
        <f t="shared" si="10"/>
        <v>5.5242749389142675E-4</v>
      </c>
      <c r="I339" s="118" t="str">
        <f t="shared" si="11"/>
        <v>EN</v>
      </c>
    </row>
    <row r="340" spans="1:9" x14ac:dyDescent="0.3">
      <c r="A340" s="115" t="s">
        <v>214</v>
      </c>
      <c r="B340" s="115" t="s">
        <v>220</v>
      </c>
      <c r="C340" s="115" t="s">
        <v>45</v>
      </c>
      <c r="D340" s="115" t="s">
        <v>127</v>
      </c>
      <c r="E340" s="115" t="s">
        <v>137</v>
      </c>
      <c r="F340" s="116">
        <v>133641</v>
      </c>
      <c r="G340" s="116">
        <v>55</v>
      </c>
      <c r="H340" s="117">
        <f t="shared" si="10"/>
        <v>4.1155034757297534E-4</v>
      </c>
      <c r="I340" s="118" t="str">
        <f t="shared" si="11"/>
        <v>EN</v>
      </c>
    </row>
    <row r="341" spans="1:9" x14ac:dyDescent="0.3">
      <c r="A341" s="115" t="s">
        <v>214</v>
      </c>
      <c r="B341" s="115" t="s">
        <v>221</v>
      </c>
      <c r="C341" s="115" t="s">
        <v>45</v>
      </c>
      <c r="D341" s="115" t="s">
        <v>150</v>
      </c>
      <c r="E341" s="115" t="s">
        <v>151</v>
      </c>
      <c r="F341" s="116">
        <v>3</v>
      </c>
      <c r="G341" s="116">
        <v>0</v>
      </c>
      <c r="H341" s="117">
        <f t="shared" si="10"/>
        <v>0</v>
      </c>
      <c r="I341" s="118" t="str">
        <f t="shared" si="11"/>
        <v>AR</v>
      </c>
    </row>
    <row r="342" spans="1:9" x14ac:dyDescent="0.3">
      <c r="A342" s="115" t="s">
        <v>214</v>
      </c>
      <c r="B342" s="115" t="s">
        <v>221</v>
      </c>
      <c r="C342" s="115" t="s">
        <v>45</v>
      </c>
      <c r="D342" s="115" t="s">
        <v>150</v>
      </c>
      <c r="E342" s="115" t="s">
        <v>151</v>
      </c>
      <c r="F342" s="116">
        <v>9</v>
      </c>
      <c r="G342" s="116">
        <v>0</v>
      </c>
      <c r="H342" s="117">
        <f t="shared" si="10"/>
        <v>0</v>
      </c>
      <c r="I342" s="118" t="str">
        <f t="shared" si="11"/>
        <v>AR</v>
      </c>
    </row>
    <row r="343" spans="1:9" x14ac:dyDescent="0.3">
      <c r="A343" s="115" t="s">
        <v>214</v>
      </c>
      <c r="B343" s="115" t="s">
        <v>221</v>
      </c>
      <c r="C343" s="115" t="s">
        <v>45</v>
      </c>
      <c r="D343" s="115" t="s">
        <v>150</v>
      </c>
      <c r="E343" s="115" t="s">
        <v>151</v>
      </c>
      <c r="F343" s="116">
        <v>15</v>
      </c>
      <c r="G343" s="116">
        <v>0</v>
      </c>
      <c r="H343" s="117">
        <f t="shared" si="10"/>
        <v>0</v>
      </c>
      <c r="I343" s="118" t="str">
        <f t="shared" si="11"/>
        <v>AR</v>
      </c>
    </row>
    <row r="344" spans="1:9" x14ac:dyDescent="0.3">
      <c r="A344" s="115" t="s">
        <v>214</v>
      </c>
      <c r="B344" s="115" t="s">
        <v>221</v>
      </c>
      <c r="C344" s="115" t="s">
        <v>45</v>
      </c>
      <c r="D344" s="115" t="s">
        <v>150</v>
      </c>
      <c r="E344" s="115" t="s">
        <v>151</v>
      </c>
      <c r="F344" s="116">
        <v>137</v>
      </c>
      <c r="G344" s="116">
        <v>0</v>
      </c>
      <c r="H344" s="117">
        <f t="shared" si="10"/>
        <v>0</v>
      </c>
      <c r="I344" s="118" t="str">
        <f t="shared" si="11"/>
        <v>AR</v>
      </c>
    </row>
    <row r="345" spans="1:9" x14ac:dyDescent="0.3">
      <c r="A345" s="115" t="s">
        <v>214</v>
      </c>
      <c r="B345" s="115" t="s">
        <v>221</v>
      </c>
      <c r="C345" s="115" t="s">
        <v>45</v>
      </c>
      <c r="D345" s="115" t="s">
        <v>150</v>
      </c>
      <c r="E345" s="115" t="s">
        <v>151</v>
      </c>
      <c r="F345" s="116">
        <v>23</v>
      </c>
      <c r="G345" s="116">
        <v>0</v>
      </c>
      <c r="H345" s="117">
        <f t="shared" si="10"/>
        <v>0</v>
      </c>
      <c r="I345" s="118" t="str">
        <f t="shared" si="11"/>
        <v>AR</v>
      </c>
    </row>
    <row r="346" spans="1:9" x14ac:dyDescent="0.3">
      <c r="A346" s="115" t="s">
        <v>214</v>
      </c>
      <c r="B346" s="115" t="s">
        <v>221</v>
      </c>
      <c r="C346" s="115" t="s">
        <v>45</v>
      </c>
      <c r="D346" s="115" t="s">
        <v>127</v>
      </c>
      <c r="E346" s="115" t="s">
        <v>137</v>
      </c>
      <c r="F346" s="116">
        <v>16624</v>
      </c>
      <c r="G346" s="116">
        <v>7</v>
      </c>
      <c r="H346" s="117">
        <f t="shared" si="10"/>
        <v>4.2107795957651586E-4</v>
      </c>
      <c r="I346" s="118" t="str">
        <f t="shared" si="11"/>
        <v>AR</v>
      </c>
    </row>
    <row r="347" spans="1:9" x14ac:dyDescent="0.3">
      <c r="A347" s="115" t="s">
        <v>214</v>
      </c>
      <c r="B347" s="115" t="s">
        <v>221</v>
      </c>
      <c r="C347" s="115" t="s">
        <v>45</v>
      </c>
      <c r="D347" s="115" t="s">
        <v>127</v>
      </c>
      <c r="E347" s="115" t="s">
        <v>137</v>
      </c>
      <c r="F347" s="116">
        <v>30667</v>
      </c>
      <c r="G347" s="116">
        <v>20</v>
      </c>
      <c r="H347" s="117">
        <f t="shared" si="10"/>
        <v>6.5216682427364915E-4</v>
      </c>
      <c r="I347" s="118" t="str">
        <f t="shared" si="11"/>
        <v>AR</v>
      </c>
    </row>
    <row r="348" spans="1:9" x14ac:dyDescent="0.3">
      <c r="A348" s="115" t="s">
        <v>214</v>
      </c>
      <c r="B348" s="115" t="s">
        <v>221</v>
      </c>
      <c r="C348" s="115" t="s">
        <v>45</v>
      </c>
      <c r="D348" s="115" t="s">
        <v>127</v>
      </c>
      <c r="E348" s="115" t="s">
        <v>137</v>
      </c>
      <c r="F348" s="116">
        <v>32752</v>
      </c>
      <c r="G348" s="116">
        <v>13</v>
      </c>
      <c r="H348" s="117">
        <f t="shared" si="10"/>
        <v>3.9692232535417683E-4</v>
      </c>
      <c r="I348" s="118" t="str">
        <f t="shared" si="11"/>
        <v>AR</v>
      </c>
    </row>
    <row r="349" spans="1:9" x14ac:dyDescent="0.3">
      <c r="A349" s="115" t="s">
        <v>214</v>
      </c>
      <c r="B349" s="115" t="s">
        <v>221</v>
      </c>
      <c r="C349" s="115" t="s">
        <v>45</v>
      </c>
      <c r="D349" s="115" t="s">
        <v>127</v>
      </c>
      <c r="E349" s="115" t="s">
        <v>137</v>
      </c>
      <c r="F349" s="116">
        <v>32892</v>
      </c>
      <c r="G349" s="116">
        <v>15</v>
      </c>
      <c r="H349" s="117">
        <f t="shared" si="10"/>
        <v>4.5603794235680409E-4</v>
      </c>
      <c r="I349" s="118" t="str">
        <f t="shared" si="11"/>
        <v>AR</v>
      </c>
    </row>
    <row r="350" spans="1:9" x14ac:dyDescent="0.3">
      <c r="A350" s="115" t="s">
        <v>214</v>
      </c>
      <c r="B350" s="115" t="s">
        <v>221</v>
      </c>
      <c r="C350" s="115" t="s">
        <v>45</v>
      </c>
      <c r="D350" s="115" t="s">
        <v>127</v>
      </c>
      <c r="E350" s="115" t="s">
        <v>137</v>
      </c>
      <c r="F350" s="116">
        <v>15567</v>
      </c>
      <c r="G350" s="116">
        <v>4</v>
      </c>
      <c r="H350" s="117">
        <f t="shared" si="10"/>
        <v>2.5695381255219375E-4</v>
      </c>
      <c r="I350" s="118" t="str">
        <f t="shared" si="11"/>
        <v>AR</v>
      </c>
    </row>
    <row r="351" spans="1:9" x14ac:dyDescent="0.3">
      <c r="A351" s="115" t="s">
        <v>214</v>
      </c>
      <c r="B351" s="115" t="s">
        <v>222</v>
      </c>
      <c r="C351" s="115" t="s">
        <v>45</v>
      </c>
      <c r="D351" s="115" t="s">
        <v>150</v>
      </c>
      <c r="E351" s="115" t="s">
        <v>151</v>
      </c>
      <c r="F351" s="116">
        <v>29</v>
      </c>
      <c r="G351" s="116">
        <v>0</v>
      </c>
      <c r="H351" s="117">
        <f t="shared" si="10"/>
        <v>0</v>
      </c>
      <c r="I351" s="118" t="str">
        <f t="shared" si="11"/>
        <v>EN</v>
      </c>
    </row>
    <row r="352" spans="1:9" x14ac:dyDescent="0.3">
      <c r="A352" s="115" t="s">
        <v>214</v>
      </c>
      <c r="B352" s="115" t="s">
        <v>222</v>
      </c>
      <c r="C352" s="115" t="s">
        <v>45</v>
      </c>
      <c r="D352" s="115" t="s">
        <v>150</v>
      </c>
      <c r="E352" s="115" t="s">
        <v>151</v>
      </c>
      <c r="F352" s="116">
        <v>8</v>
      </c>
      <c r="G352" s="116">
        <v>0</v>
      </c>
      <c r="H352" s="117">
        <f t="shared" si="10"/>
        <v>0</v>
      </c>
      <c r="I352" s="118" t="str">
        <f t="shared" si="11"/>
        <v>EN</v>
      </c>
    </row>
    <row r="353" spans="1:9" x14ac:dyDescent="0.3">
      <c r="A353" s="115" t="s">
        <v>214</v>
      </c>
      <c r="B353" s="115" t="s">
        <v>222</v>
      </c>
      <c r="C353" s="115" t="s">
        <v>45</v>
      </c>
      <c r="D353" s="115" t="s">
        <v>150</v>
      </c>
      <c r="E353" s="115" t="s">
        <v>151</v>
      </c>
      <c r="F353" s="116">
        <v>6</v>
      </c>
      <c r="G353" s="116">
        <v>0</v>
      </c>
      <c r="H353" s="117">
        <f t="shared" si="10"/>
        <v>0</v>
      </c>
      <c r="I353" s="118" t="str">
        <f t="shared" si="11"/>
        <v>EN</v>
      </c>
    </row>
    <row r="354" spans="1:9" x14ac:dyDescent="0.3">
      <c r="A354" s="115" t="s">
        <v>214</v>
      </c>
      <c r="B354" s="115" t="s">
        <v>222</v>
      </c>
      <c r="C354" s="115" t="s">
        <v>45</v>
      </c>
      <c r="D354" s="115" t="s">
        <v>150</v>
      </c>
      <c r="E354" s="115" t="s">
        <v>151</v>
      </c>
      <c r="F354" s="116">
        <v>3</v>
      </c>
      <c r="G354" s="116">
        <v>0</v>
      </c>
      <c r="H354" s="117">
        <f t="shared" si="10"/>
        <v>0</v>
      </c>
      <c r="I354" s="118" t="str">
        <f t="shared" si="11"/>
        <v>EN</v>
      </c>
    </row>
    <row r="355" spans="1:9" x14ac:dyDescent="0.3">
      <c r="A355" s="115" t="s">
        <v>214</v>
      </c>
      <c r="B355" s="115" t="s">
        <v>222</v>
      </c>
      <c r="C355" s="115" t="s">
        <v>45</v>
      </c>
      <c r="D355" s="115" t="s">
        <v>150</v>
      </c>
      <c r="E355" s="115" t="s">
        <v>151</v>
      </c>
      <c r="F355" s="116">
        <v>12</v>
      </c>
      <c r="G355" s="116">
        <v>0</v>
      </c>
      <c r="H355" s="117">
        <f t="shared" si="10"/>
        <v>0</v>
      </c>
      <c r="I355" s="118" t="str">
        <f t="shared" si="11"/>
        <v>EN</v>
      </c>
    </row>
    <row r="356" spans="1:9" x14ac:dyDescent="0.3">
      <c r="A356" s="115" t="s">
        <v>214</v>
      </c>
      <c r="B356" s="115" t="s">
        <v>222</v>
      </c>
      <c r="C356" s="115" t="s">
        <v>45</v>
      </c>
      <c r="D356" s="115" t="s">
        <v>127</v>
      </c>
      <c r="E356" s="115" t="s">
        <v>137</v>
      </c>
      <c r="F356" s="116">
        <v>6228</v>
      </c>
      <c r="G356" s="116">
        <v>1</v>
      </c>
      <c r="H356" s="117">
        <f t="shared" si="10"/>
        <v>1.6056518946692356E-4</v>
      </c>
      <c r="I356" s="118" t="str">
        <f t="shared" si="11"/>
        <v>EN</v>
      </c>
    </row>
    <row r="357" spans="1:9" x14ac:dyDescent="0.3">
      <c r="A357" s="115" t="s">
        <v>214</v>
      </c>
      <c r="B357" s="115" t="s">
        <v>222</v>
      </c>
      <c r="C357" s="115" t="s">
        <v>45</v>
      </c>
      <c r="D357" s="115" t="s">
        <v>127</v>
      </c>
      <c r="E357" s="115" t="s">
        <v>137</v>
      </c>
      <c r="F357" s="116">
        <v>18231</v>
      </c>
      <c r="G357" s="116">
        <v>8</v>
      </c>
      <c r="H357" s="117">
        <f t="shared" si="10"/>
        <v>4.3881301080577037E-4</v>
      </c>
      <c r="I357" s="118" t="str">
        <f t="shared" si="11"/>
        <v>EN</v>
      </c>
    </row>
    <row r="358" spans="1:9" x14ac:dyDescent="0.3">
      <c r="A358" s="115" t="s">
        <v>214</v>
      </c>
      <c r="B358" s="115" t="s">
        <v>222</v>
      </c>
      <c r="C358" s="115" t="s">
        <v>45</v>
      </c>
      <c r="D358" s="115" t="s">
        <v>127</v>
      </c>
      <c r="E358" s="115" t="s">
        <v>137</v>
      </c>
      <c r="F358" s="116">
        <v>30829</v>
      </c>
      <c r="G358" s="116">
        <v>18</v>
      </c>
      <c r="H358" s="117">
        <f t="shared" si="10"/>
        <v>5.8386584060462555E-4</v>
      </c>
      <c r="I358" s="118" t="str">
        <f t="shared" si="11"/>
        <v>EN</v>
      </c>
    </row>
    <row r="359" spans="1:9" x14ac:dyDescent="0.3">
      <c r="A359" s="115" t="s">
        <v>214</v>
      </c>
      <c r="B359" s="115" t="s">
        <v>222</v>
      </c>
      <c r="C359" s="115" t="s">
        <v>45</v>
      </c>
      <c r="D359" s="115" t="s">
        <v>127</v>
      </c>
      <c r="E359" s="115" t="s">
        <v>137</v>
      </c>
      <c r="F359" s="116">
        <v>18422</v>
      </c>
      <c r="G359" s="116">
        <v>13</v>
      </c>
      <c r="H359" s="117">
        <f t="shared" si="10"/>
        <v>7.0567799370318098E-4</v>
      </c>
      <c r="I359" s="118" t="str">
        <f t="shared" si="11"/>
        <v>EN</v>
      </c>
    </row>
    <row r="360" spans="1:9" x14ac:dyDescent="0.3">
      <c r="A360" s="115" t="s">
        <v>214</v>
      </c>
      <c r="B360" s="115" t="s">
        <v>222</v>
      </c>
      <c r="C360" s="115" t="s">
        <v>45</v>
      </c>
      <c r="D360" s="115" t="s">
        <v>127</v>
      </c>
      <c r="E360" s="115" t="s">
        <v>137</v>
      </c>
      <c r="F360" s="116">
        <v>14559</v>
      </c>
      <c r="G360" s="116">
        <v>1</v>
      </c>
      <c r="H360" s="117">
        <f t="shared" si="10"/>
        <v>6.8686036128855007E-5</v>
      </c>
      <c r="I360" s="118" t="str">
        <f t="shared" si="11"/>
        <v>EN</v>
      </c>
    </row>
    <row r="361" spans="1:9" x14ac:dyDescent="0.3">
      <c r="A361" s="115" t="s">
        <v>214</v>
      </c>
      <c r="B361" s="115" t="s">
        <v>223</v>
      </c>
      <c r="C361" s="115" t="s">
        <v>44</v>
      </c>
      <c r="D361" s="115" t="s">
        <v>150</v>
      </c>
      <c r="E361" s="115" t="s">
        <v>151</v>
      </c>
      <c r="F361" s="116">
        <v>10</v>
      </c>
      <c r="G361" s="116">
        <v>0</v>
      </c>
      <c r="H361" s="117">
        <f t="shared" si="10"/>
        <v>0</v>
      </c>
      <c r="I361" s="118" t="str">
        <f t="shared" si="11"/>
        <v>EN</v>
      </c>
    </row>
    <row r="362" spans="1:9" x14ac:dyDescent="0.3">
      <c r="A362" s="115" t="s">
        <v>214</v>
      </c>
      <c r="B362" s="115" t="s">
        <v>223</v>
      </c>
      <c r="C362" s="115" t="s">
        <v>44</v>
      </c>
      <c r="D362" s="115" t="s">
        <v>127</v>
      </c>
      <c r="E362" s="115" t="s">
        <v>137</v>
      </c>
      <c r="F362" s="116">
        <v>4692</v>
      </c>
      <c r="G362" s="116">
        <v>2</v>
      </c>
      <c r="H362" s="117">
        <f t="shared" si="10"/>
        <v>4.2625745950554135E-4</v>
      </c>
      <c r="I362" s="118" t="str">
        <f t="shared" si="11"/>
        <v>EN</v>
      </c>
    </row>
    <row r="363" spans="1:9" x14ac:dyDescent="0.3">
      <c r="A363" s="115" t="s">
        <v>214</v>
      </c>
      <c r="B363" s="115" t="s">
        <v>223</v>
      </c>
      <c r="C363" s="115" t="s">
        <v>44</v>
      </c>
      <c r="D363" s="115" t="s">
        <v>127</v>
      </c>
      <c r="E363" s="115" t="s">
        <v>137</v>
      </c>
      <c r="F363" s="116">
        <v>7243</v>
      </c>
      <c r="G363" s="116">
        <v>2</v>
      </c>
      <c r="H363" s="117">
        <f t="shared" si="10"/>
        <v>2.7612867596299873E-4</v>
      </c>
      <c r="I363" s="118" t="str">
        <f t="shared" si="11"/>
        <v>EN</v>
      </c>
    </row>
    <row r="364" spans="1:9" x14ac:dyDescent="0.3">
      <c r="A364" s="115" t="s">
        <v>214</v>
      </c>
      <c r="B364" s="115" t="s">
        <v>223</v>
      </c>
      <c r="C364" s="115" t="s">
        <v>44</v>
      </c>
      <c r="D364" s="115" t="s">
        <v>127</v>
      </c>
      <c r="E364" s="115" t="s">
        <v>137</v>
      </c>
      <c r="F364" s="116">
        <v>10514</v>
      </c>
      <c r="G364" s="116">
        <v>5</v>
      </c>
      <c r="H364" s="117">
        <f t="shared" si="10"/>
        <v>4.7555640098915732E-4</v>
      </c>
      <c r="I364" s="118" t="str">
        <f t="shared" si="11"/>
        <v>EN</v>
      </c>
    </row>
    <row r="365" spans="1:9" x14ac:dyDescent="0.3">
      <c r="A365" s="115" t="s">
        <v>214</v>
      </c>
      <c r="B365" s="115" t="s">
        <v>223</v>
      </c>
      <c r="C365" s="115" t="s">
        <v>44</v>
      </c>
      <c r="D365" s="115" t="s">
        <v>127</v>
      </c>
      <c r="E365" s="115" t="s">
        <v>137</v>
      </c>
      <c r="F365" s="116">
        <v>12999</v>
      </c>
      <c r="G365" s="116">
        <v>5</v>
      </c>
      <c r="H365" s="117">
        <f t="shared" si="10"/>
        <v>3.8464497269020693E-4</v>
      </c>
      <c r="I365" s="118" t="str">
        <f t="shared" si="11"/>
        <v>EN</v>
      </c>
    </row>
    <row r="366" spans="1:9" x14ac:dyDescent="0.3">
      <c r="A366" s="115" t="s">
        <v>214</v>
      </c>
      <c r="B366" s="115" t="s">
        <v>223</v>
      </c>
      <c r="C366" s="115" t="s">
        <v>44</v>
      </c>
      <c r="D366" s="115" t="s">
        <v>127</v>
      </c>
      <c r="E366" s="115" t="s">
        <v>137</v>
      </c>
      <c r="F366" s="116">
        <v>10920</v>
      </c>
      <c r="G366" s="116">
        <v>4</v>
      </c>
      <c r="H366" s="117">
        <f t="shared" si="10"/>
        <v>3.663003663003663E-4</v>
      </c>
      <c r="I366" s="118" t="str">
        <f t="shared" si="11"/>
        <v>EN</v>
      </c>
    </row>
    <row r="367" spans="1:9" x14ac:dyDescent="0.3">
      <c r="A367" s="115" t="s">
        <v>214</v>
      </c>
      <c r="B367" s="115" t="s">
        <v>224</v>
      </c>
      <c r="C367" s="115" t="s">
        <v>44</v>
      </c>
      <c r="D367" s="115" t="s">
        <v>150</v>
      </c>
      <c r="E367" s="115" t="s">
        <v>151</v>
      </c>
      <c r="F367" s="116">
        <v>1</v>
      </c>
      <c r="G367" s="116">
        <v>0</v>
      </c>
      <c r="H367" s="117">
        <f t="shared" si="10"/>
        <v>0</v>
      </c>
      <c r="I367" s="118" t="str">
        <f t="shared" si="11"/>
        <v>AR</v>
      </c>
    </row>
    <row r="368" spans="1:9" x14ac:dyDescent="0.3">
      <c r="A368" s="115" t="s">
        <v>214</v>
      </c>
      <c r="B368" s="115" t="s">
        <v>224</v>
      </c>
      <c r="C368" s="115" t="s">
        <v>44</v>
      </c>
      <c r="D368" s="115" t="s">
        <v>150</v>
      </c>
      <c r="E368" s="115" t="s">
        <v>151</v>
      </c>
      <c r="F368" s="116">
        <v>1</v>
      </c>
      <c r="G368" s="116">
        <v>0</v>
      </c>
      <c r="H368" s="117">
        <f t="shared" si="10"/>
        <v>0</v>
      </c>
      <c r="I368" s="118" t="str">
        <f t="shared" si="11"/>
        <v>AR</v>
      </c>
    </row>
    <row r="369" spans="1:9" x14ac:dyDescent="0.3">
      <c r="A369" s="115" t="s">
        <v>214</v>
      </c>
      <c r="B369" s="115" t="s">
        <v>224</v>
      </c>
      <c r="C369" s="115" t="s">
        <v>44</v>
      </c>
      <c r="D369" s="115" t="s">
        <v>150</v>
      </c>
      <c r="E369" s="115" t="s">
        <v>151</v>
      </c>
      <c r="F369" s="116">
        <v>2</v>
      </c>
      <c r="G369" s="116">
        <v>0</v>
      </c>
      <c r="H369" s="117">
        <f t="shared" si="10"/>
        <v>0</v>
      </c>
      <c r="I369" s="118" t="str">
        <f t="shared" si="11"/>
        <v>AR</v>
      </c>
    </row>
    <row r="370" spans="1:9" x14ac:dyDescent="0.3">
      <c r="A370" s="115" t="s">
        <v>214</v>
      </c>
      <c r="B370" s="115" t="s">
        <v>224</v>
      </c>
      <c r="C370" s="115" t="s">
        <v>44</v>
      </c>
      <c r="D370" s="115" t="s">
        <v>150</v>
      </c>
      <c r="E370" s="115" t="s">
        <v>151</v>
      </c>
      <c r="F370" s="116">
        <v>2</v>
      </c>
      <c r="G370" s="116">
        <v>0</v>
      </c>
      <c r="H370" s="117">
        <f t="shared" si="10"/>
        <v>0</v>
      </c>
      <c r="I370" s="118" t="str">
        <f t="shared" si="11"/>
        <v>AR</v>
      </c>
    </row>
    <row r="371" spans="1:9" x14ac:dyDescent="0.3">
      <c r="A371" s="115" t="s">
        <v>214</v>
      </c>
      <c r="B371" s="115" t="s">
        <v>224</v>
      </c>
      <c r="C371" s="115" t="s">
        <v>44</v>
      </c>
      <c r="D371" s="115" t="s">
        <v>150</v>
      </c>
      <c r="E371" s="115" t="s">
        <v>151</v>
      </c>
      <c r="F371" s="116">
        <v>2</v>
      </c>
      <c r="G371" s="116">
        <v>0</v>
      </c>
      <c r="H371" s="117">
        <f t="shared" si="10"/>
        <v>0</v>
      </c>
      <c r="I371" s="118" t="str">
        <f t="shared" si="11"/>
        <v>AR</v>
      </c>
    </row>
    <row r="372" spans="1:9" x14ac:dyDescent="0.3">
      <c r="A372" s="115" t="s">
        <v>214</v>
      </c>
      <c r="B372" s="115" t="s">
        <v>224</v>
      </c>
      <c r="C372" s="115" t="s">
        <v>44</v>
      </c>
      <c r="D372" s="115" t="s">
        <v>127</v>
      </c>
      <c r="E372" s="115" t="s">
        <v>137</v>
      </c>
      <c r="F372" s="116">
        <v>7159</v>
      </c>
      <c r="G372" s="116">
        <v>35</v>
      </c>
      <c r="H372" s="117">
        <f t="shared" si="10"/>
        <v>4.8889509708059786E-3</v>
      </c>
      <c r="I372" s="118" t="str">
        <f t="shared" si="11"/>
        <v>AR</v>
      </c>
    </row>
    <row r="373" spans="1:9" x14ac:dyDescent="0.3">
      <c r="A373" s="115" t="s">
        <v>214</v>
      </c>
      <c r="B373" s="115" t="s">
        <v>224</v>
      </c>
      <c r="C373" s="115" t="s">
        <v>44</v>
      </c>
      <c r="D373" s="115" t="s">
        <v>127</v>
      </c>
      <c r="E373" s="115" t="s">
        <v>137</v>
      </c>
      <c r="F373" s="116">
        <v>13297</v>
      </c>
      <c r="G373" s="116">
        <v>49</v>
      </c>
      <c r="H373" s="117">
        <f t="shared" si="10"/>
        <v>3.6850417387380612E-3</v>
      </c>
      <c r="I373" s="118" t="str">
        <f t="shared" si="11"/>
        <v>AR</v>
      </c>
    </row>
    <row r="374" spans="1:9" x14ac:dyDescent="0.3">
      <c r="A374" s="115" t="s">
        <v>214</v>
      </c>
      <c r="B374" s="115" t="s">
        <v>224</v>
      </c>
      <c r="C374" s="115" t="s">
        <v>44</v>
      </c>
      <c r="D374" s="115" t="s">
        <v>127</v>
      </c>
      <c r="E374" s="115" t="s">
        <v>137</v>
      </c>
      <c r="F374" s="116">
        <v>13175</v>
      </c>
      <c r="G374" s="116">
        <v>53</v>
      </c>
      <c r="H374" s="117">
        <f t="shared" si="10"/>
        <v>4.0227703984819733E-3</v>
      </c>
      <c r="I374" s="118" t="str">
        <f t="shared" si="11"/>
        <v>AR</v>
      </c>
    </row>
    <row r="375" spans="1:9" x14ac:dyDescent="0.3">
      <c r="A375" s="115" t="s">
        <v>214</v>
      </c>
      <c r="B375" s="115" t="s">
        <v>224</v>
      </c>
      <c r="C375" s="115" t="s">
        <v>44</v>
      </c>
      <c r="D375" s="115" t="s">
        <v>127</v>
      </c>
      <c r="E375" s="115" t="s">
        <v>137</v>
      </c>
      <c r="F375" s="116">
        <v>9178</v>
      </c>
      <c r="G375" s="116">
        <v>24</v>
      </c>
      <c r="H375" s="117">
        <f t="shared" si="10"/>
        <v>2.6149487905861844E-3</v>
      </c>
      <c r="I375" s="118" t="str">
        <f t="shared" si="11"/>
        <v>AR</v>
      </c>
    </row>
    <row r="376" spans="1:9" x14ac:dyDescent="0.3">
      <c r="A376" s="115" t="s">
        <v>214</v>
      </c>
      <c r="B376" s="115" t="s">
        <v>224</v>
      </c>
      <c r="C376" s="115" t="s">
        <v>44</v>
      </c>
      <c r="D376" s="115" t="s">
        <v>127</v>
      </c>
      <c r="E376" s="115" t="s">
        <v>137</v>
      </c>
      <c r="F376" s="116">
        <v>8641</v>
      </c>
      <c r="G376" s="116">
        <v>8</v>
      </c>
      <c r="H376" s="117">
        <f t="shared" si="10"/>
        <v>9.2581877097558157E-4</v>
      </c>
      <c r="I376" s="118" t="str">
        <f t="shared" si="11"/>
        <v>AR</v>
      </c>
    </row>
    <row r="377" spans="1:9" x14ac:dyDescent="0.3">
      <c r="A377" s="115" t="s">
        <v>214</v>
      </c>
      <c r="B377" s="115" t="s">
        <v>225</v>
      </c>
      <c r="C377" s="115" t="s">
        <v>44</v>
      </c>
      <c r="D377" s="115" t="s">
        <v>150</v>
      </c>
      <c r="E377" s="115" t="s">
        <v>151</v>
      </c>
      <c r="F377" s="116">
        <v>1</v>
      </c>
      <c r="G377" s="116">
        <v>0</v>
      </c>
      <c r="H377" s="117">
        <f t="shared" si="10"/>
        <v>0</v>
      </c>
      <c r="I377" s="118" t="str">
        <f t="shared" si="11"/>
        <v>EN</v>
      </c>
    </row>
    <row r="378" spans="1:9" x14ac:dyDescent="0.3">
      <c r="A378" s="115" t="s">
        <v>214</v>
      </c>
      <c r="B378" s="115" t="s">
        <v>225</v>
      </c>
      <c r="C378" s="115" t="s">
        <v>44</v>
      </c>
      <c r="D378" s="115" t="s">
        <v>150</v>
      </c>
      <c r="E378" s="115" t="s">
        <v>151</v>
      </c>
      <c r="F378" s="116">
        <v>9</v>
      </c>
      <c r="G378" s="116">
        <v>0</v>
      </c>
      <c r="H378" s="117">
        <f t="shared" si="10"/>
        <v>0</v>
      </c>
      <c r="I378" s="118" t="str">
        <f t="shared" si="11"/>
        <v>EN</v>
      </c>
    </row>
    <row r="379" spans="1:9" x14ac:dyDescent="0.3">
      <c r="A379" s="115" t="s">
        <v>214</v>
      </c>
      <c r="B379" s="115" t="s">
        <v>225</v>
      </c>
      <c r="C379" s="115" t="s">
        <v>44</v>
      </c>
      <c r="D379" s="115" t="s">
        <v>150</v>
      </c>
      <c r="E379" s="115" t="s">
        <v>151</v>
      </c>
      <c r="F379" s="116">
        <v>3</v>
      </c>
      <c r="G379" s="116">
        <v>0</v>
      </c>
      <c r="H379" s="117">
        <f t="shared" si="10"/>
        <v>0</v>
      </c>
      <c r="I379" s="118" t="str">
        <f t="shared" si="11"/>
        <v>EN</v>
      </c>
    </row>
    <row r="380" spans="1:9" x14ac:dyDescent="0.3">
      <c r="A380" s="115" t="s">
        <v>214</v>
      </c>
      <c r="B380" s="115" t="s">
        <v>225</v>
      </c>
      <c r="C380" s="115" t="s">
        <v>44</v>
      </c>
      <c r="D380" s="115" t="s">
        <v>150</v>
      </c>
      <c r="E380" s="115" t="s">
        <v>151</v>
      </c>
      <c r="F380" s="116">
        <v>1</v>
      </c>
      <c r="G380" s="116">
        <v>0</v>
      </c>
      <c r="H380" s="117">
        <f t="shared" si="10"/>
        <v>0</v>
      </c>
      <c r="I380" s="118" t="str">
        <f t="shared" si="11"/>
        <v>EN</v>
      </c>
    </row>
    <row r="381" spans="1:9" x14ac:dyDescent="0.3">
      <c r="A381" s="115" t="s">
        <v>214</v>
      </c>
      <c r="B381" s="115" t="s">
        <v>225</v>
      </c>
      <c r="C381" s="115" t="s">
        <v>44</v>
      </c>
      <c r="D381" s="115" t="s">
        <v>150</v>
      </c>
      <c r="E381" s="115" t="s">
        <v>151</v>
      </c>
      <c r="F381" s="116">
        <v>21</v>
      </c>
      <c r="G381" s="116">
        <v>0</v>
      </c>
      <c r="H381" s="117">
        <f t="shared" si="10"/>
        <v>0</v>
      </c>
      <c r="I381" s="118" t="str">
        <f t="shared" si="11"/>
        <v>EN</v>
      </c>
    </row>
    <row r="382" spans="1:9" x14ac:dyDescent="0.3">
      <c r="A382" s="115" t="s">
        <v>214</v>
      </c>
      <c r="B382" s="115" t="s">
        <v>225</v>
      </c>
      <c r="C382" s="115" t="s">
        <v>44</v>
      </c>
      <c r="D382" s="115" t="s">
        <v>127</v>
      </c>
      <c r="E382" s="115" t="s">
        <v>137</v>
      </c>
      <c r="F382" s="116">
        <v>11667</v>
      </c>
      <c r="G382" s="116">
        <v>9</v>
      </c>
      <c r="H382" s="117">
        <f t="shared" si="10"/>
        <v>7.7140653124196457E-4</v>
      </c>
      <c r="I382" s="118" t="str">
        <f t="shared" si="11"/>
        <v>EN</v>
      </c>
    </row>
    <row r="383" spans="1:9" x14ac:dyDescent="0.3">
      <c r="A383" s="115" t="s">
        <v>214</v>
      </c>
      <c r="B383" s="115" t="s">
        <v>225</v>
      </c>
      <c r="C383" s="115" t="s">
        <v>44</v>
      </c>
      <c r="D383" s="115" t="s">
        <v>127</v>
      </c>
      <c r="E383" s="115" t="s">
        <v>137</v>
      </c>
      <c r="F383" s="116">
        <v>24569</v>
      </c>
      <c r="G383" s="116">
        <v>28</v>
      </c>
      <c r="H383" s="117">
        <f t="shared" si="10"/>
        <v>1.1396475233017218E-3</v>
      </c>
      <c r="I383" s="118" t="str">
        <f t="shared" si="11"/>
        <v>EN</v>
      </c>
    </row>
    <row r="384" spans="1:9" x14ac:dyDescent="0.3">
      <c r="A384" s="115" t="s">
        <v>214</v>
      </c>
      <c r="B384" s="115" t="s">
        <v>225</v>
      </c>
      <c r="C384" s="115" t="s">
        <v>44</v>
      </c>
      <c r="D384" s="115" t="s">
        <v>127</v>
      </c>
      <c r="E384" s="115" t="s">
        <v>137</v>
      </c>
      <c r="F384" s="116">
        <v>24607</v>
      </c>
      <c r="G384" s="116">
        <v>23</v>
      </c>
      <c r="H384" s="117">
        <f t="shared" si="10"/>
        <v>9.3469337993253953E-4</v>
      </c>
      <c r="I384" s="118" t="str">
        <f t="shared" si="11"/>
        <v>EN</v>
      </c>
    </row>
    <row r="385" spans="1:9" x14ac:dyDescent="0.3">
      <c r="A385" s="115" t="s">
        <v>214</v>
      </c>
      <c r="B385" s="115" t="s">
        <v>225</v>
      </c>
      <c r="C385" s="115" t="s">
        <v>44</v>
      </c>
      <c r="D385" s="115" t="s">
        <v>127</v>
      </c>
      <c r="E385" s="115" t="s">
        <v>137</v>
      </c>
      <c r="F385" s="116">
        <v>28693</v>
      </c>
      <c r="G385" s="116">
        <v>21</v>
      </c>
      <c r="H385" s="117">
        <f t="shared" si="10"/>
        <v>7.318858258111735E-4</v>
      </c>
      <c r="I385" s="118" t="str">
        <f t="shared" si="11"/>
        <v>EN</v>
      </c>
    </row>
    <row r="386" spans="1:9" x14ac:dyDescent="0.3">
      <c r="A386" s="115" t="s">
        <v>214</v>
      </c>
      <c r="B386" s="115" t="s">
        <v>225</v>
      </c>
      <c r="C386" s="115" t="s">
        <v>44</v>
      </c>
      <c r="D386" s="115" t="s">
        <v>127</v>
      </c>
      <c r="E386" s="115" t="s">
        <v>137</v>
      </c>
      <c r="F386" s="116">
        <v>23879</v>
      </c>
      <c r="G386" s="116">
        <v>25</v>
      </c>
      <c r="H386" s="117">
        <f t="shared" si="10"/>
        <v>1.0469450144478412E-3</v>
      </c>
      <c r="I386" s="118" t="str">
        <f t="shared" si="11"/>
        <v>EN</v>
      </c>
    </row>
    <row r="387" spans="1:9" x14ac:dyDescent="0.3">
      <c r="A387" s="115" t="s">
        <v>214</v>
      </c>
      <c r="B387" s="115" t="s">
        <v>226</v>
      </c>
      <c r="C387" s="115" t="s">
        <v>44</v>
      </c>
      <c r="D387" s="115" t="s">
        <v>127</v>
      </c>
      <c r="E387" s="115" t="s">
        <v>137</v>
      </c>
      <c r="F387" s="116">
        <v>182</v>
      </c>
      <c r="G387" s="116">
        <v>0</v>
      </c>
      <c r="H387" s="117">
        <f t="shared" ref="H387:H450" si="12">G387/F387</f>
        <v>0</v>
      </c>
      <c r="I387" s="118" t="str">
        <f t="shared" ref="I387:I450" si="13">RIGHT(B387,2)</f>
        <v>AR</v>
      </c>
    </row>
    <row r="388" spans="1:9" x14ac:dyDescent="0.3">
      <c r="A388" s="115" t="s">
        <v>214</v>
      </c>
      <c r="B388" s="115" t="s">
        <v>226</v>
      </c>
      <c r="C388" s="115" t="s">
        <v>44</v>
      </c>
      <c r="D388" s="115" t="s">
        <v>127</v>
      </c>
      <c r="E388" s="115" t="s">
        <v>137</v>
      </c>
      <c r="F388" s="116">
        <v>371</v>
      </c>
      <c r="G388" s="116">
        <v>0</v>
      </c>
      <c r="H388" s="117">
        <f t="shared" si="12"/>
        <v>0</v>
      </c>
      <c r="I388" s="118" t="str">
        <f t="shared" si="13"/>
        <v>AR</v>
      </c>
    </row>
    <row r="389" spans="1:9" x14ac:dyDescent="0.3">
      <c r="A389" s="115" t="s">
        <v>214</v>
      </c>
      <c r="B389" s="115" t="s">
        <v>226</v>
      </c>
      <c r="C389" s="115" t="s">
        <v>44</v>
      </c>
      <c r="D389" s="115" t="s">
        <v>127</v>
      </c>
      <c r="E389" s="115" t="s">
        <v>137</v>
      </c>
      <c r="F389" s="116">
        <v>422</v>
      </c>
      <c r="G389" s="116">
        <v>1</v>
      </c>
      <c r="H389" s="117">
        <f t="shared" si="12"/>
        <v>2.3696682464454978E-3</v>
      </c>
      <c r="I389" s="118" t="str">
        <f t="shared" si="13"/>
        <v>AR</v>
      </c>
    </row>
    <row r="390" spans="1:9" x14ac:dyDescent="0.3">
      <c r="A390" s="115" t="s">
        <v>214</v>
      </c>
      <c r="B390" s="115" t="s">
        <v>226</v>
      </c>
      <c r="C390" s="115" t="s">
        <v>44</v>
      </c>
      <c r="D390" s="115" t="s">
        <v>127</v>
      </c>
      <c r="E390" s="115" t="s">
        <v>137</v>
      </c>
      <c r="F390" s="116">
        <v>338</v>
      </c>
      <c r="G390" s="116">
        <v>1</v>
      </c>
      <c r="H390" s="117">
        <f t="shared" si="12"/>
        <v>2.9585798816568047E-3</v>
      </c>
      <c r="I390" s="118" t="str">
        <f t="shared" si="13"/>
        <v>AR</v>
      </c>
    </row>
    <row r="391" spans="1:9" x14ac:dyDescent="0.3">
      <c r="A391" s="115" t="s">
        <v>214</v>
      </c>
      <c r="B391" s="115" t="s">
        <v>226</v>
      </c>
      <c r="C391" s="115" t="s">
        <v>44</v>
      </c>
      <c r="D391" s="115" t="s">
        <v>127</v>
      </c>
      <c r="E391" s="115" t="s">
        <v>137</v>
      </c>
      <c r="F391" s="116">
        <v>639</v>
      </c>
      <c r="G391" s="116">
        <v>1</v>
      </c>
      <c r="H391" s="117">
        <f t="shared" si="12"/>
        <v>1.5649452269170579E-3</v>
      </c>
      <c r="I391" s="118" t="str">
        <f t="shared" si="13"/>
        <v>AR</v>
      </c>
    </row>
    <row r="392" spans="1:9" x14ac:dyDescent="0.3">
      <c r="A392" s="115" t="s">
        <v>214</v>
      </c>
      <c r="B392" s="115" t="s">
        <v>227</v>
      </c>
      <c r="C392" s="115" t="s">
        <v>44</v>
      </c>
      <c r="D392" s="115" t="s">
        <v>150</v>
      </c>
      <c r="E392" s="115" t="s">
        <v>151</v>
      </c>
      <c r="F392" s="116">
        <v>2</v>
      </c>
      <c r="G392" s="116">
        <v>0</v>
      </c>
      <c r="H392" s="117">
        <f t="shared" si="12"/>
        <v>0</v>
      </c>
      <c r="I392" s="118" t="str">
        <f t="shared" si="13"/>
        <v>EN</v>
      </c>
    </row>
    <row r="393" spans="1:9" x14ac:dyDescent="0.3">
      <c r="A393" s="115" t="s">
        <v>214</v>
      </c>
      <c r="B393" s="115" t="s">
        <v>227</v>
      </c>
      <c r="C393" s="115" t="s">
        <v>44</v>
      </c>
      <c r="D393" s="115" t="s">
        <v>127</v>
      </c>
      <c r="E393" s="115" t="s">
        <v>137</v>
      </c>
      <c r="F393" s="116">
        <v>7602</v>
      </c>
      <c r="G393" s="116">
        <v>5</v>
      </c>
      <c r="H393" s="117">
        <f t="shared" si="12"/>
        <v>6.5772165219679028E-4</v>
      </c>
      <c r="I393" s="118" t="str">
        <f t="shared" si="13"/>
        <v>EN</v>
      </c>
    </row>
    <row r="394" spans="1:9" x14ac:dyDescent="0.3">
      <c r="A394" s="115" t="s">
        <v>214</v>
      </c>
      <c r="B394" s="115" t="s">
        <v>227</v>
      </c>
      <c r="C394" s="115" t="s">
        <v>44</v>
      </c>
      <c r="D394" s="115" t="s">
        <v>127</v>
      </c>
      <c r="E394" s="115" t="s">
        <v>137</v>
      </c>
      <c r="F394" s="116">
        <v>11459</v>
      </c>
      <c r="G394" s="116">
        <v>8</v>
      </c>
      <c r="H394" s="117">
        <f t="shared" si="12"/>
        <v>6.981411990575094E-4</v>
      </c>
      <c r="I394" s="118" t="str">
        <f t="shared" si="13"/>
        <v>EN</v>
      </c>
    </row>
    <row r="395" spans="1:9" x14ac:dyDescent="0.3">
      <c r="A395" s="115" t="s">
        <v>214</v>
      </c>
      <c r="B395" s="115" t="s">
        <v>227</v>
      </c>
      <c r="C395" s="115" t="s">
        <v>44</v>
      </c>
      <c r="D395" s="115" t="s">
        <v>127</v>
      </c>
      <c r="E395" s="115" t="s">
        <v>137</v>
      </c>
      <c r="F395" s="116">
        <v>17295</v>
      </c>
      <c r="G395" s="116">
        <v>6</v>
      </c>
      <c r="H395" s="117">
        <f t="shared" si="12"/>
        <v>3.4692107545533391E-4</v>
      </c>
      <c r="I395" s="118" t="str">
        <f t="shared" si="13"/>
        <v>EN</v>
      </c>
    </row>
    <row r="396" spans="1:9" x14ac:dyDescent="0.3">
      <c r="A396" s="115" t="s">
        <v>214</v>
      </c>
      <c r="B396" s="115" t="s">
        <v>227</v>
      </c>
      <c r="C396" s="115" t="s">
        <v>44</v>
      </c>
      <c r="D396" s="115" t="s">
        <v>127</v>
      </c>
      <c r="E396" s="115" t="s">
        <v>137</v>
      </c>
      <c r="F396" s="116">
        <v>17534</v>
      </c>
      <c r="G396" s="116">
        <v>12</v>
      </c>
      <c r="H396" s="117">
        <f t="shared" si="12"/>
        <v>6.8438462415877719E-4</v>
      </c>
      <c r="I396" s="118" t="str">
        <f t="shared" si="13"/>
        <v>EN</v>
      </c>
    </row>
    <row r="397" spans="1:9" x14ac:dyDescent="0.3">
      <c r="A397" s="115" t="s">
        <v>214</v>
      </c>
      <c r="B397" s="115" t="s">
        <v>227</v>
      </c>
      <c r="C397" s="115" t="s">
        <v>44</v>
      </c>
      <c r="D397" s="115" t="s">
        <v>127</v>
      </c>
      <c r="E397" s="115" t="s">
        <v>137</v>
      </c>
      <c r="F397" s="116">
        <v>14472</v>
      </c>
      <c r="G397" s="116">
        <v>8</v>
      </c>
      <c r="H397" s="117">
        <f t="shared" si="12"/>
        <v>5.5279159756771695E-4</v>
      </c>
      <c r="I397" s="118" t="str">
        <f t="shared" si="13"/>
        <v>EN</v>
      </c>
    </row>
    <row r="398" spans="1:9" x14ac:dyDescent="0.3">
      <c r="A398" s="115" t="s">
        <v>214</v>
      </c>
      <c r="B398" s="115" t="s">
        <v>228</v>
      </c>
      <c r="C398" s="115" t="s">
        <v>44</v>
      </c>
      <c r="D398" s="115" t="s">
        <v>150</v>
      </c>
      <c r="E398" s="115" t="s">
        <v>151</v>
      </c>
      <c r="F398" s="116">
        <v>4</v>
      </c>
      <c r="G398" s="116">
        <v>0</v>
      </c>
      <c r="H398" s="117">
        <f t="shared" si="12"/>
        <v>0</v>
      </c>
      <c r="I398" s="118" t="str">
        <f t="shared" si="13"/>
        <v>EN</v>
      </c>
    </row>
    <row r="399" spans="1:9" x14ac:dyDescent="0.3">
      <c r="A399" s="115" t="s">
        <v>214</v>
      </c>
      <c r="B399" s="115" t="s">
        <v>228</v>
      </c>
      <c r="C399" s="115" t="s">
        <v>44</v>
      </c>
      <c r="D399" s="115" t="s">
        <v>150</v>
      </c>
      <c r="E399" s="115" t="s">
        <v>151</v>
      </c>
      <c r="F399" s="116">
        <v>8</v>
      </c>
      <c r="G399" s="116">
        <v>0</v>
      </c>
      <c r="H399" s="117">
        <f t="shared" si="12"/>
        <v>0</v>
      </c>
      <c r="I399" s="118" t="str">
        <f t="shared" si="13"/>
        <v>EN</v>
      </c>
    </row>
    <row r="400" spans="1:9" x14ac:dyDescent="0.3">
      <c r="A400" s="115" t="s">
        <v>214</v>
      </c>
      <c r="B400" s="115" t="s">
        <v>228</v>
      </c>
      <c r="C400" s="115" t="s">
        <v>44</v>
      </c>
      <c r="D400" s="115" t="s">
        <v>150</v>
      </c>
      <c r="E400" s="115" t="s">
        <v>151</v>
      </c>
      <c r="F400" s="116">
        <v>3</v>
      </c>
      <c r="G400" s="116">
        <v>0</v>
      </c>
      <c r="H400" s="117">
        <f t="shared" si="12"/>
        <v>0</v>
      </c>
      <c r="I400" s="118" t="str">
        <f t="shared" si="13"/>
        <v>EN</v>
      </c>
    </row>
    <row r="401" spans="1:9" x14ac:dyDescent="0.3">
      <c r="A401" s="115" t="s">
        <v>214</v>
      </c>
      <c r="B401" s="115" t="s">
        <v>228</v>
      </c>
      <c r="C401" s="115" t="s">
        <v>44</v>
      </c>
      <c r="D401" s="115" t="s">
        <v>127</v>
      </c>
      <c r="E401" s="115" t="s">
        <v>137</v>
      </c>
      <c r="F401" s="116">
        <v>3863</v>
      </c>
      <c r="G401" s="116">
        <v>2</v>
      </c>
      <c r="H401" s="117">
        <f t="shared" si="12"/>
        <v>5.1773233238415744E-4</v>
      </c>
      <c r="I401" s="118" t="str">
        <f t="shared" si="13"/>
        <v>EN</v>
      </c>
    </row>
    <row r="402" spans="1:9" x14ac:dyDescent="0.3">
      <c r="A402" s="115" t="s">
        <v>214</v>
      </c>
      <c r="B402" s="115" t="s">
        <v>228</v>
      </c>
      <c r="C402" s="115" t="s">
        <v>44</v>
      </c>
      <c r="D402" s="115" t="s">
        <v>127</v>
      </c>
      <c r="E402" s="115" t="s">
        <v>137</v>
      </c>
      <c r="F402" s="116">
        <v>8510</v>
      </c>
      <c r="G402" s="116">
        <v>3</v>
      </c>
      <c r="H402" s="117">
        <f t="shared" si="12"/>
        <v>3.5252643948296123E-4</v>
      </c>
      <c r="I402" s="118" t="str">
        <f t="shared" si="13"/>
        <v>EN</v>
      </c>
    </row>
    <row r="403" spans="1:9" x14ac:dyDescent="0.3">
      <c r="A403" s="115" t="s">
        <v>214</v>
      </c>
      <c r="B403" s="115" t="s">
        <v>228</v>
      </c>
      <c r="C403" s="115" t="s">
        <v>44</v>
      </c>
      <c r="D403" s="115" t="s">
        <v>127</v>
      </c>
      <c r="E403" s="115" t="s">
        <v>137</v>
      </c>
      <c r="F403" s="116">
        <v>12408</v>
      </c>
      <c r="G403" s="116">
        <v>4</v>
      </c>
      <c r="H403" s="117">
        <f t="shared" si="12"/>
        <v>3.2237266279819472E-4</v>
      </c>
      <c r="I403" s="118" t="str">
        <f t="shared" si="13"/>
        <v>EN</v>
      </c>
    </row>
    <row r="404" spans="1:9" x14ac:dyDescent="0.3">
      <c r="A404" s="115" t="s">
        <v>214</v>
      </c>
      <c r="B404" s="115" t="s">
        <v>228</v>
      </c>
      <c r="C404" s="115" t="s">
        <v>44</v>
      </c>
      <c r="D404" s="115" t="s">
        <v>127</v>
      </c>
      <c r="E404" s="115" t="s">
        <v>137</v>
      </c>
      <c r="F404" s="116">
        <v>15910</v>
      </c>
      <c r="G404" s="116">
        <v>9</v>
      </c>
      <c r="H404" s="117">
        <f t="shared" si="12"/>
        <v>5.6568196103079819E-4</v>
      </c>
      <c r="I404" s="118" t="str">
        <f t="shared" si="13"/>
        <v>EN</v>
      </c>
    </row>
    <row r="405" spans="1:9" x14ac:dyDescent="0.3">
      <c r="A405" s="115" t="s">
        <v>214</v>
      </c>
      <c r="B405" s="115" t="s">
        <v>228</v>
      </c>
      <c r="C405" s="115" t="s">
        <v>44</v>
      </c>
      <c r="D405" s="115" t="s">
        <v>127</v>
      </c>
      <c r="E405" s="115" t="s">
        <v>137</v>
      </c>
      <c r="F405" s="116">
        <v>14770</v>
      </c>
      <c r="G405" s="116">
        <v>8</v>
      </c>
      <c r="H405" s="117">
        <f t="shared" si="12"/>
        <v>5.4163845633039946E-4</v>
      </c>
      <c r="I405" s="118" t="str">
        <f t="shared" si="13"/>
        <v>EN</v>
      </c>
    </row>
    <row r="406" spans="1:9" x14ac:dyDescent="0.3">
      <c r="A406" s="115" t="s">
        <v>214</v>
      </c>
      <c r="B406" s="115" t="s">
        <v>229</v>
      </c>
      <c r="C406" s="115" t="s">
        <v>44</v>
      </c>
      <c r="D406" s="115" t="s">
        <v>150</v>
      </c>
      <c r="E406" s="115" t="s">
        <v>151</v>
      </c>
      <c r="F406" s="116">
        <v>6</v>
      </c>
      <c r="G406" s="116">
        <v>0</v>
      </c>
      <c r="H406" s="117">
        <f t="shared" si="12"/>
        <v>0</v>
      </c>
      <c r="I406" s="118" t="str">
        <f t="shared" si="13"/>
        <v>EN</v>
      </c>
    </row>
    <row r="407" spans="1:9" x14ac:dyDescent="0.3">
      <c r="A407" s="115" t="s">
        <v>214</v>
      </c>
      <c r="B407" s="115" t="s">
        <v>229</v>
      </c>
      <c r="C407" s="115" t="s">
        <v>44</v>
      </c>
      <c r="D407" s="115" t="s">
        <v>150</v>
      </c>
      <c r="E407" s="115" t="s">
        <v>151</v>
      </c>
      <c r="F407" s="116">
        <v>23</v>
      </c>
      <c r="G407" s="116">
        <v>0</v>
      </c>
      <c r="H407" s="117">
        <f t="shared" si="12"/>
        <v>0</v>
      </c>
      <c r="I407" s="118" t="str">
        <f t="shared" si="13"/>
        <v>EN</v>
      </c>
    </row>
    <row r="408" spans="1:9" x14ac:dyDescent="0.3">
      <c r="A408" s="115" t="s">
        <v>214</v>
      </c>
      <c r="B408" s="115" t="s">
        <v>229</v>
      </c>
      <c r="C408" s="115" t="s">
        <v>44</v>
      </c>
      <c r="D408" s="115" t="s">
        <v>150</v>
      </c>
      <c r="E408" s="115" t="s">
        <v>151</v>
      </c>
      <c r="F408" s="116">
        <v>32</v>
      </c>
      <c r="G408" s="116">
        <v>0</v>
      </c>
      <c r="H408" s="117">
        <f t="shared" si="12"/>
        <v>0</v>
      </c>
      <c r="I408" s="118" t="str">
        <f t="shared" si="13"/>
        <v>EN</v>
      </c>
    </row>
    <row r="409" spans="1:9" x14ac:dyDescent="0.3">
      <c r="A409" s="115" t="s">
        <v>214</v>
      </c>
      <c r="B409" s="115" t="s">
        <v>229</v>
      </c>
      <c r="C409" s="115" t="s">
        <v>44</v>
      </c>
      <c r="D409" s="115" t="s">
        <v>150</v>
      </c>
      <c r="E409" s="115" t="s">
        <v>151</v>
      </c>
      <c r="F409" s="116">
        <v>22</v>
      </c>
      <c r="G409" s="116">
        <v>0</v>
      </c>
      <c r="H409" s="117">
        <f t="shared" si="12"/>
        <v>0</v>
      </c>
      <c r="I409" s="118" t="str">
        <f t="shared" si="13"/>
        <v>EN</v>
      </c>
    </row>
    <row r="410" spans="1:9" x14ac:dyDescent="0.3">
      <c r="A410" s="115" t="s">
        <v>214</v>
      </c>
      <c r="B410" s="115" t="s">
        <v>229</v>
      </c>
      <c r="C410" s="115" t="s">
        <v>44</v>
      </c>
      <c r="D410" s="115" t="s">
        <v>127</v>
      </c>
      <c r="E410" s="115" t="s">
        <v>137</v>
      </c>
      <c r="F410" s="116">
        <v>6220</v>
      </c>
      <c r="G410" s="116">
        <v>1</v>
      </c>
      <c r="H410" s="117">
        <f t="shared" si="12"/>
        <v>1.6077170418006431E-4</v>
      </c>
      <c r="I410" s="118" t="str">
        <f t="shared" si="13"/>
        <v>EN</v>
      </c>
    </row>
    <row r="411" spans="1:9" x14ac:dyDescent="0.3">
      <c r="A411" s="115" t="s">
        <v>214</v>
      </c>
      <c r="B411" s="115" t="s">
        <v>229</v>
      </c>
      <c r="C411" s="115" t="s">
        <v>44</v>
      </c>
      <c r="D411" s="115" t="s">
        <v>127</v>
      </c>
      <c r="E411" s="115" t="s">
        <v>137</v>
      </c>
      <c r="F411" s="116">
        <v>13346</v>
      </c>
      <c r="G411" s="116">
        <v>5</v>
      </c>
      <c r="H411" s="117">
        <f t="shared" si="12"/>
        <v>3.7464408811628953E-4</v>
      </c>
      <c r="I411" s="118" t="str">
        <f t="shared" si="13"/>
        <v>EN</v>
      </c>
    </row>
    <row r="412" spans="1:9" x14ac:dyDescent="0.3">
      <c r="A412" s="115" t="s">
        <v>214</v>
      </c>
      <c r="B412" s="115" t="s">
        <v>229</v>
      </c>
      <c r="C412" s="115" t="s">
        <v>44</v>
      </c>
      <c r="D412" s="115" t="s">
        <v>127</v>
      </c>
      <c r="E412" s="115" t="s">
        <v>137</v>
      </c>
      <c r="F412" s="116">
        <v>17707</v>
      </c>
      <c r="G412" s="116">
        <v>5</v>
      </c>
      <c r="H412" s="117">
        <f t="shared" si="12"/>
        <v>2.8237420229287852E-4</v>
      </c>
      <c r="I412" s="118" t="str">
        <f t="shared" si="13"/>
        <v>EN</v>
      </c>
    </row>
    <row r="413" spans="1:9" x14ac:dyDescent="0.3">
      <c r="A413" s="115" t="s">
        <v>214</v>
      </c>
      <c r="B413" s="115" t="s">
        <v>229</v>
      </c>
      <c r="C413" s="115" t="s">
        <v>44</v>
      </c>
      <c r="D413" s="115" t="s">
        <v>127</v>
      </c>
      <c r="E413" s="115" t="s">
        <v>137</v>
      </c>
      <c r="F413" s="116">
        <v>17956</v>
      </c>
      <c r="G413" s="116">
        <v>8</v>
      </c>
      <c r="H413" s="117">
        <f t="shared" si="12"/>
        <v>4.4553352639786146E-4</v>
      </c>
      <c r="I413" s="118" t="str">
        <f t="shared" si="13"/>
        <v>EN</v>
      </c>
    </row>
    <row r="414" spans="1:9" x14ac:dyDescent="0.3">
      <c r="A414" s="115" t="s">
        <v>214</v>
      </c>
      <c r="B414" s="115" t="s">
        <v>229</v>
      </c>
      <c r="C414" s="115" t="s">
        <v>44</v>
      </c>
      <c r="D414" s="115" t="s">
        <v>127</v>
      </c>
      <c r="E414" s="115" t="s">
        <v>137</v>
      </c>
      <c r="F414" s="116">
        <v>15430</v>
      </c>
      <c r="G414" s="116">
        <v>7</v>
      </c>
      <c r="H414" s="117">
        <f t="shared" si="12"/>
        <v>4.5366169799092678E-4</v>
      </c>
      <c r="I414" s="118" t="str">
        <f t="shared" si="13"/>
        <v>EN</v>
      </c>
    </row>
    <row r="415" spans="1:9" x14ac:dyDescent="0.3">
      <c r="A415" s="115" t="s">
        <v>214</v>
      </c>
      <c r="B415" s="115" t="s">
        <v>230</v>
      </c>
      <c r="C415" s="115" t="s">
        <v>44</v>
      </c>
      <c r="D415" s="115" t="s">
        <v>150</v>
      </c>
      <c r="E415" s="115" t="s">
        <v>151</v>
      </c>
      <c r="F415" s="116">
        <v>1</v>
      </c>
      <c r="G415" s="116">
        <v>0</v>
      </c>
      <c r="H415" s="117">
        <f t="shared" si="12"/>
        <v>0</v>
      </c>
      <c r="I415" s="118" t="str">
        <f t="shared" si="13"/>
        <v>AR</v>
      </c>
    </row>
    <row r="416" spans="1:9" x14ac:dyDescent="0.3">
      <c r="A416" s="115" t="s">
        <v>214</v>
      </c>
      <c r="B416" s="115" t="s">
        <v>230</v>
      </c>
      <c r="C416" s="115" t="s">
        <v>44</v>
      </c>
      <c r="D416" s="115" t="s">
        <v>150</v>
      </c>
      <c r="E416" s="115" t="s">
        <v>151</v>
      </c>
      <c r="F416" s="116">
        <v>1</v>
      </c>
      <c r="G416" s="116">
        <v>0</v>
      </c>
      <c r="H416" s="117">
        <f t="shared" si="12"/>
        <v>0</v>
      </c>
      <c r="I416" s="118" t="str">
        <f t="shared" si="13"/>
        <v>AR</v>
      </c>
    </row>
    <row r="417" spans="1:9" x14ac:dyDescent="0.3">
      <c r="A417" s="115" t="s">
        <v>214</v>
      </c>
      <c r="B417" s="115" t="s">
        <v>230</v>
      </c>
      <c r="C417" s="115" t="s">
        <v>44</v>
      </c>
      <c r="D417" s="115" t="s">
        <v>150</v>
      </c>
      <c r="E417" s="115" t="s">
        <v>151</v>
      </c>
      <c r="F417" s="116">
        <v>2</v>
      </c>
      <c r="G417" s="116">
        <v>0</v>
      </c>
      <c r="H417" s="117">
        <f t="shared" si="12"/>
        <v>0</v>
      </c>
      <c r="I417" s="118" t="str">
        <f t="shared" si="13"/>
        <v>AR</v>
      </c>
    </row>
    <row r="418" spans="1:9" x14ac:dyDescent="0.3">
      <c r="A418" s="115" t="s">
        <v>214</v>
      </c>
      <c r="B418" s="115" t="s">
        <v>230</v>
      </c>
      <c r="C418" s="115" t="s">
        <v>44</v>
      </c>
      <c r="D418" s="115" t="s">
        <v>127</v>
      </c>
      <c r="E418" s="115" t="s">
        <v>137</v>
      </c>
      <c r="F418" s="116">
        <v>254</v>
      </c>
      <c r="G418" s="116">
        <v>4</v>
      </c>
      <c r="H418" s="117">
        <f t="shared" si="12"/>
        <v>1.5748031496062992E-2</v>
      </c>
      <c r="I418" s="118" t="str">
        <f t="shared" si="13"/>
        <v>AR</v>
      </c>
    </row>
    <row r="419" spans="1:9" x14ac:dyDescent="0.3">
      <c r="A419" s="115" t="s">
        <v>214</v>
      </c>
      <c r="B419" s="115" t="s">
        <v>230</v>
      </c>
      <c r="C419" s="115" t="s">
        <v>44</v>
      </c>
      <c r="D419" s="115" t="s">
        <v>127</v>
      </c>
      <c r="E419" s="115" t="s">
        <v>137</v>
      </c>
      <c r="F419" s="116">
        <v>447</v>
      </c>
      <c r="G419" s="116">
        <v>1</v>
      </c>
      <c r="H419" s="117">
        <f t="shared" si="12"/>
        <v>2.2371364653243847E-3</v>
      </c>
      <c r="I419" s="118" t="str">
        <f t="shared" si="13"/>
        <v>AR</v>
      </c>
    </row>
    <row r="420" spans="1:9" x14ac:dyDescent="0.3">
      <c r="A420" s="115" t="s">
        <v>214</v>
      </c>
      <c r="B420" s="115" t="s">
        <v>230</v>
      </c>
      <c r="C420" s="115" t="s">
        <v>44</v>
      </c>
      <c r="D420" s="115" t="s">
        <v>127</v>
      </c>
      <c r="E420" s="115" t="s">
        <v>137</v>
      </c>
      <c r="F420" s="116">
        <v>262</v>
      </c>
      <c r="G420" s="116">
        <v>1</v>
      </c>
      <c r="H420" s="117">
        <f t="shared" si="12"/>
        <v>3.8167938931297708E-3</v>
      </c>
      <c r="I420" s="118" t="str">
        <f t="shared" si="13"/>
        <v>AR</v>
      </c>
    </row>
    <row r="421" spans="1:9" x14ac:dyDescent="0.3">
      <c r="A421" s="115" t="s">
        <v>214</v>
      </c>
      <c r="B421" s="115" t="s">
        <v>230</v>
      </c>
      <c r="C421" s="115" t="s">
        <v>44</v>
      </c>
      <c r="D421" s="115" t="s">
        <v>127</v>
      </c>
      <c r="E421" s="115" t="s">
        <v>137</v>
      </c>
      <c r="F421" s="116">
        <v>472</v>
      </c>
      <c r="G421" s="116">
        <v>1</v>
      </c>
      <c r="H421" s="117">
        <f t="shared" si="12"/>
        <v>2.1186440677966102E-3</v>
      </c>
      <c r="I421" s="118" t="str">
        <f t="shared" si="13"/>
        <v>AR</v>
      </c>
    </row>
    <row r="422" spans="1:9" x14ac:dyDescent="0.3">
      <c r="A422" s="115" t="s">
        <v>214</v>
      </c>
      <c r="B422" s="115" t="s">
        <v>230</v>
      </c>
      <c r="C422" s="115" t="s">
        <v>44</v>
      </c>
      <c r="D422" s="115" t="s">
        <v>127</v>
      </c>
      <c r="E422" s="115" t="s">
        <v>137</v>
      </c>
      <c r="F422" s="116">
        <v>1331</v>
      </c>
      <c r="G422" s="116">
        <v>7</v>
      </c>
      <c r="H422" s="117">
        <f t="shared" si="12"/>
        <v>5.2592036063110444E-3</v>
      </c>
      <c r="I422" s="118" t="str">
        <f t="shared" si="13"/>
        <v>AR</v>
      </c>
    </row>
    <row r="423" spans="1:9" x14ac:dyDescent="0.3">
      <c r="A423" s="115" t="s">
        <v>214</v>
      </c>
      <c r="B423" s="115" t="s">
        <v>231</v>
      </c>
      <c r="C423" s="115" t="s">
        <v>44</v>
      </c>
      <c r="D423" s="115" t="s">
        <v>150</v>
      </c>
      <c r="E423" s="115" t="s">
        <v>151</v>
      </c>
      <c r="F423" s="116">
        <v>4</v>
      </c>
      <c r="G423" s="116">
        <v>0</v>
      </c>
      <c r="H423" s="117">
        <f t="shared" si="12"/>
        <v>0</v>
      </c>
      <c r="I423" s="118" t="str">
        <f t="shared" si="13"/>
        <v>EN</v>
      </c>
    </row>
    <row r="424" spans="1:9" x14ac:dyDescent="0.3">
      <c r="A424" s="115" t="s">
        <v>214</v>
      </c>
      <c r="B424" s="115" t="s">
        <v>231</v>
      </c>
      <c r="C424" s="115" t="s">
        <v>44</v>
      </c>
      <c r="D424" s="115" t="s">
        <v>150</v>
      </c>
      <c r="E424" s="115" t="s">
        <v>151</v>
      </c>
      <c r="F424" s="116">
        <v>2</v>
      </c>
      <c r="G424" s="116">
        <v>0</v>
      </c>
      <c r="H424" s="117">
        <f t="shared" si="12"/>
        <v>0</v>
      </c>
      <c r="I424" s="118" t="str">
        <f t="shared" si="13"/>
        <v>EN</v>
      </c>
    </row>
    <row r="425" spans="1:9" x14ac:dyDescent="0.3">
      <c r="A425" s="115" t="s">
        <v>214</v>
      </c>
      <c r="B425" s="115" t="s">
        <v>231</v>
      </c>
      <c r="C425" s="115" t="s">
        <v>44</v>
      </c>
      <c r="D425" s="115" t="s">
        <v>127</v>
      </c>
      <c r="E425" s="115" t="s">
        <v>137</v>
      </c>
      <c r="F425" s="116">
        <v>9463</v>
      </c>
      <c r="G425" s="116">
        <v>8</v>
      </c>
      <c r="H425" s="117">
        <f t="shared" si="12"/>
        <v>8.4539786537038994E-4</v>
      </c>
      <c r="I425" s="118" t="str">
        <f t="shared" si="13"/>
        <v>EN</v>
      </c>
    </row>
    <row r="426" spans="1:9" x14ac:dyDescent="0.3">
      <c r="A426" s="115" t="s">
        <v>214</v>
      </c>
      <c r="B426" s="115" t="s">
        <v>231</v>
      </c>
      <c r="C426" s="115" t="s">
        <v>44</v>
      </c>
      <c r="D426" s="115" t="s">
        <v>127</v>
      </c>
      <c r="E426" s="115" t="s">
        <v>137</v>
      </c>
      <c r="F426" s="116">
        <v>16804</v>
      </c>
      <c r="G426" s="116">
        <v>17</v>
      </c>
      <c r="H426" s="117">
        <f t="shared" si="12"/>
        <v>1.0116638895501071E-3</v>
      </c>
      <c r="I426" s="118" t="str">
        <f t="shared" si="13"/>
        <v>EN</v>
      </c>
    </row>
    <row r="427" spans="1:9" x14ac:dyDescent="0.3">
      <c r="A427" s="115" t="s">
        <v>214</v>
      </c>
      <c r="B427" s="115" t="s">
        <v>231</v>
      </c>
      <c r="C427" s="115" t="s">
        <v>44</v>
      </c>
      <c r="D427" s="115" t="s">
        <v>127</v>
      </c>
      <c r="E427" s="115" t="s">
        <v>137</v>
      </c>
      <c r="F427" s="116">
        <v>16620</v>
      </c>
      <c r="G427" s="116">
        <v>10</v>
      </c>
      <c r="H427" s="117">
        <f t="shared" si="12"/>
        <v>6.0168471720818293E-4</v>
      </c>
      <c r="I427" s="118" t="str">
        <f t="shared" si="13"/>
        <v>EN</v>
      </c>
    </row>
    <row r="428" spans="1:9" x14ac:dyDescent="0.3">
      <c r="A428" s="115" t="s">
        <v>214</v>
      </c>
      <c r="B428" s="115" t="s">
        <v>231</v>
      </c>
      <c r="C428" s="115" t="s">
        <v>44</v>
      </c>
      <c r="D428" s="115" t="s">
        <v>127</v>
      </c>
      <c r="E428" s="115" t="s">
        <v>137</v>
      </c>
      <c r="F428" s="116">
        <v>16488</v>
      </c>
      <c r="G428" s="116">
        <v>6</v>
      </c>
      <c r="H428" s="117">
        <f t="shared" si="12"/>
        <v>3.63901018922853E-4</v>
      </c>
      <c r="I428" s="118" t="str">
        <f t="shared" si="13"/>
        <v>EN</v>
      </c>
    </row>
    <row r="429" spans="1:9" x14ac:dyDescent="0.3">
      <c r="A429" s="115" t="s">
        <v>214</v>
      </c>
      <c r="B429" s="115" t="s">
        <v>231</v>
      </c>
      <c r="C429" s="115" t="s">
        <v>44</v>
      </c>
      <c r="D429" s="115" t="s">
        <v>127</v>
      </c>
      <c r="E429" s="115" t="s">
        <v>137</v>
      </c>
      <c r="F429" s="116">
        <v>14712</v>
      </c>
      <c r="G429" s="116">
        <v>10</v>
      </c>
      <c r="H429" s="117">
        <f t="shared" si="12"/>
        <v>6.7971723762914632E-4</v>
      </c>
      <c r="I429" s="118" t="str">
        <f t="shared" si="13"/>
        <v>EN</v>
      </c>
    </row>
    <row r="430" spans="1:9" x14ac:dyDescent="0.3">
      <c r="A430" s="115" t="s">
        <v>214</v>
      </c>
      <c r="B430" s="115" t="s">
        <v>232</v>
      </c>
      <c r="C430" s="115" t="s">
        <v>45</v>
      </c>
      <c r="D430" s="115" t="s">
        <v>150</v>
      </c>
      <c r="E430" s="115" t="s">
        <v>151</v>
      </c>
      <c r="F430" s="116">
        <v>7</v>
      </c>
      <c r="G430" s="116">
        <v>0</v>
      </c>
      <c r="H430" s="117">
        <f t="shared" si="12"/>
        <v>0</v>
      </c>
      <c r="I430" s="118" t="str">
        <f t="shared" si="13"/>
        <v>AR</v>
      </c>
    </row>
    <row r="431" spans="1:9" x14ac:dyDescent="0.3">
      <c r="A431" s="115" t="s">
        <v>214</v>
      </c>
      <c r="B431" s="115" t="s">
        <v>232</v>
      </c>
      <c r="C431" s="115" t="s">
        <v>45</v>
      </c>
      <c r="D431" s="115" t="s">
        <v>127</v>
      </c>
      <c r="E431" s="115" t="s">
        <v>137</v>
      </c>
      <c r="F431" s="116">
        <v>71</v>
      </c>
      <c r="G431" s="116">
        <v>0</v>
      </c>
      <c r="H431" s="117">
        <f t="shared" si="12"/>
        <v>0</v>
      </c>
      <c r="I431" s="118" t="str">
        <f t="shared" si="13"/>
        <v>AR</v>
      </c>
    </row>
    <row r="432" spans="1:9" x14ac:dyDescent="0.3">
      <c r="A432" s="115" t="s">
        <v>214</v>
      </c>
      <c r="B432" s="115" t="s">
        <v>232</v>
      </c>
      <c r="C432" s="115" t="s">
        <v>45</v>
      </c>
      <c r="D432" s="115" t="s">
        <v>127</v>
      </c>
      <c r="E432" s="115" t="s">
        <v>137</v>
      </c>
      <c r="F432" s="116">
        <v>626</v>
      </c>
      <c r="G432" s="116">
        <v>1</v>
      </c>
      <c r="H432" s="117">
        <f t="shared" si="12"/>
        <v>1.5974440894568689E-3</v>
      </c>
      <c r="I432" s="118" t="str">
        <f t="shared" si="13"/>
        <v>AR</v>
      </c>
    </row>
    <row r="433" spans="1:9" x14ac:dyDescent="0.3">
      <c r="A433" s="115" t="s">
        <v>214</v>
      </c>
      <c r="B433" s="115" t="s">
        <v>232</v>
      </c>
      <c r="C433" s="115" t="s">
        <v>45</v>
      </c>
      <c r="D433" s="115" t="s">
        <v>127</v>
      </c>
      <c r="E433" s="115" t="s">
        <v>137</v>
      </c>
      <c r="F433" s="116">
        <v>345</v>
      </c>
      <c r="G433" s="116">
        <v>0</v>
      </c>
      <c r="H433" s="117">
        <f t="shared" si="12"/>
        <v>0</v>
      </c>
      <c r="I433" s="118" t="str">
        <f t="shared" si="13"/>
        <v>AR</v>
      </c>
    </row>
    <row r="434" spans="1:9" x14ac:dyDescent="0.3">
      <c r="A434" s="115" t="s">
        <v>214</v>
      </c>
      <c r="B434" s="115" t="s">
        <v>232</v>
      </c>
      <c r="C434" s="115" t="s">
        <v>45</v>
      </c>
      <c r="D434" s="115" t="s">
        <v>127</v>
      </c>
      <c r="E434" s="115" t="s">
        <v>137</v>
      </c>
      <c r="F434" s="116">
        <v>640</v>
      </c>
      <c r="G434" s="116">
        <v>0</v>
      </c>
      <c r="H434" s="117">
        <f t="shared" si="12"/>
        <v>0</v>
      </c>
      <c r="I434" s="118" t="str">
        <f t="shared" si="13"/>
        <v>AR</v>
      </c>
    </row>
    <row r="435" spans="1:9" x14ac:dyDescent="0.3">
      <c r="A435" s="115" t="s">
        <v>214</v>
      </c>
      <c r="B435" s="115" t="s">
        <v>232</v>
      </c>
      <c r="C435" s="115" t="s">
        <v>45</v>
      </c>
      <c r="D435" s="115" t="s">
        <v>127</v>
      </c>
      <c r="E435" s="115" t="s">
        <v>137</v>
      </c>
      <c r="F435" s="116">
        <v>1429</v>
      </c>
      <c r="G435" s="116">
        <v>4</v>
      </c>
      <c r="H435" s="117">
        <f t="shared" si="12"/>
        <v>2.7991602519244225E-3</v>
      </c>
      <c r="I435" s="118" t="str">
        <f t="shared" si="13"/>
        <v>AR</v>
      </c>
    </row>
    <row r="436" spans="1:9" x14ac:dyDescent="0.3">
      <c r="A436" s="115" t="s">
        <v>214</v>
      </c>
      <c r="B436" s="115" t="s">
        <v>233</v>
      </c>
      <c r="C436" s="115" t="s">
        <v>45</v>
      </c>
      <c r="D436" s="115" t="s">
        <v>127</v>
      </c>
      <c r="E436" s="115" t="s">
        <v>137</v>
      </c>
      <c r="F436" s="116">
        <v>14441</v>
      </c>
      <c r="G436" s="116">
        <v>14</v>
      </c>
      <c r="H436" s="117">
        <f t="shared" si="12"/>
        <v>9.6946194861851677E-4</v>
      </c>
      <c r="I436" s="118" t="str">
        <f t="shared" si="13"/>
        <v>EN</v>
      </c>
    </row>
    <row r="437" spans="1:9" x14ac:dyDescent="0.3">
      <c r="A437" s="115" t="s">
        <v>214</v>
      </c>
      <c r="B437" s="115" t="s">
        <v>233</v>
      </c>
      <c r="C437" s="115" t="s">
        <v>45</v>
      </c>
      <c r="D437" s="115" t="s">
        <v>127</v>
      </c>
      <c r="E437" s="115" t="s">
        <v>137</v>
      </c>
      <c r="F437" s="116">
        <v>18808</v>
      </c>
      <c r="G437" s="116">
        <v>9</v>
      </c>
      <c r="H437" s="117">
        <f t="shared" si="12"/>
        <v>4.7851977881752447E-4</v>
      </c>
      <c r="I437" s="118" t="str">
        <f t="shared" si="13"/>
        <v>EN</v>
      </c>
    </row>
    <row r="438" spans="1:9" x14ac:dyDescent="0.3">
      <c r="A438" s="115" t="s">
        <v>214</v>
      </c>
      <c r="B438" s="115" t="s">
        <v>233</v>
      </c>
      <c r="C438" s="115" t="s">
        <v>45</v>
      </c>
      <c r="D438" s="115" t="s">
        <v>127</v>
      </c>
      <c r="E438" s="115" t="s">
        <v>137</v>
      </c>
      <c r="F438" s="116">
        <v>15466</v>
      </c>
      <c r="G438" s="116">
        <v>8</v>
      </c>
      <c r="H438" s="117">
        <f t="shared" si="12"/>
        <v>5.1726367515841204E-4</v>
      </c>
      <c r="I438" s="118" t="str">
        <f t="shared" si="13"/>
        <v>EN</v>
      </c>
    </row>
    <row r="439" spans="1:9" x14ac:dyDescent="0.3">
      <c r="A439" s="115" t="s">
        <v>214</v>
      </c>
      <c r="B439" s="115" t="s">
        <v>234</v>
      </c>
      <c r="C439" s="115" t="s">
        <v>45</v>
      </c>
      <c r="D439" s="115" t="s">
        <v>150</v>
      </c>
      <c r="E439" s="115" t="s">
        <v>151</v>
      </c>
      <c r="F439" s="116">
        <v>20</v>
      </c>
      <c r="G439" s="116">
        <v>0</v>
      </c>
      <c r="H439" s="117">
        <f t="shared" si="12"/>
        <v>0</v>
      </c>
      <c r="I439" s="118" t="str">
        <f t="shared" si="13"/>
        <v>AR</v>
      </c>
    </row>
    <row r="440" spans="1:9" x14ac:dyDescent="0.3">
      <c r="A440" s="115" t="s">
        <v>214</v>
      </c>
      <c r="B440" s="115" t="s">
        <v>234</v>
      </c>
      <c r="C440" s="115" t="s">
        <v>45</v>
      </c>
      <c r="D440" s="115" t="s">
        <v>150</v>
      </c>
      <c r="E440" s="115" t="s">
        <v>151</v>
      </c>
      <c r="F440" s="116">
        <v>14</v>
      </c>
      <c r="G440" s="116">
        <v>0</v>
      </c>
      <c r="H440" s="117">
        <f t="shared" si="12"/>
        <v>0</v>
      </c>
      <c r="I440" s="118" t="str">
        <f t="shared" si="13"/>
        <v>AR</v>
      </c>
    </row>
    <row r="441" spans="1:9" x14ac:dyDescent="0.3">
      <c r="A441" s="115" t="s">
        <v>214</v>
      </c>
      <c r="B441" s="115" t="s">
        <v>234</v>
      </c>
      <c r="C441" s="115" t="s">
        <v>45</v>
      </c>
      <c r="D441" s="115" t="s">
        <v>150</v>
      </c>
      <c r="E441" s="115" t="s">
        <v>151</v>
      </c>
      <c r="F441" s="116">
        <v>7</v>
      </c>
      <c r="G441" s="116">
        <v>0</v>
      </c>
      <c r="H441" s="117">
        <f t="shared" si="12"/>
        <v>0</v>
      </c>
      <c r="I441" s="118" t="str">
        <f t="shared" si="13"/>
        <v>AR</v>
      </c>
    </row>
    <row r="442" spans="1:9" x14ac:dyDescent="0.3">
      <c r="A442" s="115" t="s">
        <v>214</v>
      </c>
      <c r="B442" s="115" t="s">
        <v>234</v>
      </c>
      <c r="C442" s="115" t="s">
        <v>45</v>
      </c>
      <c r="D442" s="115" t="s">
        <v>127</v>
      </c>
      <c r="E442" s="115" t="s">
        <v>137</v>
      </c>
      <c r="F442" s="116">
        <v>13701</v>
      </c>
      <c r="G442" s="116">
        <v>17</v>
      </c>
      <c r="H442" s="117">
        <f t="shared" si="12"/>
        <v>1.2407853441354646E-3</v>
      </c>
      <c r="I442" s="118" t="str">
        <f t="shared" si="13"/>
        <v>AR</v>
      </c>
    </row>
    <row r="443" spans="1:9" x14ac:dyDescent="0.3">
      <c r="A443" s="115" t="s">
        <v>214</v>
      </c>
      <c r="B443" s="115" t="s">
        <v>234</v>
      </c>
      <c r="C443" s="115" t="s">
        <v>45</v>
      </c>
      <c r="D443" s="115" t="s">
        <v>127</v>
      </c>
      <c r="E443" s="115" t="s">
        <v>137</v>
      </c>
      <c r="F443" s="116">
        <v>28244</v>
      </c>
      <c r="G443" s="116">
        <v>12</v>
      </c>
      <c r="H443" s="117">
        <f t="shared" si="12"/>
        <v>4.2486899872539298E-4</v>
      </c>
      <c r="I443" s="118" t="str">
        <f t="shared" si="13"/>
        <v>AR</v>
      </c>
    </row>
    <row r="444" spans="1:9" x14ac:dyDescent="0.3">
      <c r="A444" s="115" t="s">
        <v>214</v>
      </c>
      <c r="B444" s="115" t="s">
        <v>234</v>
      </c>
      <c r="C444" s="115" t="s">
        <v>45</v>
      </c>
      <c r="D444" s="115" t="s">
        <v>127</v>
      </c>
      <c r="E444" s="115" t="s">
        <v>137</v>
      </c>
      <c r="F444" s="116">
        <v>31008</v>
      </c>
      <c r="G444" s="116">
        <v>33</v>
      </c>
      <c r="H444" s="117">
        <f t="shared" si="12"/>
        <v>1.0642414860681114E-3</v>
      </c>
      <c r="I444" s="118" t="str">
        <f t="shared" si="13"/>
        <v>AR</v>
      </c>
    </row>
    <row r="445" spans="1:9" x14ac:dyDescent="0.3">
      <c r="A445" s="115" t="s">
        <v>214</v>
      </c>
      <c r="B445" s="115" t="s">
        <v>235</v>
      </c>
      <c r="C445" s="115" t="s">
        <v>45</v>
      </c>
      <c r="D445" s="115" t="s">
        <v>150</v>
      </c>
      <c r="E445" s="115" t="s">
        <v>151</v>
      </c>
      <c r="F445" s="116">
        <v>3</v>
      </c>
      <c r="G445" s="116">
        <v>0</v>
      </c>
      <c r="H445" s="117">
        <f t="shared" si="12"/>
        <v>0</v>
      </c>
      <c r="I445" s="118" t="str">
        <f t="shared" si="13"/>
        <v>EN</v>
      </c>
    </row>
    <row r="446" spans="1:9" x14ac:dyDescent="0.3">
      <c r="A446" s="115" t="s">
        <v>214</v>
      </c>
      <c r="B446" s="115" t="s">
        <v>235</v>
      </c>
      <c r="C446" s="115" t="s">
        <v>45</v>
      </c>
      <c r="D446" s="115" t="s">
        <v>127</v>
      </c>
      <c r="E446" s="115" t="s">
        <v>137</v>
      </c>
      <c r="F446" s="116">
        <v>9011</v>
      </c>
      <c r="G446" s="116">
        <v>9</v>
      </c>
      <c r="H446" s="117">
        <f t="shared" si="12"/>
        <v>9.9877926978137821E-4</v>
      </c>
      <c r="I446" s="118" t="str">
        <f t="shared" si="13"/>
        <v>EN</v>
      </c>
    </row>
    <row r="447" spans="1:9" x14ac:dyDescent="0.3">
      <c r="A447" s="115" t="s">
        <v>214</v>
      </c>
      <c r="B447" s="115" t="s">
        <v>235</v>
      </c>
      <c r="C447" s="115" t="s">
        <v>45</v>
      </c>
      <c r="D447" s="115" t="s">
        <v>127</v>
      </c>
      <c r="E447" s="115" t="s">
        <v>137</v>
      </c>
      <c r="F447" s="116">
        <v>17429</v>
      </c>
      <c r="G447" s="116">
        <v>11</v>
      </c>
      <c r="H447" s="117">
        <f t="shared" si="12"/>
        <v>6.311320213437375E-4</v>
      </c>
      <c r="I447" s="118" t="str">
        <f t="shared" si="13"/>
        <v>EN</v>
      </c>
    </row>
    <row r="448" spans="1:9" x14ac:dyDescent="0.3">
      <c r="A448" s="115" t="s">
        <v>214</v>
      </c>
      <c r="B448" s="115" t="s">
        <v>235</v>
      </c>
      <c r="C448" s="115" t="s">
        <v>45</v>
      </c>
      <c r="D448" s="115" t="s">
        <v>127</v>
      </c>
      <c r="E448" s="115" t="s">
        <v>137</v>
      </c>
      <c r="F448" s="116">
        <v>18944</v>
      </c>
      <c r="G448" s="116">
        <v>7</v>
      </c>
      <c r="H448" s="117">
        <f t="shared" si="12"/>
        <v>3.6951013513513516E-4</v>
      </c>
      <c r="I448" s="118" t="str">
        <f t="shared" si="13"/>
        <v>EN</v>
      </c>
    </row>
    <row r="449" spans="1:9" x14ac:dyDescent="0.3">
      <c r="A449" s="115" t="s">
        <v>214</v>
      </c>
      <c r="B449" s="115" t="s">
        <v>235</v>
      </c>
      <c r="C449" s="115" t="s">
        <v>45</v>
      </c>
      <c r="D449" s="115" t="s">
        <v>127</v>
      </c>
      <c r="E449" s="115" t="s">
        <v>137</v>
      </c>
      <c r="F449" s="116">
        <v>17997</v>
      </c>
      <c r="G449" s="116">
        <v>15</v>
      </c>
      <c r="H449" s="117">
        <f t="shared" si="12"/>
        <v>8.33472245374229E-4</v>
      </c>
      <c r="I449" s="118" t="str">
        <f t="shared" si="13"/>
        <v>EN</v>
      </c>
    </row>
    <row r="450" spans="1:9" x14ac:dyDescent="0.3">
      <c r="A450" s="115" t="s">
        <v>214</v>
      </c>
      <c r="B450" s="115" t="s">
        <v>235</v>
      </c>
      <c r="C450" s="115" t="s">
        <v>45</v>
      </c>
      <c r="D450" s="115" t="s">
        <v>127</v>
      </c>
      <c r="E450" s="115" t="s">
        <v>137</v>
      </c>
      <c r="F450" s="116">
        <v>14346</v>
      </c>
      <c r="G450" s="116">
        <v>3</v>
      </c>
      <c r="H450" s="117">
        <f t="shared" si="12"/>
        <v>2.0911752404851526E-4</v>
      </c>
      <c r="I450" s="118" t="str">
        <f t="shared" si="13"/>
        <v>EN</v>
      </c>
    </row>
    <row r="451" spans="1:9" x14ac:dyDescent="0.3">
      <c r="A451" s="115" t="s">
        <v>214</v>
      </c>
      <c r="B451" s="115" t="s">
        <v>236</v>
      </c>
      <c r="C451" s="115" t="s">
        <v>45</v>
      </c>
      <c r="D451" s="115" t="s">
        <v>150</v>
      </c>
      <c r="E451" s="115" t="s">
        <v>151</v>
      </c>
      <c r="F451" s="116">
        <v>4</v>
      </c>
      <c r="G451" s="116">
        <v>0</v>
      </c>
      <c r="H451" s="117">
        <f t="shared" ref="H451:H514" si="14">G451/F451</f>
        <v>0</v>
      </c>
      <c r="I451" s="118" t="str">
        <f t="shared" ref="I451:I514" si="15">RIGHT(B451,2)</f>
        <v>AR</v>
      </c>
    </row>
    <row r="452" spans="1:9" x14ac:dyDescent="0.3">
      <c r="A452" s="115" t="s">
        <v>214</v>
      </c>
      <c r="B452" s="115" t="s">
        <v>236</v>
      </c>
      <c r="C452" s="115" t="s">
        <v>45</v>
      </c>
      <c r="D452" s="115" t="s">
        <v>150</v>
      </c>
      <c r="E452" s="115" t="s">
        <v>151</v>
      </c>
      <c r="F452" s="116">
        <v>1</v>
      </c>
      <c r="G452" s="116">
        <v>0</v>
      </c>
      <c r="H452" s="117">
        <f t="shared" si="14"/>
        <v>0</v>
      </c>
      <c r="I452" s="118" t="str">
        <f t="shared" si="15"/>
        <v>AR</v>
      </c>
    </row>
    <row r="453" spans="1:9" x14ac:dyDescent="0.3">
      <c r="A453" s="115" t="s">
        <v>214</v>
      </c>
      <c r="B453" s="115" t="s">
        <v>236</v>
      </c>
      <c r="C453" s="115" t="s">
        <v>45</v>
      </c>
      <c r="D453" s="115" t="s">
        <v>127</v>
      </c>
      <c r="E453" s="115" t="s">
        <v>137</v>
      </c>
      <c r="F453" s="116">
        <v>133</v>
      </c>
      <c r="G453" s="116">
        <v>0</v>
      </c>
      <c r="H453" s="117">
        <f t="shared" si="14"/>
        <v>0</v>
      </c>
      <c r="I453" s="118" t="str">
        <f t="shared" si="15"/>
        <v>AR</v>
      </c>
    </row>
    <row r="454" spans="1:9" x14ac:dyDescent="0.3">
      <c r="A454" s="115" t="s">
        <v>214</v>
      </c>
      <c r="B454" s="115" t="s">
        <v>236</v>
      </c>
      <c r="C454" s="115" t="s">
        <v>45</v>
      </c>
      <c r="D454" s="115" t="s">
        <v>127</v>
      </c>
      <c r="E454" s="115" t="s">
        <v>137</v>
      </c>
      <c r="F454" s="116">
        <v>1849</v>
      </c>
      <c r="G454" s="116">
        <v>0</v>
      </c>
      <c r="H454" s="117">
        <f t="shared" si="14"/>
        <v>0</v>
      </c>
      <c r="I454" s="118" t="str">
        <f t="shared" si="15"/>
        <v>AR</v>
      </c>
    </row>
    <row r="455" spans="1:9" x14ac:dyDescent="0.3">
      <c r="A455" s="115" t="s">
        <v>214</v>
      </c>
      <c r="B455" s="115" t="s">
        <v>236</v>
      </c>
      <c r="C455" s="115" t="s">
        <v>45</v>
      </c>
      <c r="D455" s="115" t="s">
        <v>127</v>
      </c>
      <c r="E455" s="115" t="s">
        <v>137</v>
      </c>
      <c r="F455" s="116">
        <v>997</v>
      </c>
      <c r="G455" s="116">
        <v>1</v>
      </c>
      <c r="H455" s="117">
        <f t="shared" si="14"/>
        <v>1.0030090270812437E-3</v>
      </c>
      <c r="I455" s="118" t="str">
        <f t="shared" si="15"/>
        <v>AR</v>
      </c>
    </row>
    <row r="456" spans="1:9" x14ac:dyDescent="0.3">
      <c r="A456" s="115" t="s">
        <v>214</v>
      </c>
      <c r="B456" s="115" t="s">
        <v>236</v>
      </c>
      <c r="C456" s="115" t="s">
        <v>45</v>
      </c>
      <c r="D456" s="115" t="s">
        <v>127</v>
      </c>
      <c r="E456" s="115" t="s">
        <v>137</v>
      </c>
      <c r="F456" s="116">
        <v>2457</v>
      </c>
      <c r="G456" s="116">
        <v>1</v>
      </c>
      <c r="H456" s="117">
        <f t="shared" si="14"/>
        <v>4.0700040700040698E-4</v>
      </c>
      <c r="I456" s="118" t="str">
        <f t="shared" si="15"/>
        <v>AR</v>
      </c>
    </row>
    <row r="457" spans="1:9" x14ac:dyDescent="0.3">
      <c r="A457" s="115" t="s">
        <v>214</v>
      </c>
      <c r="B457" s="115" t="s">
        <v>236</v>
      </c>
      <c r="C457" s="115" t="s">
        <v>45</v>
      </c>
      <c r="D457" s="115" t="s">
        <v>127</v>
      </c>
      <c r="E457" s="115" t="s">
        <v>137</v>
      </c>
      <c r="F457" s="116">
        <v>3198</v>
      </c>
      <c r="G457" s="116">
        <v>3</v>
      </c>
      <c r="H457" s="117">
        <f t="shared" si="14"/>
        <v>9.3808630393996248E-4</v>
      </c>
      <c r="I457" s="118" t="str">
        <f t="shared" si="15"/>
        <v>AR</v>
      </c>
    </row>
    <row r="458" spans="1:9" x14ac:dyDescent="0.3">
      <c r="A458" s="115" t="s">
        <v>214</v>
      </c>
      <c r="B458" s="115" t="s">
        <v>237</v>
      </c>
      <c r="C458" s="115" t="s">
        <v>45</v>
      </c>
      <c r="D458" s="115" t="s">
        <v>150</v>
      </c>
      <c r="E458" s="115" t="s">
        <v>151</v>
      </c>
      <c r="F458" s="116">
        <v>1</v>
      </c>
      <c r="G458" s="116">
        <v>0</v>
      </c>
      <c r="H458" s="117">
        <f t="shared" si="14"/>
        <v>0</v>
      </c>
      <c r="I458" s="118" t="str">
        <f t="shared" si="15"/>
        <v>AR</v>
      </c>
    </row>
    <row r="459" spans="1:9" x14ac:dyDescent="0.3">
      <c r="A459" s="115" t="s">
        <v>214</v>
      </c>
      <c r="B459" s="115" t="s">
        <v>237</v>
      </c>
      <c r="C459" s="115" t="s">
        <v>45</v>
      </c>
      <c r="D459" s="115" t="s">
        <v>150</v>
      </c>
      <c r="E459" s="115" t="s">
        <v>151</v>
      </c>
      <c r="F459" s="116">
        <v>7</v>
      </c>
      <c r="G459" s="116">
        <v>0</v>
      </c>
      <c r="H459" s="117">
        <f t="shared" si="14"/>
        <v>0</v>
      </c>
      <c r="I459" s="118" t="str">
        <f t="shared" si="15"/>
        <v>AR</v>
      </c>
    </row>
    <row r="460" spans="1:9" x14ac:dyDescent="0.3">
      <c r="A460" s="115" t="s">
        <v>214</v>
      </c>
      <c r="B460" s="115" t="s">
        <v>237</v>
      </c>
      <c r="C460" s="115" t="s">
        <v>45</v>
      </c>
      <c r="D460" s="115" t="s">
        <v>150</v>
      </c>
      <c r="E460" s="115" t="s">
        <v>151</v>
      </c>
      <c r="F460" s="116">
        <v>2</v>
      </c>
      <c r="G460" s="116">
        <v>0</v>
      </c>
      <c r="H460" s="117">
        <f t="shared" si="14"/>
        <v>0</v>
      </c>
      <c r="I460" s="118" t="str">
        <f t="shared" si="15"/>
        <v>AR</v>
      </c>
    </row>
    <row r="461" spans="1:9" x14ac:dyDescent="0.3">
      <c r="A461" s="115" t="s">
        <v>214</v>
      </c>
      <c r="B461" s="115" t="s">
        <v>237</v>
      </c>
      <c r="C461" s="115" t="s">
        <v>45</v>
      </c>
      <c r="D461" s="115" t="s">
        <v>150</v>
      </c>
      <c r="E461" s="115" t="s">
        <v>151</v>
      </c>
      <c r="F461" s="116">
        <v>1</v>
      </c>
      <c r="G461" s="116">
        <v>0</v>
      </c>
      <c r="H461" s="117">
        <f t="shared" si="14"/>
        <v>0</v>
      </c>
      <c r="I461" s="118" t="str">
        <f t="shared" si="15"/>
        <v>AR</v>
      </c>
    </row>
    <row r="462" spans="1:9" x14ac:dyDescent="0.3">
      <c r="A462" s="115" t="s">
        <v>214</v>
      </c>
      <c r="B462" s="115" t="s">
        <v>237</v>
      </c>
      <c r="C462" s="115" t="s">
        <v>45</v>
      </c>
      <c r="D462" s="115" t="s">
        <v>127</v>
      </c>
      <c r="E462" s="115" t="s">
        <v>137</v>
      </c>
      <c r="F462" s="116">
        <v>178</v>
      </c>
      <c r="G462" s="116">
        <v>0</v>
      </c>
      <c r="H462" s="117">
        <f t="shared" si="14"/>
        <v>0</v>
      </c>
      <c r="I462" s="118" t="str">
        <f t="shared" si="15"/>
        <v>AR</v>
      </c>
    </row>
    <row r="463" spans="1:9" x14ac:dyDescent="0.3">
      <c r="A463" s="115" t="s">
        <v>214</v>
      </c>
      <c r="B463" s="115" t="s">
        <v>237</v>
      </c>
      <c r="C463" s="115" t="s">
        <v>45</v>
      </c>
      <c r="D463" s="115" t="s">
        <v>127</v>
      </c>
      <c r="E463" s="115" t="s">
        <v>137</v>
      </c>
      <c r="F463" s="116">
        <v>1112</v>
      </c>
      <c r="G463" s="116">
        <v>0</v>
      </c>
      <c r="H463" s="117">
        <f t="shared" si="14"/>
        <v>0</v>
      </c>
      <c r="I463" s="118" t="str">
        <f t="shared" si="15"/>
        <v>AR</v>
      </c>
    </row>
    <row r="464" spans="1:9" x14ac:dyDescent="0.3">
      <c r="A464" s="115" t="s">
        <v>214</v>
      </c>
      <c r="B464" s="115" t="s">
        <v>237</v>
      </c>
      <c r="C464" s="115" t="s">
        <v>45</v>
      </c>
      <c r="D464" s="115" t="s">
        <v>127</v>
      </c>
      <c r="E464" s="115" t="s">
        <v>137</v>
      </c>
      <c r="F464" s="116">
        <v>1157</v>
      </c>
      <c r="G464" s="116">
        <v>0</v>
      </c>
      <c r="H464" s="117">
        <f t="shared" si="14"/>
        <v>0</v>
      </c>
      <c r="I464" s="118" t="str">
        <f t="shared" si="15"/>
        <v>AR</v>
      </c>
    </row>
    <row r="465" spans="1:9" x14ac:dyDescent="0.3">
      <c r="A465" s="115" t="s">
        <v>214</v>
      </c>
      <c r="B465" s="115" t="s">
        <v>237</v>
      </c>
      <c r="C465" s="115" t="s">
        <v>45</v>
      </c>
      <c r="D465" s="115" t="s">
        <v>127</v>
      </c>
      <c r="E465" s="115" t="s">
        <v>137</v>
      </c>
      <c r="F465" s="116">
        <v>1603</v>
      </c>
      <c r="G465" s="116">
        <v>3</v>
      </c>
      <c r="H465" s="117">
        <f t="shared" si="14"/>
        <v>1.8714909544603868E-3</v>
      </c>
      <c r="I465" s="118" t="str">
        <f t="shared" si="15"/>
        <v>AR</v>
      </c>
    </row>
    <row r="466" spans="1:9" x14ac:dyDescent="0.3">
      <c r="A466" s="115" t="s">
        <v>214</v>
      </c>
      <c r="B466" s="115" t="s">
        <v>237</v>
      </c>
      <c r="C466" s="115" t="s">
        <v>45</v>
      </c>
      <c r="D466" s="115" t="s">
        <v>127</v>
      </c>
      <c r="E466" s="115" t="s">
        <v>137</v>
      </c>
      <c r="F466" s="116">
        <v>3869</v>
      </c>
      <c r="G466" s="116">
        <v>1</v>
      </c>
      <c r="H466" s="117">
        <f t="shared" si="14"/>
        <v>2.5846471956577927E-4</v>
      </c>
      <c r="I466" s="118" t="str">
        <f t="shared" si="15"/>
        <v>AR</v>
      </c>
    </row>
    <row r="467" spans="1:9" x14ac:dyDescent="0.3">
      <c r="A467" s="115" t="s">
        <v>214</v>
      </c>
      <c r="B467" s="115" t="s">
        <v>238</v>
      </c>
      <c r="C467" s="115" t="s">
        <v>45</v>
      </c>
      <c r="D467" s="115" t="s">
        <v>150</v>
      </c>
      <c r="E467" s="115" t="s">
        <v>151</v>
      </c>
      <c r="F467" s="116">
        <v>2</v>
      </c>
      <c r="G467" s="116">
        <v>0</v>
      </c>
      <c r="H467" s="117">
        <f t="shared" si="14"/>
        <v>0</v>
      </c>
      <c r="I467" s="118" t="str">
        <f t="shared" si="15"/>
        <v>EN</v>
      </c>
    </row>
    <row r="468" spans="1:9" x14ac:dyDescent="0.3">
      <c r="A468" s="115" t="s">
        <v>214</v>
      </c>
      <c r="B468" s="115" t="s">
        <v>238</v>
      </c>
      <c r="C468" s="115" t="s">
        <v>45</v>
      </c>
      <c r="D468" s="115" t="s">
        <v>150</v>
      </c>
      <c r="E468" s="115" t="s">
        <v>151</v>
      </c>
      <c r="F468" s="116">
        <v>2</v>
      </c>
      <c r="G468" s="116">
        <v>0</v>
      </c>
      <c r="H468" s="117">
        <f t="shared" si="14"/>
        <v>0</v>
      </c>
      <c r="I468" s="118" t="str">
        <f t="shared" si="15"/>
        <v>EN</v>
      </c>
    </row>
    <row r="469" spans="1:9" x14ac:dyDescent="0.3">
      <c r="A469" s="115" t="s">
        <v>214</v>
      </c>
      <c r="B469" s="115" t="s">
        <v>238</v>
      </c>
      <c r="C469" s="115" t="s">
        <v>45</v>
      </c>
      <c r="D469" s="115" t="s">
        <v>150</v>
      </c>
      <c r="E469" s="115" t="s">
        <v>151</v>
      </c>
      <c r="F469" s="116">
        <v>1</v>
      </c>
      <c r="G469" s="116">
        <v>0</v>
      </c>
      <c r="H469" s="117">
        <f t="shared" si="14"/>
        <v>0</v>
      </c>
      <c r="I469" s="118" t="str">
        <f t="shared" si="15"/>
        <v>EN</v>
      </c>
    </row>
    <row r="470" spans="1:9" x14ac:dyDescent="0.3">
      <c r="A470" s="115" t="s">
        <v>214</v>
      </c>
      <c r="B470" s="115" t="s">
        <v>238</v>
      </c>
      <c r="C470" s="115" t="s">
        <v>45</v>
      </c>
      <c r="D470" s="115" t="s">
        <v>150</v>
      </c>
      <c r="E470" s="115" t="s">
        <v>151</v>
      </c>
      <c r="F470" s="116">
        <v>3</v>
      </c>
      <c r="G470" s="116">
        <v>0</v>
      </c>
      <c r="H470" s="117">
        <f t="shared" si="14"/>
        <v>0</v>
      </c>
      <c r="I470" s="118" t="str">
        <f t="shared" si="15"/>
        <v>EN</v>
      </c>
    </row>
    <row r="471" spans="1:9" x14ac:dyDescent="0.3">
      <c r="A471" s="115" t="s">
        <v>214</v>
      </c>
      <c r="B471" s="115" t="s">
        <v>238</v>
      </c>
      <c r="C471" s="115" t="s">
        <v>45</v>
      </c>
      <c r="D471" s="115" t="s">
        <v>127</v>
      </c>
      <c r="E471" s="115" t="s">
        <v>137</v>
      </c>
      <c r="F471" s="116">
        <v>3391</v>
      </c>
      <c r="G471" s="116">
        <v>2</v>
      </c>
      <c r="H471" s="117">
        <f t="shared" si="14"/>
        <v>5.8979652020053083E-4</v>
      </c>
      <c r="I471" s="118" t="str">
        <f t="shared" si="15"/>
        <v>EN</v>
      </c>
    </row>
    <row r="472" spans="1:9" x14ac:dyDescent="0.3">
      <c r="A472" s="115" t="s">
        <v>214</v>
      </c>
      <c r="B472" s="115" t="s">
        <v>238</v>
      </c>
      <c r="C472" s="115" t="s">
        <v>45</v>
      </c>
      <c r="D472" s="115" t="s">
        <v>127</v>
      </c>
      <c r="E472" s="115" t="s">
        <v>137</v>
      </c>
      <c r="F472" s="116">
        <v>8770</v>
      </c>
      <c r="G472" s="116">
        <v>9</v>
      </c>
      <c r="H472" s="117">
        <f t="shared" si="14"/>
        <v>1.0262257696693272E-3</v>
      </c>
      <c r="I472" s="118" t="str">
        <f t="shared" si="15"/>
        <v>EN</v>
      </c>
    </row>
    <row r="473" spans="1:9" x14ac:dyDescent="0.3">
      <c r="A473" s="115" t="s">
        <v>214</v>
      </c>
      <c r="B473" s="115" t="s">
        <v>238</v>
      </c>
      <c r="C473" s="115" t="s">
        <v>45</v>
      </c>
      <c r="D473" s="115" t="s">
        <v>127</v>
      </c>
      <c r="E473" s="115" t="s">
        <v>137</v>
      </c>
      <c r="F473" s="116">
        <v>9366</v>
      </c>
      <c r="G473" s="116">
        <v>11</v>
      </c>
      <c r="H473" s="117">
        <f t="shared" si="14"/>
        <v>1.1744608157164211E-3</v>
      </c>
      <c r="I473" s="118" t="str">
        <f t="shared" si="15"/>
        <v>EN</v>
      </c>
    </row>
    <row r="474" spans="1:9" x14ac:dyDescent="0.3">
      <c r="A474" s="115" t="s">
        <v>214</v>
      </c>
      <c r="B474" s="115" t="s">
        <v>238</v>
      </c>
      <c r="C474" s="115" t="s">
        <v>45</v>
      </c>
      <c r="D474" s="115" t="s">
        <v>127</v>
      </c>
      <c r="E474" s="115" t="s">
        <v>137</v>
      </c>
      <c r="F474" s="116">
        <v>10122</v>
      </c>
      <c r="G474" s="116">
        <v>5</v>
      </c>
      <c r="H474" s="117">
        <f t="shared" si="14"/>
        <v>4.9397352301916615E-4</v>
      </c>
      <c r="I474" s="118" t="str">
        <f t="shared" si="15"/>
        <v>EN</v>
      </c>
    </row>
    <row r="475" spans="1:9" x14ac:dyDescent="0.3">
      <c r="A475" s="115" t="s">
        <v>214</v>
      </c>
      <c r="B475" s="115" t="s">
        <v>238</v>
      </c>
      <c r="C475" s="115" t="s">
        <v>45</v>
      </c>
      <c r="D475" s="115" t="s">
        <v>127</v>
      </c>
      <c r="E475" s="115" t="s">
        <v>137</v>
      </c>
      <c r="F475" s="116">
        <v>6095</v>
      </c>
      <c r="G475" s="116">
        <v>3</v>
      </c>
      <c r="H475" s="117">
        <f t="shared" si="14"/>
        <v>4.9220672682526666E-4</v>
      </c>
      <c r="I475" s="118" t="str">
        <f t="shared" si="15"/>
        <v>EN</v>
      </c>
    </row>
    <row r="476" spans="1:9" x14ac:dyDescent="0.3">
      <c r="A476" s="115" t="s">
        <v>214</v>
      </c>
      <c r="B476" s="115" t="s">
        <v>239</v>
      </c>
      <c r="C476" s="115" t="s">
        <v>45</v>
      </c>
      <c r="D476" s="115" t="s">
        <v>127</v>
      </c>
      <c r="E476" s="115" t="s">
        <v>137</v>
      </c>
      <c r="F476" s="116">
        <v>176</v>
      </c>
      <c r="G476" s="116">
        <v>0</v>
      </c>
      <c r="H476" s="117">
        <f t="shared" si="14"/>
        <v>0</v>
      </c>
      <c r="I476" s="118" t="str">
        <f t="shared" si="15"/>
        <v>AR</v>
      </c>
    </row>
    <row r="477" spans="1:9" x14ac:dyDescent="0.3">
      <c r="A477" s="115" t="s">
        <v>214</v>
      </c>
      <c r="B477" s="115" t="s">
        <v>239</v>
      </c>
      <c r="C477" s="115" t="s">
        <v>45</v>
      </c>
      <c r="D477" s="115" t="s">
        <v>127</v>
      </c>
      <c r="E477" s="115" t="s">
        <v>137</v>
      </c>
      <c r="F477" s="116">
        <v>2626</v>
      </c>
      <c r="G477" s="116">
        <v>0</v>
      </c>
      <c r="H477" s="117">
        <f t="shared" si="14"/>
        <v>0</v>
      </c>
      <c r="I477" s="118" t="str">
        <f t="shared" si="15"/>
        <v>AR</v>
      </c>
    </row>
    <row r="478" spans="1:9" x14ac:dyDescent="0.3">
      <c r="A478" s="115" t="s">
        <v>214</v>
      </c>
      <c r="B478" s="115" t="s">
        <v>239</v>
      </c>
      <c r="C478" s="115" t="s">
        <v>45</v>
      </c>
      <c r="D478" s="115" t="s">
        <v>127</v>
      </c>
      <c r="E478" s="115" t="s">
        <v>137</v>
      </c>
      <c r="F478" s="116">
        <v>1072</v>
      </c>
      <c r="G478" s="116">
        <v>2</v>
      </c>
      <c r="H478" s="117">
        <f t="shared" si="14"/>
        <v>1.8656716417910447E-3</v>
      </c>
      <c r="I478" s="118" t="str">
        <f t="shared" si="15"/>
        <v>AR</v>
      </c>
    </row>
    <row r="479" spans="1:9" x14ac:dyDescent="0.3">
      <c r="A479" s="115" t="s">
        <v>214</v>
      </c>
      <c r="B479" s="115" t="s">
        <v>239</v>
      </c>
      <c r="C479" s="115" t="s">
        <v>45</v>
      </c>
      <c r="D479" s="115" t="s">
        <v>127</v>
      </c>
      <c r="E479" s="115" t="s">
        <v>137</v>
      </c>
      <c r="F479" s="116">
        <v>2501</v>
      </c>
      <c r="G479" s="116">
        <v>0</v>
      </c>
      <c r="H479" s="117">
        <f t="shared" si="14"/>
        <v>0</v>
      </c>
      <c r="I479" s="118" t="str">
        <f t="shared" si="15"/>
        <v>AR</v>
      </c>
    </row>
    <row r="480" spans="1:9" x14ac:dyDescent="0.3">
      <c r="A480" s="115" t="s">
        <v>214</v>
      </c>
      <c r="B480" s="115" t="s">
        <v>239</v>
      </c>
      <c r="C480" s="115" t="s">
        <v>45</v>
      </c>
      <c r="D480" s="115" t="s">
        <v>127</v>
      </c>
      <c r="E480" s="115" t="s">
        <v>137</v>
      </c>
      <c r="F480" s="116">
        <v>4101</v>
      </c>
      <c r="G480" s="116">
        <v>3</v>
      </c>
      <c r="H480" s="117">
        <f t="shared" si="14"/>
        <v>7.3152889539136799E-4</v>
      </c>
      <c r="I480" s="118" t="str">
        <f t="shared" si="15"/>
        <v>AR</v>
      </c>
    </row>
    <row r="481" spans="1:9" x14ac:dyDescent="0.3">
      <c r="A481" s="115" t="s">
        <v>214</v>
      </c>
      <c r="B481" s="115" t="s">
        <v>240</v>
      </c>
      <c r="C481" s="115" t="s">
        <v>45</v>
      </c>
      <c r="D481" s="115" t="s">
        <v>150</v>
      </c>
      <c r="E481" s="115" t="s">
        <v>151</v>
      </c>
      <c r="F481" s="116">
        <v>1</v>
      </c>
      <c r="G481" s="116">
        <v>0</v>
      </c>
      <c r="H481" s="117">
        <f t="shared" si="14"/>
        <v>0</v>
      </c>
      <c r="I481" s="118" t="str">
        <f t="shared" si="15"/>
        <v>EN</v>
      </c>
    </row>
    <row r="482" spans="1:9" x14ac:dyDescent="0.3">
      <c r="A482" s="115" t="s">
        <v>214</v>
      </c>
      <c r="B482" s="115" t="s">
        <v>240</v>
      </c>
      <c r="C482" s="115" t="s">
        <v>45</v>
      </c>
      <c r="D482" s="115" t="s">
        <v>150</v>
      </c>
      <c r="E482" s="115" t="s">
        <v>151</v>
      </c>
      <c r="F482" s="116">
        <v>5</v>
      </c>
      <c r="G482" s="116">
        <v>0</v>
      </c>
      <c r="H482" s="117">
        <f t="shared" si="14"/>
        <v>0</v>
      </c>
      <c r="I482" s="118" t="str">
        <f t="shared" si="15"/>
        <v>EN</v>
      </c>
    </row>
    <row r="483" spans="1:9" x14ac:dyDescent="0.3">
      <c r="A483" s="115" t="s">
        <v>214</v>
      </c>
      <c r="B483" s="115" t="s">
        <v>240</v>
      </c>
      <c r="C483" s="115" t="s">
        <v>45</v>
      </c>
      <c r="D483" s="115" t="s">
        <v>150</v>
      </c>
      <c r="E483" s="115" t="s">
        <v>151</v>
      </c>
      <c r="F483" s="116">
        <v>16</v>
      </c>
      <c r="G483" s="116">
        <v>0</v>
      </c>
      <c r="H483" s="117">
        <f t="shared" si="14"/>
        <v>0</v>
      </c>
      <c r="I483" s="118" t="str">
        <f t="shared" si="15"/>
        <v>EN</v>
      </c>
    </row>
    <row r="484" spans="1:9" x14ac:dyDescent="0.3">
      <c r="A484" s="115" t="s">
        <v>214</v>
      </c>
      <c r="B484" s="115" t="s">
        <v>240</v>
      </c>
      <c r="C484" s="115" t="s">
        <v>45</v>
      </c>
      <c r="D484" s="115" t="s">
        <v>150</v>
      </c>
      <c r="E484" s="115" t="s">
        <v>151</v>
      </c>
      <c r="F484" s="116">
        <v>28</v>
      </c>
      <c r="G484" s="116">
        <v>0</v>
      </c>
      <c r="H484" s="117">
        <f t="shared" si="14"/>
        <v>0</v>
      </c>
      <c r="I484" s="118" t="str">
        <f t="shared" si="15"/>
        <v>EN</v>
      </c>
    </row>
    <row r="485" spans="1:9" x14ac:dyDescent="0.3">
      <c r="A485" s="115" t="s">
        <v>214</v>
      </c>
      <c r="B485" s="115" t="s">
        <v>240</v>
      </c>
      <c r="C485" s="115" t="s">
        <v>45</v>
      </c>
      <c r="D485" s="115" t="s">
        <v>150</v>
      </c>
      <c r="E485" s="115" t="s">
        <v>151</v>
      </c>
      <c r="F485" s="116">
        <v>33</v>
      </c>
      <c r="G485" s="116">
        <v>0</v>
      </c>
      <c r="H485" s="117">
        <f t="shared" si="14"/>
        <v>0</v>
      </c>
      <c r="I485" s="118" t="str">
        <f t="shared" si="15"/>
        <v>EN</v>
      </c>
    </row>
    <row r="486" spans="1:9" x14ac:dyDescent="0.3">
      <c r="A486" s="115" t="s">
        <v>214</v>
      </c>
      <c r="B486" s="115" t="s">
        <v>240</v>
      </c>
      <c r="C486" s="115" t="s">
        <v>45</v>
      </c>
      <c r="D486" s="115" t="s">
        <v>127</v>
      </c>
      <c r="E486" s="115" t="s">
        <v>137</v>
      </c>
      <c r="F486" s="116">
        <v>8899</v>
      </c>
      <c r="G486" s="116">
        <v>5</v>
      </c>
      <c r="H486" s="117">
        <f t="shared" si="14"/>
        <v>5.6186088324530845E-4</v>
      </c>
      <c r="I486" s="118" t="str">
        <f t="shared" si="15"/>
        <v>EN</v>
      </c>
    </row>
    <row r="487" spans="1:9" x14ac:dyDescent="0.3">
      <c r="A487" s="115" t="s">
        <v>214</v>
      </c>
      <c r="B487" s="115" t="s">
        <v>240</v>
      </c>
      <c r="C487" s="115" t="s">
        <v>45</v>
      </c>
      <c r="D487" s="115" t="s">
        <v>127</v>
      </c>
      <c r="E487" s="115" t="s">
        <v>137</v>
      </c>
      <c r="F487" s="116">
        <v>16547</v>
      </c>
      <c r="G487" s="116">
        <v>4</v>
      </c>
      <c r="H487" s="117">
        <f t="shared" si="14"/>
        <v>2.4173566205354445E-4</v>
      </c>
      <c r="I487" s="118" t="str">
        <f t="shared" si="15"/>
        <v>EN</v>
      </c>
    </row>
    <row r="488" spans="1:9" x14ac:dyDescent="0.3">
      <c r="A488" s="115" t="s">
        <v>214</v>
      </c>
      <c r="B488" s="115" t="s">
        <v>240</v>
      </c>
      <c r="C488" s="115" t="s">
        <v>45</v>
      </c>
      <c r="D488" s="115" t="s">
        <v>127</v>
      </c>
      <c r="E488" s="115" t="s">
        <v>137</v>
      </c>
      <c r="F488" s="116">
        <v>18169</v>
      </c>
      <c r="G488" s="116">
        <v>7</v>
      </c>
      <c r="H488" s="117">
        <f t="shared" si="14"/>
        <v>3.8527161648962521E-4</v>
      </c>
      <c r="I488" s="118" t="str">
        <f t="shared" si="15"/>
        <v>EN</v>
      </c>
    </row>
    <row r="489" spans="1:9" x14ac:dyDescent="0.3">
      <c r="A489" s="115" t="s">
        <v>214</v>
      </c>
      <c r="B489" s="115" t="s">
        <v>240</v>
      </c>
      <c r="C489" s="115" t="s">
        <v>45</v>
      </c>
      <c r="D489" s="115" t="s">
        <v>127</v>
      </c>
      <c r="E489" s="115" t="s">
        <v>137</v>
      </c>
      <c r="F489" s="116">
        <v>17844</v>
      </c>
      <c r="G489" s="116">
        <v>5</v>
      </c>
      <c r="H489" s="117">
        <f t="shared" si="14"/>
        <v>2.8020623178659493E-4</v>
      </c>
      <c r="I489" s="118" t="str">
        <f t="shared" si="15"/>
        <v>EN</v>
      </c>
    </row>
    <row r="490" spans="1:9" x14ac:dyDescent="0.3">
      <c r="A490" s="115" t="s">
        <v>214</v>
      </c>
      <c r="B490" s="115" t="s">
        <v>240</v>
      </c>
      <c r="C490" s="115" t="s">
        <v>45</v>
      </c>
      <c r="D490" s="115" t="s">
        <v>127</v>
      </c>
      <c r="E490" s="115" t="s">
        <v>137</v>
      </c>
      <c r="F490" s="116">
        <v>13410</v>
      </c>
      <c r="G490" s="116">
        <v>7</v>
      </c>
      <c r="H490" s="117">
        <f t="shared" si="14"/>
        <v>5.2199850857568978E-4</v>
      </c>
      <c r="I490" s="118" t="str">
        <f t="shared" si="15"/>
        <v>EN</v>
      </c>
    </row>
    <row r="491" spans="1:9" x14ac:dyDescent="0.3">
      <c r="A491" s="115" t="s">
        <v>214</v>
      </c>
      <c r="B491" s="115" t="s">
        <v>241</v>
      </c>
      <c r="C491" s="115" t="s">
        <v>45</v>
      </c>
      <c r="D491" s="115" t="s">
        <v>150</v>
      </c>
      <c r="E491" s="115" t="s">
        <v>151</v>
      </c>
      <c r="F491" s="116">
        <v>2</v>
      </c>
      <c r="G491" s="116">
        <v>0</v>
      </c>
      <c r="H491" s="117">
        <f t="shared" si="14"/>
        <v>0</v>
      </c>
      <c r="I491" s="118" t="str">
        <f t="shared" si="15"/>
        <v>AR</v>
      </c>
    </row>
    <row r="492" spans="1:9" x14ac:dyDescent="0.3">
      <c r="A492" s="115" t="s">
        <v>214</v>
      </c>
      <c r="B492" s="115" t="s">
        <v>241</v>
      </c>
      <c r="C492" s="115" t="s">
        <v>45</v>
      </c>
      <c r="D492" s="115" t="s">
        <v>150</v>
      </c>
      <c r="E492" s="115" t="s">
        <v>151</v>
      </c>
      <c r="F492" s="116">
        <v>2</v>
      </c>
      <c r="G492" s="116">
        <v>0</v>
      </c>
      <c r="H492" s="117">
        <f t="shared" si="14"/>
        <v>0</v>
      </c>
      <c r="I492" s="118" t="str">
        <f t="shared" si="15"/>
        <v>AR</v>
      </c>
    </row>
    <row r="493" spans="1:9" x14ac:dyDescent="0.3">
      <c r="A493" s="115" t="s">
        <v>214</v>
      </c>
      <c r="B493" s="115" t="s">
        <v>241</v>
      </c>
      <c r="C493" s="115" t="s">
        <v>45</v>
      </c>
      <c r="D493" s="115" t="s">
        <v>150</v>
      </c>
      <c r="E493" s="115" t="s">
        <v>151</v>
      </c>
      <c r="F493" s="116">
        <v>5</v>
      </c>
      <c r="G493" s="116">
        <v>0</v>
      </c>
      <c r="H493" s="117">
        <f t="shared" si="14"/>
        <v>0</v>
      </c>
      <c r="I493" s="118" t="str">
        <f t="shared" si="15"/>
        <v>AR</v>
      </c>
    </row>
    <row r="494" spans="1:9" x14ac:dyDescent="0.3">
      <c r="A494" s="115" t="s">
        <v>214</v>
      </c>
      <c r="B494" s="115" t="s">
        <v>241</v>
      </c>
      <c r="C494" s="115" t="s">
        <v>45</v>
      </c>
      <c r="D494" s="115" t="s">
        <v>127</v>
      </c>
      <c r="E494" s="115" t="s">
        <v>137</v>
      </c>
      <c r="F494" s="116">
        <v>1009</v>
      </c>
      <c r="G494" s="116">
        <v>2</v>
      </c>
      <c r="H494" s="117">
        <f t="shared" si="14"/>
        <v>1.9821605550049554E-3</v>
      </c>
      <c r="I494" s="118" t="str">
        <f t="shared" si="15"/>
        <v>AR</v>
      </c>
    </row>
    <row r="495" spans="1:9" x14ac:dyDescent="0.3">
      <c r="A495" s="115" t="s">
        <v>214</v>
      </c>
      <c r="B495" s="115" t="s">
        <v>241</v>
      </c>
      <c r="C495" s="115" t="s">
        <v>45</v>
      </c>
      <c r="D495" s="115" t="s">
        <v>127</v>
      </c>
      <c r="E495" s="115" t="s">
        <v>137</v>
      </c>
      <c r="F495" s="116">
        <v>11274</v>
      </c>
      <c r="G495" s="116">
        <v>7</v>
      </c>
      <c r="H495" s="117">
        <f t="shared" si="14"/>
        <v>6.208976405889658E-4</v>
      </c>
      <c r="I495" s="118" t="str">
        <f t="shared" si="15"/>
        <v>AR</v>
      </c>
    </row>
    <row r="496" spans="1:9" x14ac:dyDescent="0.3">
      <c r="A496" s="115" t="s">
        <v>214</v>
      </c>
      <c r="B496" s="115" t="s">
        <v>241</v>
      </c>
      <c r="C496" s="115" t="s">
        <v>45</v>
      </c>
      <c r="D496" s="115" t="s">
        <v>127</v>
      </c>
      <c r="E496" s="115" t="s">
        <v>137</v>
      </c>
      <c r="F496" s="116">
        <v>5663</v>
      </c>
      <c r="G496" s="116">
        <v>9</v>
      </c>
      <c r="H496" s="117">
        <f t="shared" si="14"/>
        <v>1.5892636411795867E-3</v>
      </c>
      <c r="I496" s="118" t="str">
        <f t="shared" si="15"/>
        <v>AR</v>
      </c>
    </row>
    <row r="497" spans="1:9" x14ac:dyDescent="0.3">
      <c r="A497" s="115" t="s">
        <v>214</v>
      </c>
      <c r="B497" s="115" t="s">
        <v>241</v>
      </c>
      <c r="C497" s="115" t="s">
        <v>45</v>
      </c>
      <c r="D497" s="115" t="s">
        <v>127</v>
      </c>
      <c r="E497" s="115" t="s">
        <v>137</v>
      </c>
      <c r="F497" s="116">
        <v>9831</v>
      </c>
      <c r="G497" s="116">
        <v>4</v>
      </c>
      <c r="H497" s="117">
        <f t="shared" si="14"/>
        <v>4.0687620791374224E-4</v>
      </c>
      <c r="I497" s="118" t="str">
        <f t="shared" si="15"/>
        <v>AR</v>
      </c>
    </row>
    <row r="498" spans="1:9" x14ac:dyDescent="0.3">
      <c r="A498" s="115" t="s">
        <v>214</v>
      </c>
      <c r="B498" s="115" t="s">
        <v>241</v>
      </c>
      <c r="C498" s="115" t="s">
        <v>45</v>
      </c>
      <c r="D498" s="115" t="s">
        <v>127</v>
      </c>
      <c r="E498" s="115" t="s">
        <v>137</v>
      </c>
      <c r="F498" s="116">
        <v>7944</v>
      </c>
      <c r="G498" s="116">
        <v>11</v>
      </c>
      <c r="H498" s="117">
        <f t="shared" si="14"/>
        <v>1.3846928499496476E-3</v>
      </c>
      <c r="I498" s="118" t="str">
        <f t="shared" si="15"/>
        <v>AR</v>
      </c>
    </row>
    <row r="499" spans="1:9" x14ac:dyDescent="0.3">
      <c r="A499" s="115" t="s">
        <v>214</v>
      </c>
      <c r="B499" s="115" t="s">
        <v>242</v>
      </c>
      <c r="C499" s="115" t="s">
        <v>45</v>
      </c>
      <c r="D499" s="115" t="s">
        <v>150</v>
      </c>
      <c r="E499" s="115" t="s">
        <v>151</v>
      </c>
      <c r="F499" s="116">
        <v>5</v>
      </c>
      <c r="G499" s="116">
        <v>0</v>
      </c>
      <c r="H499" s="117">
        <f t="shared" si="14"/>
        <v>0</v>
      </c>
      <c r="I499" s="118" t="str">
        <f t="shared" si="15"/>
        <v>EN</v>
      </c>
    </row>
    <row r="500" spans="1:9" x14ac:dyDescent="0.3">
      <c r="A500" s="115" t="s">
        <v>214</v>
      </c>
      <c r="B500" s="115" t="s">
        <v>242</v>
      </c>
      <c r="C500" s="115" t="s">
        <v>45</v>
      </c>
      <c r="D500" s="115" t="s">
        <v>150</v>
      </c>
      <c r="E500" s="115" t="s">
        <v>151</v>
      </c>
      <c r="F500" s="116">
        <v>5</v>
      </c>
      <c r="G500" s="116">
        <v>0</v>
      </c>
      <c r="H500" s="117">
        <f t="shared" si="14"/>
        <v>0</v>
      </c>
      <c r="I500" s="118" t="str">
        <f t="shared" si="15"/>
        <v>EN</v>
      </c>
    </row>
    <row r="501" spans="1:9" x14ac:dyDescent="0.3">
      <c r="A501" s="115" t="s">
        <v>214</v>
      </c>
      <c r="B501" s="115" t="s">
        <v>242</v>
      </c>
      <c r="C501" s="115" t="s">
        <v>45</v>
      </c>
      <c r="D501" s="115" t="s">
        <v>150</v>
      </c>
      <c r="E501" s="115" t="s">
        <v>151</v>
      </c>
      <c r="F501" s="116">
        <v>3</v>
      </c>
      <c r="G501" s="116">
        <v>0</v>
      </c>
      <c r="H501" s="117">
        <f t="shared" si="14"/>
        <v>0</v>
      </c>
      <c r="I501" s="118" t="str">
        <f t="shared" si="15"/>
        <v>EN</v>
      </c>
    </row>
    <row r="502" spans="1:9" x14ac:dyDescent="0.3">
      <c r="A502" s="115" t="s">
        <v>214</v>
      </c>
      <c r="B502" s="115" t="s">
        <v>242</v>
      </c>
      <c r="C502" s="115" t="s">
        <v>45</v>
      </c>
      <c r="D502" s="115" t="s">
        <v>150</v>
      </c>
      <c r="E502" s="115" t="s">
        <v>151</v>
      </c>
      <c r="F502" s="116">
        <v>2</v>
      </c>
      <c r="G502" s="116">
        <v>0</v>
      </c>
      <c r="H502" s="117">
        <f t="shared" si="14"/>
        <v>0</v>
      </c>
      <c r="I502" s="118" t="str">
        <f t="shared" si="15"/>
        <v>EN</v>
      </c>
    </row>
    <row r="503" spans="1:9" x14ac:dyDescent="0.3">
      <c r="A503" s="115" t="s">
        <v>214</v>
      </c>
      <c r="B503" s="115" t="s">
        <v>242</v>
      </c>
      <c r="C503" s="115" t="s">
        <v>45</v>
      </c>
      <c r="D503" s="115" t="s">
        <v>150</v>
      </c>
      <c r="E503" s="115" t="s">
        <v>151</v>
      </c>
      <c r="F503" s="116">
        <v>1</v>
      </c>
      <c r="G503" s="116">
        <v>0</v>
      </c>
      <c r="H503" s="117">
        <f t="shared" si="14"/>
        <v>0</v>
      </c>
      <c r="I503" s="118" t="str">
        <f t="shared" si="15"/>
        <v>EN</v>
      </c>
    </row>
    <row r="504" spans="1:9" x14ac:dyDescent="0.3">
      <c r="A504" s="115" t="s">
        <v>214</v>
      </c>
      <c r="B504" s="115" t="s">
        <v>242</v>
      </c>
      <c r="C504" s="115" t="s">
        <v>45</v>
      </c>
      <c r="D504" s="115" t="s">
        <v>127</v>
      </c>
      <c r="E504" s="115" t="s">
        <v>137</v>
      </c>
      <c r="F504" s="116">
        <v>13887</v>
      </c>
      <c r="G504" s="116">
        <v>4</v>
      </c>
      <c r="H504" s="117">
        <f t="shared" si="14"/>
        <v>2.8803917332757253E-4</v>
      </c>
      <c r="I504" s="118" t="str">
        <f t="shared" si="15"/>
        <v>EN</v>
      </c>
    </row>
    <row r="505" spans="1:9" x14ac:dyDescent="0.3">
      <c r="A505" s="115" t="s">
        <v>214</v>
      </c>
      <c r="B505" s="115" t="s">
        <v>242</v>
      </c>
      <c r="C505" s="115" t="s">
        <v>45</v>
      </c>
      <c r="D505" s="115" t="s">
        <v>127</v>
      </c>
      <c r="E505" s="115" t="s">
        <v>137</v>
      </c>
      <c r="F505" s="116">
        <v>25788</v>
      </c>
      <c r="G505" s="116">
        <v>21</v>
      </c>
      <c r="H505" s="117">
        <f t="shared" si="14"/>
        <v>8.1433224755700329E-4</v>
      </c>
      <c r="I505" s="118" t="str">
        <f t="shared" si="15"/>
        <v>EN</v>
      </c>
    </row>
    <row r="506" spans="1:9" x14ac:dyDescent="0.3">
      <c r="A506" s="115" t="s">
        <v>214</v>
      </c>
      <c r="B506" s="115" t="s">
        <v>242</v>
      </c>
      <c r="C506" s="115" t="s">
        <v>45</v>
      </c>
      <c r="D506" s="115" t="s">
        <v>127</v>
      </c>
      <c r="E506" s="115" t="s">
        <v>137</v>
      </c>
      <c r="F506" s="116">
        <v>30154</v>
      </c>
      <c r="G506" s="116">
        <v>14</v>
      </c>
      <c r="H506" s="117">
        <f t="shared" si="14"/>
        <v>4.6428334549313525E-4</v>
      </c>
      <c r="I506" s="118" t="str">
        <f t="shared" si="15"/>
        <v>EN</v>
      </c>
    </row>
    <row r="507" spans="1:9" x14ac:dyDescent="0.3">
      <c r="A507" s="115" t="s">
        <v>214</v>
      </c>
      <c r="B507" s="115" t="s">
        <v>242</v>
      </c>
      <c r="C507" s="115" t="s">
        <v>45</v>
      </c>
      <c r="D507" s="115" t="s">
        <v>127</v>
      </c>
      <c r="E507" s="115" t="s">
        <v>137</v>
      </c>
      <c r="F507" s="116">
        <v>17281</v>
      </c>
      <c r="G507" s="116">
        <v>6</v>
      </c>
      <c r="H507" s="117">
        <f t="shared" si="14"/>
        <v>3.4720212950639428E-4</v>
      </c>
      <c r="I507" s="118" t="str">
        <f t="shared" si="15"/>
        <v>EN</v>
      </c>
    </row>
    <row r="508" spans="1:9" x14ac:dyDescent="0.3">
      <c r="A508" s="115" t="s">
        <v>214</v>
      </c>
      <c r="B508" s="115" t="s">
        <v>242</v>
      </c>
      <c r="C508" s="115" t="s">
        <v>45</v>
      </c>
      <c r="D508" s="115" t="s">
        <v>127</v>
      </c>
      <c r="E508" s="115" t="s">
        <v>137</v>
      </c>
      <c r="F508" s="116">
        <v>10169</v>
      </c>
      <c r="G508" s="116">
        <v>4</v>
      </c>
      <c r="H508" s="117">
        <f t="shared" si="14"/>
        <v>3.9335234536335925E-4</v>
      </c>
      <c r="I508" s="118" t="str">
        <f t="shared" si="15"/>
        <v>EN</v>
      </c>
    </row>
    <row r="509" spans="1:9" x14ac:dyDescent="0.3">
      <c r="A509" s="115" t="s">
        <v>243</v>
      </c>
      <c r="B509" s="115" t="s">
        <v>244</v>
      </c>
      <c r="C509" s="115" t="s">
        <v>44</v>
      </c>
      <c r="D509" s="115" t="s">
        <v>150</v>
      </c>
      <c r="E509" s="115" t="s">
        <v>151</v>
      </c>
      <c r="F509" s="116">
        <v>39</v>
      </c>
      <c r="G509" s="116">
        <v>0</v>
      </c>
      <c r="H509" s="117">
        <f t="shared" si="14"/>
        <v>0</v>
      </c>
      <c r="I509" s="118" t="str">
        <f t="shared" si="15"/>
        <v>AR</v>
      </c>
    </row>
    <row r="510" spans="1:9" x14ac:dyDescent="0.3">
      <c r="A510" s="115" t="s">
        <v>243</v>
      </c>
      <c r="B510" s="115" t="s">
        <v>244</v>
      </c>
      <c r="C510" s="115" t="s">
        <v>44</v>
      </c>
      <c r="D510" s="115" t="s">
        <v>150</v>
      </c>
      <c r="E510" s="115" t="s">
        <v>151</v>
      </c>
      <c r="F510" s="116">
        <v>83</v>
      </c>
      <c r="G510" s="116">
        <v>0</v>
      </c>
      <c r="H510" s="117">
        <f t="shared" si="14"/>
        <v>0</v>
      </c>
      <c r="I510" s="118" t="str">
        <f t="shared" si="15"/>
        <v>AR</v>
      </c>
    </row>
    <row r="511" spans="1:9" x14ac:dyDescent="0.3">
      <c r="A511" s="115" t="s">
        <v>243</v>
      </c>
      <c r="B511" s="115" t="s">
        <v>244</v>
      </c>
      <c r="C511" s="115" t="s">
        <v>44</v>
      </c>
      <c r="D511" s="115" t="s">
        <v>150</v>
      </c>
      <c r="E511" s="115" t="s">
        <v>151</v>
      </c>
      <c r="F511" s="116">
        <v>56</v>
      </c>
      <c r="G511" s="116">
        <v>0</v>
      </c>
      <c r="H511" s="117">
        <f t="shared" si="14"/>
        <v>0</v>
      </c>
      <c r="I511" s="118" t="str">
        <f t="shared" si="15"/>
        <v>AR</v>
      </c>
    </row>
    <row r="512" spans="1:9" x14ac:dyDescent="0.3">
      <c r="A512" s="115" t="s">
        <v>243</v>
      </c>
      <c r="B512" s="115" t="s">
        <v>244</v>
      </c>
      <c r="C512" s="115" t="s">
        <v>44</v>
      </c>
      <c r="D512" s="115" t="s">
        <v>150</v>
      </c>
      <c r="E512" s="115" t="s">
        <v>151</v>
      </c>
      <c r="F512" s="116">
        <v>49</v>
      </c>
      <c r="G512" s="116">
        <v>0</v>
      </c>
      <c r="H512" s="117">
        <f t="shared" si="14"/>
        <v>0</v>
      </c>
      <c r="I512" s="118" t="str">
        <f t="shared" si="15"/>
        <v>AR</v>
      </c>
    </row>
    <row r="513" spans="1:9" x14ac:dyDescent="0.3">
      <c r="A513" s="115" t="s">
        <v>243</v>
      </c>
      <c r="B513" s="115" t="s">
        <v>244</v>
      </c>
      <c r="C513" s="115" t="s">
        <v>44</v>
      </c>
      <c r="D513" s="115" t="s">
        <v>150</v>
      </c>
      <c r="E513" s="115" t="s">
        <v>151</v>
      </c>
      <c r="F513" s="116">
        <v>59</v>
      </c>
      <c r="G513" s="116">
        <v>0</v>
      </c>
      <c r="H513" s="117">
        <f t="shared" si="14"/>
        <v>0</v>
      </c>
      <c r="I513" s="118" t="str">
        <f t="shared" si="15"/>
        <v>AR</v>
      </c>
    </row>
    <row r="514" spans="1:9" x14ac:dyDescent="0.3">
      <c r="A514" s="115" t="s">
        <v>243</v>
      </c>
      <c r="B514" s="115" t="s">
        <v>244</v>
      </c>
      <c r="C514" s="115" t="s">
        <v>44</v>
      </c>
      <c r="D514" s="115" t="s">
        <v>127</v>
      </c>
      <c r="E514" s="115" t="s">
        <v>137</v>
      </c>
      <c r="F514" s="116">
        <v>31711</v>
      </c>
      <c r="G514" s="116">
        <v>57</v>
      </c>
      <c r="H514" s="117">
        <f t="shared" si="14"/>
        <v>1.7974835230677051E-3</v>
      </c>
      <c r="I514" s="118" t="str">
        <f t="shared" si="15"/>
        <v>AR</v>
      </c>
    </row>
    <row r="515" spans="1:9" x14ac:dyDescent="0.3">
      <c r="A515" s="115" t="s">
        <v>243</v>
      </c>
      <c r="B515" s="115" t="s">
        <v>244</v>
      </c>
      <c r="C515" s="115" t="s">
        <v>44</v>
      </c>
      <c r="D515" s="115" t="s">
        <v>127</v>
      </c>
      <c r="E515" s="115" t="s">
        <v>137</v>
      </c>
      <c r="F515" s="116">
        <v>50437</v>
      </c>
      <c r="G515" s="116">
        <v>111</v>
      </c>
      <c r="H515" s="117">
        <f t="shared" ref="H515:H578" si="16">G515/F515</f>
        <v>2.2007653111802842E-3</v>
      </c>
      <c r="I515" s="118" t="str">
        <f t="shared" ref="I515:I578" si="17">RIGHT(B515,2)</f>
        <v>AR</v>
      </c>
    </row>
    <row r="516" spans="1:9" x14ac:dyDescent="0.3">
      <c r="A516" s="115" t="s">
        <v>243</v>
      </c>
      <c r="B516" s="115" t="s">
        <v>244</v>
      </c>
      <c r="C516" s="115" t="s">
        <v>44</v>
      </c>
      <c r="D516" s="115" t="s">
        <v>127</v>
      </c>
      <c r="E516" s="115" t="s">
        <v>137</v>
      </c>
      <c r="F516" s="116">
        <v>49426</v>
      </c>
      <c r="G516" s="116">
        <v>98</v>
      </c>
      <c r="H516" s="117">
        <f t="shared" si="16"/>
        <v>1.9827621090114517E-3</v>
      </c>
      <c r="I516" s="118" t="str">
        <f t="shared" si="17"/>
        <v>AR</v>
      </c>
    </row>
    <row r="517" spans="1:9" x14ac:dyDescent="0.3">
      <c r="A517" s="115" t="s">
        <v>243</v>
      </c>
      <c r="B517" s="115" t="s">
        <v>244</v>
      </c>
      <c r="C517" s="115" t="s">
        <v>44</v>
      </c>
      <c r="D517" s="115" t="s">
        <v>127</v>
      </c>
      <c r="E517" s="115" t="s">
        <v>137</v>
      </c>
      <c r="F517" s="116">
        <v>46135</v>
      </c>
      <c r="G517" s="116">
        <v>75</v>
      </c>
      <c r="H517" s="117">
        <f t="shared" si="16"/>
        <v>1.6256638127235287E-3</v>
      </c>
      <c r="I517" s="118" t="str">
        <f t="shared" si="17"/>
        <v>AR</v>
      </c>
    </row>
    <row r="518" spans="1:9" x14ac:dyDescent="0.3">
      <c r="A518" s="115" t="s">
        <v>243</v>
      </c>
      <c r="B518" s="115" t="s">
        <v>244</v>
      </c>
      <c r="C518" s="115" t="s">
        <v>44</v>
      </c>
      <c r="D518" s="115" t="s">
        <v>127</v>
      </c>
      <c r="E518" s="115" t="s">
        <v>137</v>
      </c>
      <c r="F518" s="116">
        <v>36562</v>
      </c>
      <c r="G518" s="116">
        <v>77</v>
      </c>
      <c r="H518" s="117">
        <f t="shared" si="16"/>
        <v>2.1060117061429901E-3</v>
      </c>
      <c r="I518" s="118" t="str">
        <f t="shared" si="17"/>
        <v>AR</v>
      </c>
    </row>
    <row r="519" spans="1:9" x14ac:dyDescent="0.3">
      <c r="A519" s="115" t="s">
        <v>243</v>
      </c>
      <c r="B519" s="115" t="s">
        <v>245</v>
      </c>
      <c r="C519" s="115" t="s">
        <v>45</v>
      </c>
      <c r="D519" s="115" t="s">
        <v>150</v>
      </c>
      <c r="E519" s="115" t="s">
        <v>151</v>
      </c>
      <c r="F519" s="116">
        <v>29</v>
      </c>
      <c r="G519" s="116">
        <v>0</v>
      </c>
      <c r="H519" s="117">
        <f t="shared" si="16"/>
        <v>0</v>
      </c>
      <c r="I519" s="118" t="str">
        <f t="shared" si="17"/>
        <v>AR</v>
      </c>
    </row>
    <row r="520" spans="1:9" x14ac:dyDescent="0.3">
      <c r="A520" s="115" t="s">
        <v>243</v>
      </c>
      <c r="B520" s="115" t="s">
        <v>245</v>
      </c>
      <c r="C520" s="115" t="s">
        <v>45</v>
      </c>
      <c r="D520" s="115" t="s">
        <v>150</v>
      </c>
      <c r="E520" s="115" t="s">
        <v>151</v>
      </c>
      <c r="F520" s="116">
        <v>57</v>
      </c>
      <c r="G520" s="116">
        <v>0</v>
      </c>
      <c r="H520" s="117">
        <f t="shared" si="16"/>
        <v>0</v>
      </c>
      <c r="I520" s="118" t="str">
        <f t="shared" si="17"/>
        <v>AR</v>
      </c>
    </row>
    <row r="521" spans="1:9" x14ac:dyDescent="0.3">
      <c r="A521" s="115" t="s">
        <v>243</v>
      </c>
      <c r="B521" s="115" t="s">
        <v>245</v>
      </c>
      <c r="C521" s="115" t="s">
        <v>45</v>
      </c>
      <c r="D521" s="115" t="s">
        <v>150</v>
      </c>
      <c r="E521" s="115" t="s">
        <v>151</v>
      </c>
      <c r="F521" s="116">
        <v>61</v>
      </c>
      <c r="G521" s="116">
        <v>0</v>
      </c>
      <c r="H521" s="117">
        <f t="shared" si="16"/>
        <v>0</v>
      </c>
      <c r="I521" s="118" t="str">
        <f t="shared" si="17"/>
        <v>AR</v>
      </c>
    </row>
    <row r="522" spans="1:9" x14ac:dyDescent="0.3">
      <c r="A522" s="115" t="s">
        <v>243</v>
      </c>
      <c r="B522" s="115" t="s">
        <v>245</v>
      </c>
      <c r="C522" s="115" t="s">
        <v>45</v>
      </c>
      <c r="D522" s="115" t="s">
        <v>150</v>
      </c>
      <c r="E522" s="115" t="s">
        <v>151</v>
      </c>
      <c r="F522" s="116">
        <v>53</v>
      </c>
      <c r="G522" s="116">
        <v>0</v>
      </c>
      <c r="H522" s="117">
        <f t="shared" si="16"/>
        <v>0</v>
      </c>
      <c r="I522" s="118" t="str">
        <f t="shared" si="17"/>
        <v>AR</v>
      </c>
    </row>
    <row r="523" spans="1:9" x14ac:dyDescent="0.3">
      <c r="A523" s="115" t="s">
        <v>243</v>
      </c>
      <c r="B523" s="115" t="s">
        <v>245</v>
      </c>
      <c r="C523" s="115" t="s">
        <v>45</v>
      </c>
      <c r="D523" s="115" t="s">
        <v>150</v>
      </c>
      <c r="E523" s="115" t="s">
        <v>151</v>
      </c>
      <c r="F523" s="116">
        <v>45</v>
      </c>
      <c r="G523" s="116">
        <v>0</v>
      </c>
      <c r="H523" s="117">
        <f t="shared" si="16"/>
        <v>0</v>
      </c>
      <c r="I523" s="118" t="str">
        <f t="shared" si="17"/>
        <v>AR</v>
      </c>
    </row>
    <row r="524" spans="1:9" x14ac:dyDescent="0.3">
      <c r="A524" s="115" t="s">
        <v>243</v>
      </c>
      <c r="B524" s="115" t="s">
        <v>245</v>
      </c>
      <c r="C524" s="115" t="s">
        <v>45</v>
      </c>
      <c r="D524" s="115" t="s">
        <v>127</v>
      </c>
      <c r="E524" s="115" t="s">
        <v>134</v>
      </c>
      <c r="F524" s="116">
        <v>32861</v>
      </c>
      <c r="G524" s="116">
        <v>14</v>
      </c>
      <c r="H524" s="117">
        <f t="shared" si="16"/>
        <v>4.2603694348924254E-4</v>
      </c>
      <c r="I524" s="118" t="str">
        <f t="shared" si="17"/>
        <v>AR</v>
      </c>
    </row>
    <row r="525" spans="1:9" x14ac:dyDescent="0.3">
      <c r="A525" s="115" t="s">
        <v>243</v>
      </c>
      <c r="B525" s="115" t="s">
        <v>245</v>
      </c>
      <c r="C525" s="115" t="s">
        <v>45</v>
      </c>
      <c r="D525" s="115" t="s">
        <v>127</v>
      </c>
      <c r="E525" s="115" t="s">
        <v>134</v>
      </c>
      <c r="F525" s="116">
        <v>47757</v>
      </c>
      <c r="G525" s="116">
        <v>30</v>
      </c>
      <c r="H525" s="117">
        <f t="shared" si="16"/>
        <v>6.2818016207048181E-4</v>
      </c>
      <c r="I525" s="118" t="str">
        <f t="shared" si="17"/>
        <v>AR</v>
      </c>
    </row>
    <row r="526" spans="1:9" x14ac:dyDescent="0.3">
      <c r="A526" s="115" t="s">
        <v>243</v>
      </c>
      <c r="B526" s="115" t="s">
        <v>245</v>
      </c>
      <c r="C526" s="115" t="s">
        <v>45</v>
      </c>
      <c r="D526" s="115" t="s">
        <v>127</v>
      </c>
      <c r="E526" s="115" t="s">
        <v>134</v>
      </c>
      <c r="F526" s="116">
        <v>50438</v>
      </c>
      <c r="G526" s="116">
        <v>32</v>
      </c>
      <c r="H526" s="117">
        <f t="shared" si="16"/>
        <v>6.344422855783338E-4</v>
      </c>
      <c r="I526" s="118" t="str">
        <f t="shared" si="17"/>
        <v>AR</v>
      </c>
    </row>
    <row r="527" spans="1:9" x14ac:dyDescent="0.3">
      <c r="A527" s="115" t="s">
        <v>243</v>
      </c>
      <c r="B527" s="115" t="s">
        <v>245</v>
      </c>
      <c r="C527" s="115" t="s">
        <v>45</v>
      </c>
      <c r="D527" s="115" t="s">
        <v>127</v>
      </c>
      <c r="E527" s="115" t="s">
        <v>134</v>
      </c>
      <c r="F527" s="116">
        <v>45634</v>
      </c>
      <c r="G527" s="116">
        <v>34</v>
      </c>
      <c r="H527" s="117">
        <f t="shared" si="16"/>
        <v>7.4505850900644251E-4</v>
      </c>
      <c r="I527" s="118" t="str">
        <f t="shared" si="17"/>
        <v>AR</v>
      </c>
    </row>
    <row r="528" spans="1:9" x14ac:dyDescent="0.3">
      <c r="A528" s="115" t="s">
        <v>243</v>
      </c>
      <c r="B528" s="115" t="s">
        <v>245</v>
      </c>
      <c r="C528" s="115" t="s">
        <v>45</v>
      </c>
      <c r="D528" s="115" t="s">
        <v>127</v>
      </c>
      <c r="E528" s="115" t="s">
        <v>134</v>
      </c>
      <c r="F528" s="116">
        <v>36415</v>
      </c>
      <c r="G528" s="116">
        <v>19</v>
      </c>
      <c r="H528" s="117">
        <f t="shared" si="16"/>
        <v>5.2176300974872988E-4</v>
      </c>
      <c r="I528" s="118" t="str">
        <f t="shared" si="17"/>
        <v>AR</v>
      </c>
    </row>
    <row r="529" spans="1:9" x14ac:dyDescent="0.3">
      <c r="A529" s="115" t="s">
        <v>246</v>
      </c>
      <c r="B529" s="115" t="s">
        <v>247</v>
      </c>
      <c r="C529" s="115" t="s">
        <v>44</v>
      </c>
      <c r="D529" s="115" t="s">
        <v>150</v>
      </c>
      <c r="E529" s="115" t="s">
        <v>151</v>
      </c>
      <c r="F529" s="116">
        <v>8</v>
      </c>
      <c r="G529" s="116">
        <v>0</v>
      </c>
      <c r="H529" s="117">
        <f t="shared" si="16"/>
        <v>0</v>
      </c>
      <c r="I529" s="118" t="str">
        <f t="shared" si="17"/>
        <v>EN</v>
      </c>
    </row>
    <row r="530" spans="1:9" x14ac:dyDescent="0.3">
      <c r="A530" s="115" t="s">
        <v>246</v>
      </c>
      <c r="B530" s="115" t="s">
        <v>247</v>
      </c>
      <c r="C530" s="115" t="s">
        <v>44</v>
      </c>
      <c r="D530" s="115" t="s">
        <v>150</v>
      </c>
      <c r="E530" s="115" t="s">
        <v>151</v>
      </c>
      <c r="F530" s="116">
        <v>19</v>
      </c>
      <c r="G530" s="116">
        <v>0</v>
      </c>
      <c r="H530" s="117">
        <f t="shared" si="16"/>
        <v>0</v>
      </c>
      <c r="I530" s="118" t="str">
        <f t="shared" si="17"/>
        <v>EN</v>
      </c>
    </row>
    <row r="531" spans="1:9" x14ac:dyDescent="0.3">
      <c r="A531" s="115" t="s">
        <v>246</v>
      </c>
      <c r="B531" s="115" t="s">
        <v>247</v>
      </c>
      <c r="C531" s="115" t="s">
        <v>44</v>
      </c>
      <c r="D531" s="115" t="s">
        <v>150</v>
      </c>
      <c r="E531" s="115" t="s">
        <v>151</v>
      </c>
      <c r="F531" s="116">
        <v>16</v>
      </c>
      <c r="G531" s="116">
        <v>0</v>
      </c>
      <c r="H531" s="117">
        <f t="shared" si="16"/>
        <v>0</v>
      </c>
      <c r="I531" s="118" t="str">
        <f t="shared" si="17"/>
        <v>EN</v>
      </c>
    </row>
    <row r="532" spans="1:9" x14ac:dyDescent="0.3">
      <c r="A532" s="115" t="s">
        <v>246</v>
      </c>
      <c r="B532" s="115" t="s">
        <v>247</v>
      </c>
      <c r="C532" s="115" t="s">
        <v>44</v>
      </c>
      <c r="D532" s="115" t="s">
        <v>150</v>
      </c>
      <c r="E532" s="115" t="s">
        <v>151</v>
      </c>
      <c r="F532" s="116">
        <v>11</v>
      </c>
      <c r="G532" s="116">
        <v>0</v>
      </c>
      <c r="H532" s="117">
        <f t="shared" si="16"/>
        <v>0</v>
      </c>
      <c r="I532" s="118" t="str">
        <f t="shared" si="17"/>
        <v>EN</v>
      </c>
    </row>
    <row r="533" spans="1:9" x14ac:dyDescent="0.3">
      <c r="A533" s="115" t="s">
        <v>246</v>
      </c>
      <c r="B533" s="115" t="s">
        <v>247</v>
      </c>
      <c r="C533" s="115" t="s">
        <v>44</v>
      </c>
      <c r="D533" s="115" t="s">
        <v>150</v>
      </c>
      <c r="E533" s="115" t="s">
        <v>151</v>
      </c>
      <c r="F533" s="116">
        <v>7</v>
      </c>
      <c r="G533" s="116">
        <v>0</v>
      </c>
      <c r="H533" s="117">
        <f t="shared" si="16"/>
        <v>0</v>
      </c>
      <c r="I533" s="118" t="str">
        <f t="shared" si="17"/>
        <v>EN</v>
      </c>
    </row>
    <row r="534" spans="1:9" x14ac:dyDescent="0.3">
      <c r="A534" s="115" t="s">
        <v>246</v>
      </c>
      <c r="B534" s="115" t="s">
        <v>247</v>
      </c>
      <c r="C534" s="115" t="s">
        <v>44</v>
      </c>
      <c r="D534" s="115" t="s">
        <v>127</v>
      </c>
      <c r="E534" s="115" t="s">
        <v>137</v>
      </c>
      <c r="F534" s="116">
        <v>127</v>
      </c>
      <c r="G534" s="116">
        <v>1</v>
      </c>
      <c r="H534" s="117">
        <f t="shared" si="16"/>
        <v>7.874015748031496E-3</v>
      </c>
      <c r="I534" s="118" t="str">
        <f t="shared" si="17"/>
        <v>EN</v>
      </c>
    </row>
    <row r="535" spans="1:9" x14ac:dyDescent="0.3">
      <c r="A535" s="115" t="s">
        <v>246</v>
      </c>
      <c r="B535" s="115" t="s">
        <v>247</v>
      </c>
      <c r="C535" s="115" t="s">
        <v>44</v>
      </c>
      <c r="D535" s="115" t="s">
        <v>127</v>
      </c>
      <c r="E535" s="115" t="s">
        <v>137</v>
      </c>
      <c r="F535" s="116">
        <v>223</v>
      </c>
      <c r="G535" s="116">
        <v>0</v>
      </c>
      <c r="H535" s="117">
        <f t="shared" si="16"/>
        <v>0</v>
      </c>
      <c r="I535" s="118" t="str">
        <f t="shared" si="17"/>
        <v>EN</v>
      </c>
    </row>
    <row r="536" spans="1:9" x14ac:dyDescent="0.3">
      <c r="A536" s="115" t="s">
        <v>246</v>
      </c>
      <c r="B536" s="115" t="s">
        <v>247</v>
      </c>
      <c r="C536" s="115" t="s">
        <v>44</v>
      </c>
      <c r="D536" s="115" t="s">
        <v>127</v>
      </c>
      <c r="E536" s="115" t="s">
        <v>137</v>
      </c>
      <c r="F536" s="116">
        <v>231</v>
      </c>
      <c r="G536" s="116">
        <v>0</v>
      </c>
      <c r="H536" s="117">
        <f t="shared" si="16"/>
        <v>0</v>
      </c>
      <c r="I536" s="118" t="str">
        <f t="shared" si="17"/>
        <v>EN</v>
      </c>
    </row>
    <row r="537" spans="1:9" x14ac:dyDescent="0.3">
      <c r="A537" s="115" t="s">
        <v>246</v>
      </c>
      <c r="B537" s="115" t="s">
        <v>247</v>
      </c>
      <c r="C537" s="115" t="s">
        <v>44</v>
      </c>
      <c r="D537" s="115" t="s">
        <v>127</v>
      </c>
      <c r="E537" s="115" t="s">
        <v>137</v>
      </c>
      <c r="F537" s="116">
        <v>217</v>
      </c>
      <c r="G537" s="116">
        <v>1</v>
      </c>
      <c r="H537" s="117">
        <f t="shared" si="16"/>
        <v>4.608294930875576E-3</v>
      </c>
      <c r="I537" s="118" t="str">
        <f t="shared" si="17"/>
        <v>EN</v>
      </c>
    </row>
    <row r="538" spans="1:9" x14ac:dyDescent="0.3">
      <c r="A538" s="115" t="s">
        <v>246</v>
      </c>
      <c r="B538" s="115" t="s">
        <v>247</v>
      </c>
      <c r="C538" s="115" t="s">
        <v>44</v>
      </c>
      <c r="D538" s="115" t="s">
        <v>127</v>
      </c>
      <c r="E538" s="115" t="s">
        <v>137</v>
      </c>
      <c r="F538" s="116">
        <v>194</v>
      </c>
      <c r="G538" s="116">
        <v>1</v>
      </c>
      <c r="H538" s="117">
        <f t="shared" si="16"/>
        <v>5.1546391752577319E-3</v>
      </c>
      <c r="I538" s="118" t="str">
        <f t="shared" si="17"/>
        <v>EN</v>
      </c>
    </row>
    <row r="539" spans="1:9" x14ac:dyDescent="0.3">
      <c r="A539" s="115" t="s">
        <v>246</v>
      </c>
      <c r="B539" s="115" t="s">
        <v>248</v>
      </c>
      <c r="C539" s="115" t="s">
        <v>44</v>
      </c>
      <c r="D539" s="115" t="s">
        <v>150</v>
      </c>
      <c r="E539" s="115" t="s">
        <v>151</v>
      </c>
      <c r="F539" s="116">
        <v>152</v>
      </c>
      <c r="G539" s="116">
        <v>0</v>
      </c>
      <c r="H539" s="117">
        <f t="shared" si="16"/>
        <v>0</v>
      </c>
      <c r="I539" s="118" t="str">
        <f t="shared" si="17"/>
        <v>AR</v>
      </c>
    </row>
    <row r="540" spans="1:9" x14ac:dyDescent="0.3">
      <c r="A540" s="115" t="s">
        <v>246</v>
      </c>
      <c r="B540" s="115" t="s">
        <v>248</v>
      </c>
      <c r="C540" s="115" t="s">
        <v>44</v>
      </c>
      <c r="D540" s="115" t="s">
        <v>150</v>
      </c>
      <c r="E540" s="115" t="s">
        <v>151</v>
      </c>
      <c r="F540" s="116">
        <v>1339</v>
      </c>
      <c r="G540" s="116">
        <v>0</v>
      </c>
      <c r="H540" s="117">
        <f t="shared" si="16"/>
        <v>0</v>
      </c>
      <c r="I540" s="118" t="str">
        <f t="shared" si="17"/>
        <v>AR</v>
      </c>
    </row>
    <row r="541" spans="1:9" x14ac:dyDescent="0.3">
      <c r="A541" s="115" t="s">
        <v>246</v>
      </c>
      <c r="B541" s="115" t="s">
        <v>248</v>
      </c>
      <c r="C541" s="115" t="s">
        <v>44</v>
      </c>
      <c r="D541" s="115" t="s">
        <v>150</v>
      </c>
      <c r="E541" s="115" t="s">
        <v>151</v>
      </c>
      <c r="F541" s="116">
        <v>1870</v>
      </c>
      <c r="G541" s="116">
        <v>0</v>
      </c>
      <c r="H541" s="117">
        <f t="shared" si="16"/>
        <v>0</v>
      </c>
      <c r="I541" s="118" t="str">
        <f t="shared" si="17"/>
        <v>AR</v>
      </c>
    </row>
    <row r="542" spans="1:9" x14ac:dyDescent="0.3">
      <c r="A542" s="115" t="s">
        <v>246</v>
      </c>
      <c r="B542" s="115" t="s">
        <v>248</v>
      </c>
      <c r="C542" s="115" t="s">
        <v>44</v>
      </c>
      <c r="D542" s="115" t="s">
        <v>150</v>
      </c>
      <c r="E542" s="115" t="s">
        <v>151</v>
      </c>
      <c r="F542" s="116">
        <v>1789</v>
      </c>
      <c r="G542" s="116">
        <v>0</v>
      </c>
      <c r="H542" s="117">
        <f t="shared" si="16"/>
        <v>0</v>
      </c>
      <c r="I542" s="118" t="str">
        <f t="shared" si="17"/>
        <v>AR</v>
      </c>
    </row>
    <row r="543" spans="1:9" x14ac:dyDescent="0.3">
      <c r="A543" s="115" t="s">
        <v>246</v>
      </c>
      <c r="B543" s="115" t="s">
        <v>248</v>
      </c>
      <c r="C543" s="115" t="s">
        <v>44</v>
      </c>
      <c r="D543" s="115" t="s">
        <v>150</v>
      </c>
      <c r="E543" s="115" t="s">
        <v>151</v>
      </c>
      <c r="F543" s="116">
        <v>1551</v>
      </c>
      <c r="G543" s="116">
        <v>0</v>
      </c>
      <c r="H543" s="117">
        <f t="shared" si="16"/>
        <v>0</v>
      </c>
      <c r="I543" s="118" t="str">
        <f t="shared" si="17"/>
        <v>AR</v>
      </c>
    </row>
    <row r="544" spans="1:9" x14ac:dyDescent="0.3">
      <c r="A544" s="115" t="s">
        <v>246</v>
      </c>
      <c r="B544" s="115" t="s">
        <v>248</v>
      </c>
      <c r="C544" s="115" t="s">
        <v>44</v>
      </c>
      <c r="D544" s="115" t="s">
        <v>127</v>
      </c>
      <c r="E544" s="115" t="s">
        <v>137</v>
      </c>
      <c r="F544" s="116">
        <v>871</v>
      </c>
      <c r="G544" s="116">
        <v>7</v>
      </c>
      <c r="H544" s="117">
        <f t="shared" si="16"/>
        <v>8.0367393800229621E-3</v>
      </c>
      <c r="I544" s="118" t="str">
        <f t="shared" si="17"/>
        <v>AR</v>
      </c>
    </row>
    <row r="545" spans="1:9" x14ac:dyDescent="0.3">
      <c r="A545" s="115" t="s">
        <v>246</v>
      </c>
      <c r="B545" s="115" t="s">
        <v>248</v>
      </c>
      <c r="C545" s="115" t="s">
        <v>44</v>
      </c>
      <c r="D545" s="115" t="s">
        <v>127</v>
      </c>
      <c r="E545" s="115" t="s">
        <v>137</v>
      </c>
      <c r="F545" s="116">
        <v>7465</v>
      </c>
      <c r="G545" s="116">
        <v>60</v>
      </c>
      <c r="H545" s="117">
        <f t="shared" si="16"/>
        <v>8.0375083724045539E-3</v>
      </c>
      <c r="I545" s="118" t="str">
        <f t="shared" si="17"/>
        <v>AR</v>
      </c>
    </row>
    <row r="546" spans="1:9" x14ac:dyDescent="0.3">
      <c r="A546" s="115" t="s">
        <v>246</v>
      </c>
      <c r="B546" s="115" t="s">
        <v>248</v>
      </c>
      <c r="C546" s="115" t="s">
        <v>44</v>
      </c>
      <c r="D546" s="115" t="s">
        <v>127</v>
      </c>
      <c r="E546" s="115" t="s">
        <v>137</v>
      </c>
      <c r="F546" s="116">
        <v>22332</v>
      </c>
      <c r="G546" s="116">
        <v>97</v>
      </c>
      <c r="H546" s="117">
        <f t="shared" si="16"/>
        <v>4.3435428980834676E-3</v>
      </c>
      <c r="I546" s="118" t="str">
        <f t="shared" si="17"/>
        <v>AR</v>
      </c>
    </row>
    <row r="547" spans="1:9" x14ac:dyDescent="0.3">
      <c r="A547" s="115" t="s">
        <v>246</v>
      </c>
      <c r="B547" s="115" t="s">
        <v>248</v>
      </c>
      <c r="C547" s="115" t="s">
        <v>44</v>
      </c>
      <c r="D547" s="115" t="s">
        <v>127</v>
      </c>
      <c r="E547" s="115" t="s">
        <v>137</v>
      </c>
      <c r="F547" s="116">
        <v>16573</v>
      </c>
      <c r="G547" s="116">
        <v>88</v>
      </c>
      <c r="H547" s="117">
        <f t="shared" si="16"/>
        <v>5.3098413081518131E-3</v>
      </c>
      <c r="I547" s="118" t="str">
        <f t="shared" si="17"/>
        <v>AR</v>
      </c>
    </row>
    <row r="548" spans="1:9" x14ac:dyDescent="0.3">
      <c r="A548" s="115" t="s">
        <v>246</v>
      </c>
      <c r="B548" s="115" t="s">
        <v>248</v>
      </c>
      <c r="C548" s="115" t="s">
        <v>44</v>
      </c>
      <c r="D548" s="115" t="s">
        <v>127</v>
      </c>
      <c r="E548" s="115" t="s">
        <v>137</v>
      </c>
      <c r="F548" s="116">
        <v>14554</v>
      </c>
      <c r="G548" s="116">
        <v>88</v>
      </c>
      <c r="H548" s="117">
        <f t="shared" si="16"/>
        <v>6.0464477119692179E-3</v>
      </c>
      <c r="I548" s="118" t="str">
        <f t="shared" si="17"/>
        <v>AR</v>
      </c>
    </row>
    <row r="549" spans="1:9" x14ac:dyDescent="0.3">
      <c r="A549" s="115" t="s">
        <v>246</v>
      </c>
      <c r="B549" s="115" t="s">
        <v>249</v>
      </c>
      <c r="C549" s="115" t="s">
        <v>44</v>
      </c>
      <c r="D549" s="115" t="s">
        <v>150</v>
      </c>
      <c r="E549" s="115" t="s">
        <v>151</v>
      </c>
      <c r="F549" s="116">
        <v>298</v>
      </c>
      <c r="G549" s="116">
        <v>0</v>
      </c>
      <c r="H549" s="117">
        <f t="shared" si="16"/>
        <v>0</v>
      </c>
      <c r="I549" s="118" t="str">
        <f t="shared" si="17"/>
        <v>EN</v>
      </c>
    </row>
    <row r="550" spans="1:9" x14ac:dyDescent="0.3">
      <c r="A550" s="115" t="s">
        <v>246</v>
      </c>
      <c r="B550" s="115" t="s">
        <v>249</v>
      </c>
      <c r="C550" s="115" t="s">
        <v>44</v>
      </c>
      <c r="D550" s="115" t="s">
        <v>150</v>
      </c>
      <c r="E550" s="115" t="s">
        <v>151</v>
      </c>
      <c r="F550" s="116">
        <v>574</v>
      </c>
      <c r="G550" s="116">
        <v>0</v>
      </c>
      <c r="H550" s="117">
        <f t="shared" si="16"/>
        <v>0</v>
      </c>
      <c r="I550" s="118" t="str">
        <f t="shared" si="17"/>
        <v>EN</v>
      </c>
    </row>
    <row r="551" spans="1:9" x14ac:dyDescent="0.3">
      <c r="A551" s="115" t="s">
        <v>246</v>
      </c>
      <c r="B551" s="115" t="s">
        <v>249</v>
      </c>
      <c r="C551" s="115" t="s">
        <v>44</v>
      </c>
      <c r="D551" s="115" t="s">
        <v>150</v>
      </c>
      <c r="E551" s="115" t="s">
        <v>151</v>
      </c>
      <c r="F551" s="116">
        <v>467</v>
      </c>
      <c r="G551" s="116">
        <v>0</v>
      </c>
      <c r="H551" s="117">
        <f t="shared" si="16"/>
        <v>0</v>
      </c>
      <c r="I551" s="118" t="str">
        <f t="shared" si="17"/>
        <v>EN</v>
      </c>
    </row>
    <row r="552" spans="1:9" x14ac:dyDescent="0.3">
      <c r="A552" s="115" t="s">
        <v>246</v>
      </c>
      <c r="B552" s="115" t="s">
        <v>249</v>
      </c>
      <c r="C552" s="115" t="s">
        <v>44</v>
      </c>
      <c r="D552" s="115" t="s">
        <v>150</v>
      </c>
      <c r="E552" s="115" t="s">
        <v>151</v>
      </c>
      <c r="F552" s="116">
        <v>573</v>
      </c>
      <c r="G552" s="116">
        <v>0</v>
      </c>
      <c r="H552" s="117">
        <f t="shared" si="16"/>
        <v>0</v>
      </c>
      <c r="I552" s="118" t="str">
        <f t="shared" si="17"/>
        <v>EN</v>
      </c>
    </row>
    <row r="553" spans="1:9" x14ac:dyDescent="0.3">
      <c r="A553" s="115" t="s">
        <v>246</v>
      </c>
      <c r="B553" s="115" t="s">
        <v>249</v>
      </c>
      <c r="C553" s="115" t="s">
        <v>44</v>
      </c>
      <c r="D553" s="115" t="s">
        <v>150</v>
      </c>
      <c r="E553" s="115" t="s">
        <v>151</v>
      </c>
      <c r="F553" s="116">
        <v>628</v>
      </c>
      <c r="G553" s="116">
        <v>0</v>
      </c>
      <c r="H553" s="117">
        <f t="shared" si="16"/>
        <v>0</v>
      </c>
      <c r="I553" s="118" t="str">
        <f t="shared" si="17"/>
        <v>EN</v>
      </c>
    </row>
    <row r="554" spans="1:9" x14ac:dyDescent="0.3">
      <c r="A554" s="115" t="s">
        <v>246</v>
      </c>
      <c r="B554" s="115" t="s">
        <v>249</v>
      </c>
      <c r="C554" s="115" t="s">
        <v>44</v>
      </c>
      <c r="D554" s="115" t="s">
        <v>127</v>
      </c>
      <c r="E554" s="115" t="s">
        <v>137</v>
      </c>
      <c r="F554" s="116">
        <v>6652</v>
      </c>
      <c r="G554" s="116">
        <v>16</v>
      </c>
      <c r="H554" s="117">
        <f t="shared" si="16"/>
        <v>2.4052916416115455E-3</v>
      </c>
      <c r="I554" s="118" t="str">
        <f t="shared" si="17"/>
        <v>EN</v>
      </c>
    </row>
    <row r="555" spans="1:9" x14ac:dyDescent="0.3">
      <c r="A555" s="115" t="s">
        <v>246</v>
      </c>
      <c r="B555" s="115" t="s">
        <v>249</v>
      </c>
      <c r="C555" s="115" t="s">
        <v>44</v>
      </c>
      <c r="D555" s="115" t="s">
        <v>127</v>
      </c>
      <c r="E555" s="115" t="s">
        <v>137</v>
      </c>
      <c r="F555" s="116">
        <v>11436</v>
      </c>
      <c r="G555" s="116">
        <v>26</v>
      </c>
      <c r="H555" s="117">
        <f t="shared" si="16"/>
        <v>2.2735222105631338E-3</v>
      </c>
      <c r="I555" s="118" t="str">
        <f t="shared" si="17"/>
        <v>EN</v>
      </c>
    </row>
    <row r="556" spans="1:9" x14ac:dyDescent="0.3">
      <c r="A556" s="115" t="s">
        <v>246</v>
      </c>
      <c r="B556" s="115" t="s">
        <v>249</v>
      </c>
      <c r="C556" s="115" t="s">
        <v>44</v>
      </c>
      <c r="D556" s="115" t="s">
        <v>127</v>
      </c>
      <c r="E556" s="115" t="s">
        <v>137</v>
      </c>
      <c r="F556" s="116">
        <v>10403</v>
      </c>
      <c r="G556" s="116">
        <v>28</v>
      </c>
      <c r="H556" s="117">
        <f t="shared" si="16"/>
        <v>2.6915312890512352E-3</v>
      </c>
      <c r="I556" s="118" t="str">
        <f t="shared" si="17"/>
        <v>EN</v>
      </c>
    </row>
    <row r="557" spans="1:9" x14ac:dyDescent="0.3">
      <c r="A557" s="115" t="s">
        <v>246</v>
      </c>
      <c r="B557" s="115" t="s">
        <v>249</v>
      </c>
      <c r="C557" s="115" t="s">
        <v>44</v>
      </c>
      <c r="D557" s="115" t="s">
        <v>127</v>
      </c>
      <c r="E557" s="115" t="s">
        <v>137</v>
      </c>
      <c r="F557" s="116">
        <v>8568</v>
      </c>
      <c r="G557" s="116">
        <v>23</v>
      </c>
      <c r="H557" s="117">
        <f t="shared" si="16"/>
        <v>2.6844070961718021E-3</v>
      </c>
      <c r="I557" s="118" t="str">
        <f t="shared" si="17"/>
        <v>EN</v>
      </c>
    </row>
    <row r="558" spans="1:9" x14ac:dyDescent="0.3">
      <c r="A558" s="115" t="s">
        <v>246</v>
      </c>
      <c r="B558" s="115" t="s">
        <v>249</v>
      </c>
      <c r="C558" s="115" t="s">
        <v>44</v>
      </c>
      <c r="D558" s="115" t="s">
        <v>127</v>
      </c>
      <c r="E558" s="115" t="s">
        <v>137</v>
      </c>
      <c r="F558" s="116">
        <v>10359</v>
      </c>
      <c r="G558" s="116">
        <v>27</v>
      </c>
      <c r="H558" s="117">
        <f t="shared" si="16"/>
        <v>2.6064291920069507E-3</v>
      </c>
      <c r="I558" s="118" t="str">
        <f t="shared" si="17"/>
        <v>EN</v>
      </c>
    </row>
    <row r="559" spans="1:9" x14ac:dyDescent="0.3">
      <c r="A559" s="115" t="s">
        <v>246</v>
      </c>
      <c r="B559" s="115" t="s">
        <v>250</v>
      </c>
      <c r="C559" s="115" t="s">
        <v>44</v>
      </c>
      <c r="D559" s="115" t="s">
        <v>150</v>
      </c>
      <c r="E559" s="115" t="s">
        <v>151</v>
      </c>
      <c r="F559" s="116">
        <v>5</v>
      </c>
      <c r="G559" s="116">
        <v>0</v>
      </c>
      <c r="H559" s="117">
        <f t="shared" si="16"/>
        <v>0</v>
      </c>
      <c r="I559" s="118" t="str">
        <f t="shared" si="17"/>
        <v>EN</v>
      </c>
    </row>
    <row r="560" spans="1:9" x14ac:dyDescent="0.3">
      <c r="A560" s="115" t="s">
        <v>246</v>
      </c>
      <c r="B560" s="115" t="s">
        <v>250</v>
      </c>
      <c r="C560" s="115" t="s">
        <v>44</v>
      </c>
      <c r="D560" s="115" t="s">
        <v>150</v>
      </c>
      <c r="E560" s="115" t="s">
        <v>151</v>
      </c>
      <c r="F560" s="116">
        <v>19</v>
      </c>
      <c r="G560" s="116">
        <v>0</v>
      </c>
      <c r="H560" s="117">
        <f t="shared" si="16"/>
        <v>0</v>
      </c>
      <c r="I560" s="118" t="str">
        <f t="shared" si="17"/>
        <v>EN</v>
      </c>
    </row>
    <row r="561" spans="1:9" x14ac:dyDescent="0.3">
      <c r="A561" s="115" t="s">
        <v>246</v>
      </c>
      <c r="B561" s="115" t="s">
        <v>250</v>
      </c>
      <c r="C561" s="115" t="s">
        <v>44</v>
      </c>
      <c r="D561" s="115" t="s">
        <v>150</v>
      </c>
      <c r="E561" s="115" t="s">
        <v>151</v>
      </c>
      <c r="F561" s="116">
        <v>14</v>
      </c>
      <c r="G561" s="116">
        <v>0</v>
      </c>
      <c r="H561" s="117">
        <f t="shared" si="16"/>
        <v>0</v>
      </c>
      <c r="I561" s="118" t="str">
        <f t="shared" si="17"/>
        <v>EN</v>
      </c>
    </row>
    <row r="562" spans="1:9" x14ac:dyDescent="0.3">
      <c r="A562" s="115" t="s">
        <v>246</v>
      </c>
      <c r="B562" s="115" t="s">
        <v>250</v>
      </c>
      <c r="C562" s="115" t="s">
        <v>44</v>
      </c>
      <c r="D562" s="115" t="s">
        <v>150</v>
      </c>
      <c r="E562" s="115" t="s">
        <v>151</v>
      </c>
      <c r="F562" s="116">
        <v>10</v>
      </c>
      <c r="G562" s="116">
        <v>0</v>
      </c>
      <c r="H562" s="117">
        <f t="shared" si="16"/>
        <v>0</v>
      </c>
      <c r="I562" s="118" t="str">
        <f t="shared" si="17"/>
        <v>EN</v>
      </c>
    </row>
    <row r="563" spans="1:9" x14ac:dyDescent="0.3">
      <c r="A563" s="115" t="s">
        <v>246</v>
      </c>
      <c r="B563" s="115" t="s">
        <v>250</v>
      </c>
      <c r="C563" s="115" t="s">
        <v>44</v>
      </c>
      <c r="D563" s="115" t="s">
        <v>150</v>
      </c>
      <c r="E563" s="115" t="s">
        <v>151</v>
      </c>
      <c r="F563" s="116">
        <v>12</v>
      </c>
      <c r="G563" s="116">
        <v>0</v>
      </c>
      <c r="H563" s="117">
        <f t="shared" si="16"/>
        <v>0</v>
      </c>
      <c r="I563" s="118" t="str">
        <f t="shared" si="17"/>
        <v>EN</v>
      </c>
    </row>
    <row r="564" spans="1:9" x14ac:dyDescent="0.3">
      <c r="A564" s="115" t="s">
        <v>246</v>
      </c>
      <c r="B564" s="115" t="s">
        <v>250</v>
      </c>
      <c r="C564" s="115" t="s">
        <v>44</v>
      </c>
      <c r="D564" s="115" t="s">
        <v>127</v>
      </c>
      <c r="E564" s="115" t="s">
        <v>137</v>
      </c>
      <c r="F564" s="116">
        <v>131</v>
      </c>
      <c r="G564" s="116">
        <v>0</v>
      </c>
      <c r="H564" s="117">
        <f t="shared" si="16"/>
        <v>0</v>
      </c>
      <c r="I564" s="118" t="str">
        <f t="shared" si="17"/>
        <v>EN</v>
      </c>
    </row>
    <row r="565" spans="1:9" x14ac:dyDescent="0.3">
      <c r="A565" s="115" t="s">
        <v>246</v>
      </c>
      <c r="B565" s="115" t="s">
        <v>250</v>
      </c>
      <c r="C565" s="115" t="s">
        <v>44</v>
      </c>
      <c r="D565" s="115" t="s">
        <v>127</v>
      </c>
      <c r="E565" s="115" t="s">
        <v>137</v>
      </c>
      <c r="F565" s="116">
        <v>242</v>
      </c>
      <c r="G565" s="116">
        <v>0</v>
      </c>
      <c r="H565" s="117">
        <f t="shared" si="16"/>
        <v>0</v>
      </c>
      <c r="I565" s="118" t="str">
        <f t="shared" si="17"/>
        <v>EN</v>
      </c>
    </row>
    <row r="566" spans="1:9" x14ac:dyDescent="0.3">
      <c r="A566" s="115" t="s">
        <v>246</v>
      </c>
      <c r="B566" s="115" t="s">
        <v>250</v>
      </c>
      <c r="C566" s="115" t="s">
        <v>44</v>
      </c>
      <c r="D566" s="115" t="s">
        <v>127</v>
      </c>
      <c r="E566" s="115" t="s">
        <v>137</v>
      </c>
      <c r="F566" s="116">
        <v>195</v>
      </c>
      <c r="G566" s="116">
        <v>0</v>
      </c>
      <c r="H566" s="117">
        <f t="shared" si="16"/>
        <v>0</v>
      </c>
      <c r="I566" s="118" t="str">
        <f t="shared" si="17"/>
        <v>EN</v>
      </c>
    </row>
    <row r="567" spans="1:9" x14ac:dyDescent="0.3">
      <c r="A567" s="115" t="s">
        <v>246</v>
      </c>
      <c r="B567" s="115" t="s">
        <v>250</v>
      </c>
      <c r="C567" s="115" t="s">
        <v>44</v>
      </c>
      <c r="D567" s="115" t="s">
        <v>127</v>
      </c>
      <c r="E567" s="115" t="s">
        <v>137</v>
      </c>
      <c r="F567" s="116">
        <v>231</v>
      </c>
      <c r="G567" s="116">
        <v>1</v>
      </c>
      <c r="H567" s="117">
        <f t="shared" si="16"/>
        <v>4.329004329004329E-3</v>
      </c>
      <c r="I567" s="118" t="str">
        <f t="shared" si="17"/>
        <v>EN</v>
      </c>
    </row>
    <row r="568" spans="1:9" x14ac:dyDescent="0.3">
      <c r="A568" s="115" t="s">
        <v>246</v>
      </c>
      <c r="B568" s="115" t="s">
        <v>250</v>
      </c>
      <c r="C568" s="115" t="s">
        <v>44</v>
      </c>
      <c r="D568" s="115" t="s">
        <v>127</v>
      </c>
      <c r="E568" s="115" t="s">
        <v>137</v>
      </c>
      <c r="F568" s="116">
        <v>181</v>
      </c>
      <c r="G568" s="116">
        <v>0</v>
      </c>
      <c r="H568" s="117">
        <f t="shared" si="16"/>
        <v>0</v>
      </c>
      <c r="I568" s="118" t="str">
        <f t="shared" si="17"/>
        <v>EN</v>
      </c>
    </row>
    <row r="569" spans="1:9" x14ac:dyDescent="0.3">
      <c r="A569" s="115" t="s">
        <v>246</v>
      </c>
      <c r="B569" s="115" t="s">
        <v>251</v>
      </c>
      <c r="C569" s="115" t="s">
        <v>44</v>
      </c>
      <c r="D569" s="115" t="s">
        <v>150</v>
      </c>
      <c r="E569" s="115" t="s">
        <v>151</v>
      </c>
      <c r="F569" s="116">
        <v>144</v>
      </c>
      <c r="G569" s="116">
        <v>0</v>
      </c>
      <c r="H569" s="117">
        <f t="shared" si="16"/>
        <v>0</v>
      </c>
      <c r="I569" s="118" t="str">
        <f t="shared" si="17"/>
        <v>EN</v>
      </c>
    </row>
    <row r="570" spans="1:9" x14ac:dyDescent="0.3">
      <c r="A570" s="115" t="s">
        <v>246</v>
      </c>
      <c r="B570" s="115" t="s">
        <v>251</v>
      </c>
      <c r="C570" s="115" t="s">
        <v>44</v>
      </c>
      <c r="D570" s="115" t="s">
        <v>150</v>
      </c>
      <c r="E570" s="115" t="s">
        <v>151</v>
      </c>
      <c r="F570" s="116">
        <v>263</v>
      </c>
      <c r="G570" s="116">
        <v>7</v>
      </c>
      <c r="H570" s="117">
        <f t="shared" si="16"/>
        <v>2.6615969581749048E-2</v>
      </c>
      <c r="I570" s="118" t="str">
        <f t="shared" si="17"/>
        <v>EN</v>
      </c>
    </row>
    <row r="571" spans="1:9" x14ac:dyDescent="0.3">
      <c r="A571" s="115" t="s">
        <v>246</v>
      </c>
      <c r="B571" s="115" t="s">
        <v>251</v>
      </c>
      <c r="C571" s="115" t="s">
        <v>44</v>
      </c>
      <c r="D571" s="115" t="s">
        <v>150</v>
      </c>
      <c r="E571" s="115" t="s">
        <v>151</v>
      </c>
      <c r="F571" s="116">
        <v>264</v>
      </c>
      <c r="G571" s="116">
        <v>1</v>
      </c>
      <c r="H571" s="117">
        <f t="shared" si="16"/>
        <v>3.787878787878788E-3</v>
      </c>
      <c r="I571" s="118" t="str">
        <f t="shared" si="17"/>
        <v>EN</v>
      </c>
    </row>
    <row r="572" spans="1:9" x14ac:dyDescent="0.3">
      <c r="A572" s="115" t="s">
        <v>246</v>
      </c>
      <c r="B572" s="115" t="s">
        <v>251</v>
      </c>
      <c r="C572" s="115" t="s">
        <v>44</v>
      </c>
      <c r="D572" s="115" t="s">
        <v>150</v>
      </c>
      <c r="E572" s="115" t="s">
        <v>151</v>
      </c>
      <c r="F572" s="116">
        <v>242</v>
      </c>
      <c r="G572" s="116">
        <v>0</v>
      </c>
      <c r="H572" s="117">
        <f t="shared" si="16"/>
        <v>0</v>
      </c>
      <c r="I572" s="118" t="str">
        <f t="shared" si="17"/>
        <v>EN</v>
      </c>
    </row>
    <row r="573" spans="1:9" x14ac:dyDescent="0.3">
      <c r="A573" s="115" t="s">
        <v>246</v>
      </c>
      <c r="B573" s="115" t="s">
        <v>251</v>
      </c>
      <c r="C573" s="115" t="s">
        <v>44</v>
      </c>
      <c r="D573" s="115" t="s">
        <v>150</v>
      </c>
      <c r="E573" s="115" t="s">
        <v>151</v>
      </c>
      <c r="F573" s="116">
        <v>189</v>
      </c>
      <c r="G573" s="116">
        <v>1</v>
      </c>
      <c r="H573" s="117">
        <f t="shared" si="16"/>
        <v>5.2910052910052907E-3</v>
      </c>
      <c r="I573" s="118" t="str">
        <f t="shared" si="17"/>
        <v>EN</v>
      </c>
    </row>
    <row r="574" spans="1:9" x14ac:dyDescent="0.3">
      <c r="A574" s="115" t="s">
        <v>246</v>
      </c>
      <c r="B574" s="115" t="s">
        <v>252</v>
      </c>
      <c r="C574" s="115" t="s">
        <v>44</v>
      </c>
      <c r="D574" s="115" t="s">
        <v>150</v>
      </c>
      <c r="E574" s="115" t="s">
        <v>151</v>
      </c>
      <c r="F574" s="116">
        <v>12</v>
      </c>
      <c r="G574" s="116">
        <v>0</v>
      </c>
      <c r="H574" s="117">
        <f t="shared" si="16"/>
        <v>0</v>
      </c>
      <c r="I574" s="118" t="str">
        <f t="shared" si="17"/>
        <v>EN</v>
      </c>
    </row>
    <row r="575" spans="1:9" x14ac:dyDescent="0.3">
      <c r="A575" s="115" t="s">
        <v>246</v>
      </c>
      <c r="B575" s="115" t="s">
        <v>252</v>
      </c>
      <c r="C575" s="115" t="s">
        <v>44</v>
      </c>
      <c r="D575" s="115" t="s">
        <v>150</v>
      </c>
      <c r="E575" s="115" t="s">
        <v>151</v>
      </c>
      <c r="F575" s="116">
        <v>16</v>
      </c>
      <c r="G575" s="116">
        <v>0</v>
      </c>
      <c r="H575" s="117">
        <f t="shared" si="16"/>
        <v>0</v>
      </c>
      <c r="I575" s="118" t="str">
        <f t="shared" si="17"/>
        <v>EN</v>
      </c>
    </row>
    <row r="576" spans="1:9" x14ac:dyDescent="0.3">
      <c r="A576" s="115" t="s">
        <v>246</v>
      </c>
      <c r="B576" s="115" t="s">
        <v>252</v>
      </c>
      <c r="C576" s="115" t="s">
        <v>44</v>
      </c>
      <c r="D576" s="115" t="s">
        <v>150</v>
      </c>
      <c r="E576" s="115" t="s">
        <v>151</v>
      </c>
      <c r="F576" s="116">
        <v>17</v>
      </c>
      <c r="G576" s="116">
        <v>0</v>
      </c>
      <c r="H576" s="117">
        <f t="shared" si="16"/>
        <v>0</v>
      </c>
      <c r="I576" s="118" t="str">
        <f t="shared" si="17"/>
        <v>EN</v>
      </c>
    </row>
    <row r="577" spans="1:9" x14ac:dyDescent="0.3">
      <c r="A577" s="115" t="s">
        <v>246</v>
      </c>
      <c r="B577" s="115" t="s">
        <v>252</v>
      </c>
      <c r="C577" s="115" t="s">
        <v>44</v>
      </c>
      <c r="D577" s="115" t="s">
        <v>150</v>
      </c>
      <c r="E577" s="115" t="s">
        <v>151</v>
      </c>
      <c r="F577" s="116">
        <v>12</v>
      </c>
      <c r="G577" s="116">
        <v>0</v>
      </c>
      <c r="H577" s="117">
        <f t="shared" si="16"/>
        <v>0</v>
      </c>
      <c r="I577" s="118" t="str">
        <f t="shared" si="17"/>
        <v>EN</v>
      </c>
    </row>
    <row r="578" spans="1:9" x14ac:dyDescent="0.3">
      <c r="A578" s="115" t="s">
        <v>246</v>
      </c>
      <c r="B578" s="115" t="s">
        <v>252</v>
      </c>
      <c r="C578" s="115" t="s">
        <v>44</v>
      </c>
      <c r="D578" s="115" t="s">
        <v>150</v>
      </c>
      <c r="E578" s="115" t="s">
        <v>151</v>
      </c>
      <c r="F578" s="116">
        <v>17</v>
      </c>
      <c r="G578" s="116">
        <v>0</v>
      </c>
      <c r="H578" s="117">
        <f t="shared" si="16"/>
        <v>0</v>
      </c>
      <c r="I578" s="118" t="str">
        <f t="shared" si="17"/>
        <v>EN</v>
      </c>
    </row>
    <row r="579" spans="1:9" x14ac:dyDescent="0.3">
      <c r="A579" s="115" t="s">
        <v>246</v>
      </c>
      <c r="B579" s="115" t="s">
        <v>252</v>
      </c>
      <c r="C579" s="115" t="s">
        <v>44</v>
      </c>
      <c r="D579" s="115" t="s">
        <v>127</v>
      </c>
      <c r="E579" s="115" t="s">
        <v>137</v>
      </c>
      <c r="F579" s="116">
        <v>139</v>
      </c>
      <c r="G579" s="116">
        <v>1</v>
      </c>
      <c r="H579" s="117">
        <f t="shared" ref="H579:H642" si="18">G579/F579</f>
        <v>7.1942446043165471E-3</v>
      </c>
      <c r="I579" s="118" t="str">
        <f t="shared" ref="I579:I642" si="19">RIGHT(B579,2)</f>
        <v>EN</v>
      </c>
    </row>
    <row r="580" spans="1:9" x14ac:dyDescent="0.3">
      <c r="A580" s="115" t="s">
        <v>246</v>
      </c>
      <c r="B580" s="115" t="s">
        <v>252</v>
      </c>
      <c r="C580" s="115" t="s">
        <v>44</v>
      </c>
      <c r="D580" s="115" t="s">
        <v>127</v>
      </c>
      <c r="E580" s="115" t="s">
        <v>137</v>
      </c>
      <c r="F580" s="116">
        <v>206</v>
      </c>
      <c r="G580" s="116">
        <v>1</v>
      </c>
      <c r="H580" s="117">
        <f t="shared" si="18"/>
        <v>4.8543689320388345E-3</v>
      </c>
      <c r="I580" s="118" t="str">
        <f t="shared" si="19"/>
        <v>EN</v>
      </c>
    </row>
    <row r="581" spans="1:9" x14ac:dyDescent="0.3">
      <c r="A581" s="115" t="s">
        <v>246</v>
      </c>
      <c r="B581" s="115" t="s">
        <v>252</v>
      </c>
      <c r="C581" s="115" t="s">
        <v>44</v>
      </c>
      <c r="D581" s="115" t="s">
        <v>127</v>
      </c>
      <c r="E581" s="115" t="s">
        <v>137</v>
      </c>
      <c r="F581" s="116">
        <v>222</v>
      </c>
      <c r="G581" s="116">
        <v>0</v>
      </c>
      <c r="H581" s="117">
        <f t="shared" si="18"/>
        <v>0</v>
      </c>
      <c r="I581" s="118" t="str">
        <f t="shared" si="19"/>
        <v>EN</v>
      </c>
    </row>
    <row r="582" spans="1:9" x14ac:dyDescent="0.3">
      <c r="A582" s="115" t="s">
        <v>246</v>
      </c>
      <c r="B582" s="115" t="s">
        <v>252</v>
      </c>
      <c r="C582" s="115" t="s">
        <v>44</v>
      </c>
      <c r="D582" s="115" t="s">
        <v>127</v>
      </c>
      <c r="E582" s="115" t="s">
        <v>137</v>
      </c>
      <c r="F582" s="116">
        <v>205</v>
      </c>
      <c r="G582" s="116">
        <v>1</v>
      </c>
      <c r="H582" s="117">
        <f t="shared" si="18"/>
        <v>4.8780487804878049E-3</v>
      </c>
      <c r="I582" s="118" t="str">
        <f t="shared" si="19"/>
        <v>EN</v>
      </c>
    </row>
    <row r="583" spans="1:9" x14ac:dyDescent="0.3">
      <c r="A583" s="115" t="s">
        <v>246</v>
      </c>
      <c r="B583" s="115" t="s">
        <v>252</v>
      </c>
      <c r="C583" s="115" t="s">
        <v>44</v>
      </c>
      <c r="D583" s="115" t="s">
        <v>127</v>
      </c>
      <c r="E583" s="115" t="s">
        <v>137</v>
      </c>
      <c r="F583" s="116">
        <v>184</v>
      </c>
      <c r="G583" s="116">
        <v>0</v>
      </c>
      <c r="H583" s="117">
        <f t="shared" si="18"/>
        <v>0</v>
      </c>
      <c r="I583" s="118" t="str">
        <f t="shared" si="19"/>
        <v>EN</v>
      </c>
    </row>
    <row r="584" spans="1:9" x14ac:dyDescent="0.3">
      <c r="A584" s="115" t="s">
        <v>246</v>
      </c>
      <c r="B584" s="115" t="s">
        <v>253</v>
      </c>
      <c r="C584" s="115" t="s">
        <v>44</v>
      </c>
      <c r="D584" s="115" t="s">
        <v>150</v>
      </c>
      <c r="E584" s="115" t="s">
        <v>151</v>
      </c>
      <c r="F584" s="116">
        <v>525</v>
      </c>
      <c r="G584" s="116">
        <v>0</v>
      </c>
      <c r="H584" s="117">
        <f t="shared" si="18"/>
        <v>0</v>
      </c>
      <c r="I584" s="118" t="str">
        <f t="shared" si="19"/>
        <v>EN</v>
      </c>
    </row>
    <row r="585" spans="1:9" x14ac:dyDescent="0.3">
      <c r="A585" s="115" t="s">
        <v>246</v>
      </c>
      <c r="B585" s="115" t="s">
        <v>253</v>
      </c>
      <c r="C585" s="115" t="s">
        <v>44</v>
      </c>
      <c r="D585" s="115" t="s">
        <v>150</v>
      </c>
      <c r="E585" s="115" t="s">
        <v>151</v>
      </c>
      <c r="F585" s="116">
        <v>711</v>
      </c>
      <c r="G585" s="116">
        <v>0</v>
      </c>
      <c r="H585" s="117">
        <f t="shared" si="18"/>
        <v>0</v>
      </c>
      <c r="I585" s="118" t="str">
        <f t="shared" si="19"/>
        <v>EN</v>
      </c>
    </row>
    <row r="586" spans="1:9" x14ac:dyDescent="0.3">
      <c r="A586" s="115" t="s">
        <v>246</v>
      </c>
      <c r="B586" s="115" t="s">
        <v>253</v>
      </c>
      <c r="C586" s="115" t="s">
        <v>44</v>
      </c>
      <c r="D586" s="115" t="s">
        <v>150</v>
      </c>
      <c r="E586" s="115" t="s">
        <v>151</v>
      </c>
      <c r="F586" s="116">
        <v>670</v>
      </c>
      <c r="G586" s="116">
        <v>0</v>
      </c>
      <c r="H586" s="117">
        <f t="shared" si="18"/>
        <v>0</v>
      </c>
      <c r="I586" s="118" t="str">
        <f t="shared" si="19"/>
        <v>EN</v>
      </c>
    </row>
    <row r="587" spans="1:9" x14ac:dyDescent="0.3">
      <c r="A587" s="115" t="s">
        <v>246</v>
      </c>
      <c r="B587" s="115" t="s">
        <v>253</v>
      </c>
      <c r="C587" s="115" t="s">
        <v>44</v>
      </c>
      <c r="D587" s="115" t="s">
        <v>150</v>
      </c>
      <c r="E587" s="115" t="s">
        <v>151</v>
      </c>
      <c r="F587" s="116">
        <v>548</v>
      </c>
      <c r="G587" s="116">
        <v>0</v>
      </c>
      <c r="H587" s="117">
        <f t="shared" si="18"/>
        <v>0</v>
      </c>
      <c r="I587" s="118" t="str">
        <f t="shared" si="19"/>
        <v>EN</v>
      </c>
    </row>
    <row r="588" spans="1:9" x14ac:dyDescent="0.3">
      <c r="A588" s="115" t="s">
        <v>246</v>
      </c>
      <c r="B588" s="115" t="s">
        <v>253</v>
      </c>
      <c r="C588" s="115" t="s">
        <v>44</v>
      </c>
      <c r="D588" s="115" t="s">
        <v>150</v>
      </c>
      <c r="E588" s="115" t="s">
        <v>151</v>
      </c>
      <c r="F588" s="116">
        <v>424</v>
      </c>
      <c r="G588" s="116">
        <v>0</v>
      </c>
      <c r="H588" s="117">
        <f t="shared" si="18"/>
        <v>0</v>
      </c>
      <c r="I588" s="118" t="str">
        <f t="shared" si="19"/>
        <v>EN</v>
      </c>
    </row>
    <row r="589" spans="1:9" x14ac:dyDescent="0.3">
      <c r="A589" s="115" t="s">
        <v>246</v>
      </c>
      <c r="B589" s="115" t="s">
        <v>253</v>
      </c>
      <c r="C589" s="115" t="s">
        <v>44</v>
      </c>
      <c r="D589" s="115" t="s">
        <v>127</v>
      </c>
      <c r="E589" s="115" t="s">
        <v>137</v>
      </c>
      <c r="F589" s="116">
        <v>9762</v>
      </c>
      <c r="G589" s="116">
        <v>21</v>
      </c>
      <c r="H589" s="117">
        <f t="shared" si="18"/>
        <v>2.1511985248924403E-3</v>
      </c>
      <c r="I589" s="118" t="str">
        <f t="shared" si="19"/>
        <v>EN</v>
      </c>
    </row>
    <row r="590" spans="1:9" x14ac:dyDescent="0.3">
      <c r="A590" s="115" t="s">
        <v>246</v>
      </c>
      <c r="B590" s="115" t="s">
        <v>253</v>
      </c>
      <c r="C590" s="115" t="s">
        <v>44</v>
      </c>
      <c r="D590" s="115" t="s">
        <v>127</v>
      </c>
      <c r="E590" s="115" t="s">
        <v>137</v>
      </c>
      <c r="F590" s="116">
        <v>16627</v>
      </c>
      <c r="G590" s="116">
        <v>45</v>
      </c>
      <c r="H590" s="117">
        <f t="shared" si="18"/>
        <v>2.7064413303662716E-3</v>
      </c>
      <c r="I590" s="118" t="str">
        <f t="shared" si="19"/>
        <v>EN</v>
      </c>
    </row>
    <row r="591" spans="1:9" x14ac:dyDescent="0.3">
      <c r="A591" s="115" t="s">
        <v>246</v>
      </c>
      <c r="B591" s="115" t="s">
        <v>253</v>
      </c>
      <c r="C591" s="115" t="s">
        <v>44</v>
      </c>
      <c r="D591" s="115" t="s">
        <v>127</v>
      </c>
      <c r="E591" s="115" t="s">
        <v>137</v>
      </c>
      <c r="F591" s="116">
        <v>16084</v>
      </c>
      <c r="G591" s="116">
        <v>24</v>
      </c>
      <c r="H591" s="117">
        <f t="shared" si="18"/>
        <v>1.4921661278288984E-3</v>
      </c>
      <c r="I591" s="118" t="str">
        <f t="shared" si="19"/>
        <v>EN</v>
      </c>
    </row>
    <row r="592" spans="1:9" x14ac:dyDescent="0.3">
      <c r="A592" s="115" t="s">
        <v>246</v>
      </c>
      <c r="B592" s="115" t="s">
        <v>253</v>
      </c>
      <c r="C592" s="115" t="s">
        <v>44</v>
      </c>
      <c r="D592" s="115" t="s">
        <v>127</v>
      </c>
      <c r="E592" s="115" t="s">
        <v>137</v>
      </c>
      <c r="F592" s="116">
        <v>14991</v>
      </c>
      <c r="G592" s="116">
        <v>28</v>
      </c>
      <c r="H592" s="117">
        <f t="shared" si="18"/>
        <v>1.8677873390701087E-3</v>
      </c>
      <c r="I592" s="118" t="str">
        <f t="shared" si="19"/>
        <v>EN</v>
      </c>
    </row>
    <row r="593" spans="1:9" x14ac:dyDescent="0.3">
      <c r="A593" s="115" t="s">
        <v>246</v>
      </c>
      <c r="B593" s="115" t="s">
        <v>253</v>
      </c>
      <c r="C593" s="115" t="s">
        <v>44</v>
      </c>
      <c r="D593" s="115" t="s">
        <v>127</v>
      </c>
      <c r="E593" s="115" t="s">
        <v>137</v>
      </c>
      <c r="F593" s="116">
        <v>11234</v>
      </c>
      <c r="G593" s="116">
        <v>23</v>
      </c>
      <c r="H593" s="117">
        <f t="shared" si="18"/>
        <v>2.0473562399857576E-3</v>
      </c>
      <c r="I593" s="118" t="str">
        <f t="shared" si="19"/>
        <v>EN</v>
      </c>
    </row>
    <row r="594" spans="1:9" x14ac:dyDescent="0.3">
      <c r="A594" s="115" t="s">
        <v>246</v>
      </c>
      <c r="B594" s="115" t="s">
        <v>254</v>
      </c>
      <c r="C594" s="115" t="s">
        <v>45</v>
      </c>
      <c r="D594" s="115" t="s">
        <v>150</v>
      </c>
      <c r="E594" s="115" t="s">
        <v>151</v>
      </c>
      <c r="F594" s="116">
        <v>140</v>
      </c>
      <c r="G594" s="116">
        <v>0</v>
      </c>
      <c r="H594" s="117">
        <f t="shared" si="18"/>
        <v>0</v>
      </c>
      <c r="I594" s="118" t="str">
        <f t="shared" si="19"/>
        <v>AR</v>
      </c>
    </row>
    <row r="595" spans="1:9" x14ac:dyDescent="0.3">
      <c r="A595" s="115" t="s">
        <v>246</v>
      </c>
      <c r="B595" s="115" t="s">
        <v>254</v>
      </c>
      <c r="C595" s="115" t="s">
        <v>45</v>
      </c>
      <c r="D595" s="115" t="s">
        <v>150</v>
      </c>
      <c r="E595" s="115" t="s">
        <v>151</v>
      </c>
      <c r="F595" s="116">
        <v>250</v>
      </c>
      <c r="G595" s="116">
        <v>0</v>
      </c>
      <c r="H595" s="117">
        <f t="shared" si="18"/>
        <v>0</v>
      </c>
      <c r="I595" s="118" t="str">
        <f t="shared" si="19"/>
        <v>AR</v>
      </c>
    </row>
    <row r="596" spans="1:9" x14ac:dyDescent="0.3">
      <c r="A596" s="115" t="s">
        <v>246</v>
      </c>
      <c r="B596" s="115" t="s">
        <v>254</v>
      </c>
      <c r="C596" s="115" t="s">
        <v>45</v>
      </c>
      <c r="D596" s="115" t="s">
        <v>150</v>
      </c>
      <c r="E596" s="115" t="s">
        <v>151</v>
      </c>
      <c r="F596" s="116">
        <v>209</v>
      </c>
      <c r="G596" s="116">
        <v>0</v>
      </c>
      <c r="H596" s="117">
        <f t="shared" si="18"/>
        <v>0</v>
      </c>
      <c r="I596" s="118" t="str">
        <f t="shared" si="19"/>
        <v>AR</v>
      </c>
    </row>
    <row r="597" spans="1:9" x14ac:dyDescent="0.3">
      <c r="A597" s="115" t="s">
        <v>246</v>
      </c>
      <c r="B597" s="115" t="s">
        <v>254</v>
      </c>
      <c r="C597" s="115" t="s">
        <v>45</v>
      </c>
      <c r="D597" s="115" t="s">
        <v>150</v>
      </c>
      <c r="E597" s="115" t="s">
        <v>151</v>
      </c>
      <c r="F597" s="116">
        <v>431</v>
      </c>
      <c r="G597" s="116">
        <v>0</v>
      </c>
      <c r="H597" s="117">
        <f t="shared" si="18"/>
        <v>0</v>
      </c>
      <c r="I597" s="118" t="str">
        <f t="shared" si="19"/>
        <v>AR</v>
      </c>
    </row>
    <row r="598" spans="1:9" x14ac:dyDescent="0.3">
      <c r="A598" s="115" t="s">
        <v>246</v>
      </c>
      <c r="B598" s="115" t="s">
        <v>254</v>
      </c>
      <c r="C598" s="115" t="s">
        <v>45</v>
      </c>
      <c r="D598" s="115" t="s">
        <v>150</v>
      </c>
      <c r="E598" s="115" t="s">
        <v>151</v>
      </c>
      <c r="F598" s="116">
        <v>154</v>
      </c>
      <c r="G598" s="116">
        <v>0</v>
      </c>
      <c r="H598" s="117">
        <f t="shared" si="18"/>
        <v>0</v>
      </c>
      <c r="I598" s="118" t="str">
        <f t="shared" si="19"/>
        <v>AR</v>
      </c>
    </row>
    <row r="599" spans="1:9" x14ac:dyDescent="0.3">
      <c r="A599" s="115" t="s">
        <v>246</v>
      </c>
      <c r="B599" s="115" t="s">
        <v>254</v>
      </c>
      <c r="C599" s="115" t="s">
        <v>45</v>
      </c>
      <c r="D599" s="115" t="s">
        <v>127</v>
      </c>
      <c r="E599" s="115" t="s">
        <v>134</v>
      </c>
      <c r="F599" s="116">
        <v>733</v>
      </c>
      <c r="G599" s="116">
        <v>2</v>
      </c>
      <c r="H599" s="117">
        <f t="shared" si="18"/>
        <v>2.7285129604365621E-3</v>
      </c>
      <c r="I599" s="118" t="str">
        <f t="shared" si="19"/>
        <v>AR</v>
      </c>
    </row>
    <row r="600" spans="1:9" x14ac:dyDescent="0.3">
      <c r="A600" s="115" t="s">
        <v>246</v>
      </c>
      <c r="B600" s="115" t="s">
        <v>254</v>
      </c>
      <c r="C600" s="115" t="s">
        <v>45</v>
      </c>
      <c r="D600" s="115" t="s">
        <v>127</v>
      </c>
      <c r="E600" s="115" t="s">
        <v>134</v>
      </c>
      <c r="F600" s="116">
        <v>1665</v>
      </c>
      <c r="G600" s="116">
        <v>1</v>
      </c>
      <c r="H600" s="117">
        <f t="shared" si="18"/>
        <v>6.0060060060060057E-4</v>
      </c>
      <c r="I600" s="118" t="str">
        <f t="shared" si="19"/>
        <v>AR</v>
      </c>
    </row>
    <row r="601" spans="1:9" x14ac:dyDescent="0.3">
      <c r="A601" s="115" t="s">
        <v>246</v>
      </c>
      <c r="B601" s="115" t="s">
        <v>254</v>
      </c>
      <c r="C601" s="115" t="s">
        <v>45</v>
      </c>
      <c r="D601" s="115" t="s">
        <v>127</v>
      </c>
      <c r="E601" s="115" t="s">
        <v>134</v>
      </c>
      <c r="F601" s="116">
        <v>1446</v>
      </c>
      <c r="G601" s="116">
        <v>0</v>
      </c>
      <c r="H601" s="117">
        <f t="shared" si="18"/>
        <v>0</v>
      </c>
      <c r="I601" s="118" t="str">
        <f t="shared" si="19"/>
        <v>AR</v>
      </c>
    </row>
    <row r="602" spans="1:9" x14ac:dyDescent="0.3">
      <c r="A602" s="115" t="s">
        <v>246</v>
      </c>
      <c r="B602" s="115" t="s">
        <v>254</v>
      </c>
      <c r="C602" s="115" t="s">
        <v>45</v>
      </c>
      <c r="D602" s="115" t="s">
        <v>127</v>
      </c>
      <c r="E602" s="115" t="s">
        <v>134</v>
      </c>
      <c r="F602" s="116">
        <v>5262</v>
      </c>
      <c r="G602" s="116">
        <v>1</v>
      </c>
      <c r="H602" s="117">
        <f t="shared" si="18"/>
        <v>1.9004180919802356E-4</v>
      </c>
      <c r="I602" s="118" t="str">
        <f t="shared" si="19"/>
        <v>AR</v>
      </c>
    </row>
    <row r="603" spans="1:9" x14ac:dyDescent="0.3">
      <c r="A603" s="115" t="s">
        <v>246</v>
      </c>
      <c r="B603" s="115" t="s">
        <v>254</v>
      </c>
      <c r="C603" s="115" t="s">
        <v>45</v>
      </c>
      <c r="D603" s="115" t="s">
        <v>127</v>
      </c>
      <c r="E603" s="115" t="s">
        <v>134</v>
      </c>
      <c r="F603" s="116">
        <v>2401</v>
      </c>
      <c r="G603" s="116">
        <v>2</v>
      </c>
      <c r="H603" s="117">
        <f t="shared" si="18"/>
        <v>8.3298625572678054E-4</v>
      </c>
      <c r="I603" s="118" t="str">
        <f t="shared" si="19"/>
        <v>AR</v>
      </c>
    </row>
    <row r="604" spans="1:9" x14ac:dyDescent="0.3">
      <c r="A604" s="115" t="s">
        <v>246</v>
      </c>
      <c r="B604" s="115" t="s">
        <v>255</v>
      </c>
      <c r="C604" s="115" t="s">
        <v>45</v>
      </c>
      <c r="D604" s="115" t="s">
        <v>150</v>
      </c>
      <c r="E604" s="115" t="s">
        <v>151</v>
      </c>
      <c r="F604" s="116">
        <v>1247</v>
      </c>
      <c r="G604" s="116">
        <v>0</v>
      </c>
      <c r="H604" s="117">
        <f t="shared" si="18"/>
        <v>0</v>
      </c>
      <c r="I604" s="118" t="str">
        <f t="shared" si="19"/>
        <v>AR</v>
      </c>
    </row>
    <row r="605" spans="1:9" x14ac:dyDescent="0.3">
      <c r="A605" s="115" t="s">
        <v>246</v>
      </c>
      <c r="B605" s="115" t="s">
        <v>255</v>
      </c>
      <c r="C605" s="115" t="s">
        <v>45</v>
      </c>
      <c r="D605" s="115" t="s">
        <v>150</v>
      </c>
      <c r="E605" s="115" t="s">
        <v>151</v>
      </c>
      <c r="F605" s="116">
        <v>1285</v>
      </c>
      <c r="G605" s="116">
        <v>0</v>
      </c>
      <c r="H605" s="117">
        <f t="shared" si="18"/>
        <v>0</v>
      </c>
      <c r="I605" s="118" t="str">
        <f t="shared" si="19"/>
        <v>AR</v>
      </c>
    </row>
    <row r="606" spans="1:9" x14ac:dyDescent="0.3">
      <c r="A606" s="115" t="s">
        <v>246</v>
      </c>
      <c r="B606" s="115" t="s">
        <v>255</v>
      </c>
      <c r="C606" s="115" t="s">
        <v>45</v>
      </c>
      <c r="D606" s="115" t="s">
        <v>150</v>
      </c>
      <c r="E606" s="115" t="s">
        <v>151</v>
      </c>
      <c r="F606" s="116">
        <v>1602</v>
      </c>
      <c r="G606" s="116">
        <v>0</v>
      </c>
      <c r="H606" s="117">
        <f t="shared" si="18"/>
        <v>0</v>
      </c>
      <c r="I606" s="118" t="str">
        <f t="shared" si="19"/>
        <v>AR</v>
      </c>
    </row>
    <row r="607" spans="1:9" x14ac:dyDescent="0.3">
      <c r="A607" s="115" t="s">
        <v>246</v>
      </c>
      <c r="B607" s="115" t="s">
        <v>255</v>
      </c>
      <c r="C607" s="115" t="s">
        <v>45</v>
      </c>
      <c r="D607" s="115" t="s">
        <v>150</v>
      </c>
      <c r="E607" s="115" t="s">
        <v>151</v>
      </c>
      <c r="F607" s="116">
        <v>1932</v>
      </c>
      <c r="G607" s="116">
        <v>0</v>
      </c>
      <c r="H607" s="117">
        <f t="shared" si="18"/>
        <v>0</v>
      </c>
      <c r="I607" s="118" t="str">
        <f t="shared" si="19"/>
        <v>AR</v>
      </c>
    </row>
    <row r="608" spans="1:9" x14ac:dyDescent="0.3">
      <c r="A608" s="115" t="s">
        <v>246</v>
      </c>
      <c r="B608" s="115" t="s">
        <v>255</v>
      </c>
      <c r="C608" s="115" t="s">
        <v>45</v>
      </c>
      <c r="D608" s="115" t="s">
        <v>150</v>
      </c>
      <c r="E608" s="115" t="s">
        <v>151</v>
      </c>
      <c r="F608" s="116">
        <v>1044</v>
      </c>
      <c r="G608" s="116">
        <v>0</v>
      </c>
      <c r="H608" s="117">
        <f t="shared" si="18"/>
        <v>0</v>
      </c>
      <c r="I608" s="118" t="str">
        <f t="shared" si="19"/>
        <v>AR</v>
      </c>
    </row>
    <row r="609" spans="1:9" x14ac:dyDescent="0.3">
      <c r="A609" s="115" t="s">
        <v>246</v>
      </c>
      <c r="B609" s="115" t="s">
        <v>255</v>
      </c>
      <c r="C609" s="115" t="s">
        <v>45</v>
      </c>
      <c r="D609" s="115" t="s">
        <v>127</v>
      </c>
      <c r="E609" s="115" t="s">
        <v>134</v>
      </c>
      <c r="F609" s="116">
        <v>7996</v>
      </c>
      <c r="G609" s="116">
        <v>11</v>
      </c>
      <c r="H609" s="117">
        <f t="shared" si="18"/>
        <v>1.375687843921961E-3</v>
      </c>
      <c r="I609" s="118" t="str">
        <f t="shared" si="19"/>
        <v>AR</v>
      </c>
    </row>
    <row r="610" spans="1:9" x14ac:dyDescent="0.3">
      <c r="A610" s="115" t="s">
        <v>246</v>
      </c>
      <c r="B610" s="115" t="s">
        <v>255</v>
      </c>
      <c r="C610" s="115" t="s">
        <v>45</v>
      </c>
      <c r="D610" s="115" t="s">
        <v>127</v>
      </c>
      <c r="E610" s="115" t="s">
        <v>134</v>
      </c>
      <c r="F610" s="116">
        <v>9271</v>
      </c>
      <c r="G610" s="116">
        <v>17</v>
      </c>
      <c r="H610" s="117">
        <f t="shared" si="18"/>
        <v>1.8336749002265129E-3</v>
      </c>
      <c r="I610" s="118" t="str">
        <f t="shared" si="19"/>
        <v>AR</v>
      </c>
    </row>
    <row r="611" spans="1:9" x14ac:dyDescent="0.3">
      <c r="A611" s="115" t="s">
        <v>246</v>
      </c>
      <c r="B611" s="115" t="s">
        <v>255</v>
      </c>
      <c r="C611" s="115" t="s">
        <v>45</v>
      </c>
      <c r="D611" s="115" t="s">
        <v>127</v>
      </c>
      <c r="E611" s="115" t="s">
        <v>134</v>
      </c>
      <c r="F611" s="116">
        <v>10288</v>
      </c>
      <c r="G611" s="116">
        <v>24</v>
      </c>
      <c r="H611" s="117">
        <f t="shared" si="18"/>
        <v>2.3328149300155523E-3</v>
      </c>
      <c r="I611" s="118" t="str">
        <f t="shared" si="19"/>
        <v>AR</v>
      </c>
    </row>
    <row r="612" spans="1:9" x14ac:dyDescent="0.3">
      <c r="A612" s="115" t="s">
        <v>246</v>
      </c>
      <c r="B612" s="115" t="s">
        <v>255</v>
      </c>
      <c r="C612" s="115" t="s">
        <v>45</v>
      </c>
      <c r="D612" s="115" t="s">
        <v>127</v>
      </c>
      <c r="E612" s="115" t="s">
        <v>134</v>
      </c>
      <c r="F612" s="116">
        <v>24345</v>
      </c>
      <c r="G612" s="116">
        <v>30</v>
      </c>
      <c r="H612" s="117">
        <f t="shared" si="18"/>
        <v>1.2322858903265558E-3</v>
      </c>
      <c r="I612" s="118" t="str">
        <f t="shared" si="19"/>
        <v>AR</v>
      </c>
    </row>
    <row r="613" spans="1:9" x14ac:dyDescent="0.3">
      <c r="A613" s="115" t="s">
        <v>246</v>
      </c>
      <c r="B613" s="115" t="s">
        <v>255</v>
      </c>
      <c r="C613" s="115" t="s">
        <v>45</v>
      </c>
      <c r="D613" s="115" t="s">
        <v>127</v>
      </c>
      <c r="E613" s="115" t="s">
        <v>134</v>
      </c>
      <c r="F613" s="116">
        <v>11460</v>
      </c>
      <c r="G613" s="116">
        <v>10</v>
      </c>
      <c r="H613" s="117">
        <f t="shared" si="18"/>
        <v>8.7260034904013963E-4</v>
      </c>
      <c r="I613" s="118" t="str">
        <f t="shared" si="19"/>
        <v>AR</v>
      </c>
    </row>
    <row r="614" spans="1:9" x14ac:dyDescent="0.3">
      <c r="A614" s="115" t="s">
        <v>246</v>
      </c>
      <c r="B614" s="115" t="s">
        <v>256</v>
      </c>
      <c r="C614" s="115" t="s">
        <v>45</v>
      </c>
      <c r="D614" s="115" t="s">
        <v>150</v>
      </c>
      <c r="E614" s="115" t="s">
        <v>151</v>
      </c>
      <c r="F614" s="116">
        <v>131</v>
      </c>
      <c r="G614" s="116">
        <v>0</v>
      </c>
      <c r="H614" s="117">
        <f t="shared" si="18"/>
        <v>0</v>
      </c>
      <c r="I614" s="118" t="str">
        <f t="shared" si="19"/>
        <v>AR</v>
      </c>
    </row>
    <row r="615" spans="1:9" x14ac:dyDescent="0.3">
      <c r="A615" s="115" t="s">
        <v>246</v>
      </c>
      <c r="B615" s="115" t="s">
        <v>256</v>
      </c>
      <c r="C615" s="115" t="s">
        <v>45</v>
      </c>
      <c r="D615" s="115" t="s">
        <v>150</v>
      </c>
      <c r="E615" s="115" t="s">
        <v>151</v>
      </c>
      <c r="F615" s="116">
        <v>280</v>
      </c>
      <c r="G615" s="116">
        <v>0</v>
      </c>
      <c r="H615" s="117">
        <f t="shared" si="18"/>
        <v>0</v>
      </c>
      <c r="I615" s="118" t="str">
        <f t="shared" si="19"/>
        <v>AR</v>
      </c>
    </row>
    <row r="616" spans="1:9" x14ac:dyDescent="0.3">
      <c r="A616" s="115" t="s">
        <v>246</v>
      </c>
      <c r="B616" s="115" t="s">
        <v>256</v>
      </c>
      <c r="C616" s="115" t="s">
        <v>45</v>
      </c>
      <c r="D616" s="115" t="s">
        <v>150</v>
      </c>
      <c r="E616" s="115" t="s">
        <v>151</v>
      </c>
      <c r="F616" s="116">
        <v>215</v>
      </c>
      <c r="G616" s="116">
        <v>0</v>
      </c>
      <c r="H616" s="117">
        <f t="shared" si="18"/>
        <v>0</v>
      </c>
      <c r="I616" s="118" t="str">
        <f t="shared" si="19"/>
        <v>AR</v>
      </c>
    </row>
    <row r="617" spans="1:9" x14ac:dyDescent="0.3">
      <c r="A617" s="115" t="s">
        <v>246</v>
      </c>
      <c r="B617" s="115" t="s">
        <v>256</v>
      </c>
      <c r="C617" s="115" t="s">
        <v>45</v>
      </c>
      <c r="D617" s="115" t="s">
        <v>150</v>
      </c>
      <c r="E617" s="115" t="s">
        <v>151</v>
      </c>
      <c r="F617" s="116">
        <v>416</v>
      </c>
      <c r="G617" s="116">
        <v>0</v>
      </c>
      <c r="H617" s="117">
        <f t="shared" si="18"/>
        <v>0</v>
      </c>
      <c r="I617" s="118" t="str">
        <f t="shared" si="19"/>
        <v>AR</v>
      </c>
    </row>
    <row r="618" spans="1:9" x14ac:dyDescent="0.3">
      <c r="A618" s="115" t="s">
        <v>246</v>
      </c>
      <c r="B618" s="115" t="s">
        <v>256</v>
      </c>
      <c r="C618" s="115" t="s">
        <v>45</v>
      </c>
      <c r="D618" s="115" t="s">
        <v>150</v>
      </c>
      <c r="E618" s="115" t="s">
        <v>151</v>
      </c>
      <c r="F618" s="116">
        <v>171</v>
      </c>
      <c r="G618" s="116">
        <v>0</v>
      </c>
      <c r="H618" s="117">
        <f t="shared" si="18"/>
        <v>0</v>
      </c>
      <c r="I618" s="118" t="str">
        <f t="shared" si="19"/>
        <v>AR</v>
      </c>
    </row>
    <row r="619" spans="1:9" x14ac:dyDescent="0.3">
      <c r="A619" s="115" t="s">
        <v>246</v>
      </c>
      <c r="B619" s="115" t="s">
        <v>256</v>
      </c>
      <c r="C619" s="115" t="s">
        <v>45</v>
      </c>
      <c r="D619" s="115" t="s">
        <v>127</v>
      </c>
      <c r="E619" s="115" t="s">
        <v>134</v>
      </c>
      <c r="F619" s="116">
        <v>747</v>
      </c>
      <c r="G619" s="116">
        <v>2</v>
      </c>
      <c r="H619" s="117">
        <f t="shared" si="18"/>
        <v>2.6773761713520749E-3</v>
      </c>
      <c r="I619" s="118" t="str">
        <f t="shared" si="19"/>
        <v>AR</v>
      </c>
    </row>
    <row r="620" spans="1:9" x14ac:dyDescent="0.3">
      <c r="A620" s="115" t="s">
        <v>246</v>
      </c>
      <c r="B620" s="115" t="s">
        <v>256</v>
      </c>
      <c r="C620" s="115" t="s">
        <v>45</v>
      </c>
      <c r="D620" s="115" t="s">
        <v>127</v>
      </c>
      <c r="E620" s="115" t="s">
        <v>134</v>
      </c>
      <c r="F620" s="116">
        <v>1632</v>
      </c>
      <c r="G620" s="116">
        <v>1</v>
      </c>
      <c r="H620" s="117">
        <f t="shared" si="18"/>
        <v>6.1274509803921568E-4</v>
      </c>
      <c r="I620" s="118" t="str">
        <f t="shared" si="19"/>
        <v>AR</v>
      </c>
    </row>
    <row r="621" spans="1:9" x14ac:dyDescent="0.3">
      <c r="A621" s="115" t="s">
        <v>246</v>
      </c>
      <c r="B621" s="115" t="s">
        <v>256</v>
      </c>
      <c r="C621" s="115" t="s">
        <v>45</v>
      </c>
      <c r="D621" s="115" t="s">
        <v>127</v>
      </c>
      <c r="E621" s="115" t="s">
        <v>134</v>
      </c>
      <c r="F621" s="116">
        <v>1452</v>
      </c>
      <c r="G621" s="116">
        <v>2</v>
      </c>
      <c r="H621" s="117">
        <f t="shared" si="18"/>
        <v>1.3774104683195593E-3</v>
      </c>
      <c r="I621" s="118" t="str">
        <f t="shared" si="19"/>
        <v>AR</v>
      </c>
    </row>
    <row r="622" spans="1:9" x14ac:dyDescent="0.3">
      <c r="A622" s="115" t="s">
        <v>246</v>
      </c>
      <c r="B622" s="115" t="s">
        <v>256</v>
      </c>
      <c r="C622" s="115" t="s">
        <v>45</v>
      </c>
      <c r="D622" s="115" t="s">
        <v>127</v>
      </c>
      <c r="E622" s="115" t="s">
        <v>134</v>
      </c>
      <c r="F622" s="116">
        <v>5307</v>
      </c>
      <c r="G622" s="116">
        <v>3</v>
      </c>
      <c r="H622" s="117">
        <f t="shared" si="18"/>
        <v>5.6529112492933857E-4</v>
      </c>
      <c r="I622" s="118" t="str">
        <f t="shared" si="19"/>
        <v>AR</v>
      </c>
    </row>
    <row r="623" spans="1:9" x14ac:dyDescent="0.3">
      <c r="A623" s="115" t="s">
        <v>246</v>
      </c>
      <c r="B623" s="115" t="s">
        <v>256</v>
      </c>
      <c r="C623" s="115" t="s">
        <v>45</v>
      </c>
      <c r="D623" s="115" t="s">
        <v>127</v>
      </c>
      <c r="E623" s="115" t="s">
        <v>134</v>
      </c>
      <c r="F623" s="116">
        <v>2476</v>
      </c>
      <c r="G623" s="116">
        <v>1</v>
      </c>
      <c r="H623" s="117">
        <f t="shared" si="18"/>
        <v>4.0387722132471731E-4</v>
      </c>
      <c r="I623" s="118" t="str">
        <f t="shared" si="19"/>
        <v>AR</v>
      </c>
    </row>
    <row r="624" spans="1:9" x14ac:dyDescent="0.3">
      <c r="A624" s="115" t="s">
        <v>246</v>
      </c>
      <c r="B624" s="115" t="s">
        <v>257</v>
      </c>
      <c r="C624" s="115" t="s">
        <v>45</v>
      </c>
      <c r="D624" s="115" t="s">
        <v>150</v>
      </c>
      <c r="E624" s="115" t="s">
        <v>151</v>
      </c>
      <c r="F624" s="116">
        <v>151</v>
      </c>
      <c r="G624" s="116">
        <v>0</v>
      </c>
      <c r="H624" s="117">
        <f t="shared" si="18"/>
        <v>0</v>
      </c>
      <c r="I624" s="118" t="str">
        <f t="shared" si="19"/>
        <v>AR</v>
      </c>
    </row>
    <row r="625" spans="1:9" x14ac:dyDescent="0.3">
      <c r="A625" s="115" t="s">
        <v>246</v>
      </c>
      <c r="B625" s="115" t="s">
        <v>257</v>
      </c>
      <c r="C625" s="115" t="s">
        <v>45</v>
      </c>
      <c r="D625" s="115" t="s">
        <v>150</v>
      </c>
      <c r="E625" s="115" t="s">
        <v>151</v>
      </c>
      <c r="F625" s="116">
        <v>246</v>
      </c>
      <c r="G625" s="116">
        <v>0</v>
      </c>
      <c r="H625" s="117">
        <f t="shared" si="18"/>
        <v>0</v>
      </c>
      <c r="I625" s="118" t="str">
        <f t="shared" si="19"/>
        <v>AR</v>
      </c>
    </row>
    <row r="626" spans="1:9" x14ac:dyDescent="0.3">
      <c r="A626" s="115" t="s">
        <v>246</v>
      </c>
      <c r="B626" s="115" t="s">
        <v>257</v>
      </c>
      <c r="C626" s="115" t="s">
        <v>45</v>
      </c>
      <c r="D626" s="115" t="s">
        <v>150</v>
      </c>
      <c r="E626" s="115" t="s">
        <v>151</v>
      </c>
      <c r="F626" s="116">
        <v>249</v>
      </c>
      <c r="G626" s="116">
        <v>0</v>
      </c>
      <c r="H626" s="117">
        <f t="shared" si="18"/>
        <v>0</v>
      </c>
      <c r="I626" s="118" t="str">
        <f t="shared" si="19"/>
        <v>AR</v>
      </c>
    </row>
    <row r="627" spans="1:9" x14ac:dyDescent="0.3">
      <c r="A627" s="115" t="s">
        <v>246</v>
      </c>
      <c r="B627" s="115" t="s">
        <v>257</v>
      </c>
      <c r="C627" s="115" t="s">
        <v>45</v>
      </c>
      <c r="D627" s="115" t="s">
        <v>150</v>
      </c>
      <c r="E627" s="115" t="s">
        <v>151</v>
      </c>
      <c r="F627" s="116">
        <v>435</v>
      </c>
      <c r="G627" s="116">
        <v>0</v>
      </c>
      <c r="H627" s="117">
        <f t="shared" si="18"/>
        <v>0</v>
      </c>
      <c r="I627" s="118" t="str">
        <f t="shared" si="19"/>
        <v>AR</v>
      </c>
    </row>
    <row r="628" spans="1:9" x14ac:dyDescent="0.3">
      <c r="A628" s="115" t="s">
        <v>246</v>
      </c>
      <c r="B628" s="115" t="s">
        <v>257</v>
      </c>
      <c r="C628" s="115" t="s">
        <v>45</v>
      </c>
      <c r="D628" s="115" t="s">
        <v>150</v>
      </c>
      <c r="E628" s="115" t="s">
        <v>151</v>
      </c>
      <c r="F628" s="116">
        <v>186</v>
      </c>
      <c r="G628" s="116">
        <v>0</v>
      </c>
      <c r="H628" s="117">
        <f t="shared" si="18"/>
        <v>0</v>
      </c>
      <c r="I628" s="118" t="str">
        <f t="shared" si="19"/>
        <v>AR</v>
      </c>
    </row>
    <row r="629" spans="1:9" x14ac:dyDescent="0.3">
      <c r="A629" s="115" t="s">
        <v>246</v>
      </c>
      <c r="B629" s="115" t="s">
        <v>257</v>
      </c>
      <c r="C629" s="115" t="s">
        <v>45</v>
      </c>
      <c r="D629" s="115" t="s">
        <v>127</v>
      </c>
      <c r="E629" s="115" t="s">
        <v>134</v>
      </c>
      <c r="F629" s="116">
        <v>769</v>
      </c>
      <c r="G629" s="116">
        <v>1</v>
      </c>
      <c r="H629" s="117">
        <f t="shared" si="18"/>
        <v>1.3003901170351106E-3</v>
      </c>
      <c r="I629" s="118" t="str">
        <f t="shared" si="19"/>
        <v>AR</v>
      </c>
    </row>
    <row r="630" spans="1:9" x14ac:dyDescent="0.3">
      <c r="A630" s="115" t="s">
        <v>246</v>
      </c>
      <c r="B630" s="115" t="s">
        <v>257</v>
      </c>
      <c r="C630" s="115" t="s">
        <v>45</v>
      </c>
      <c r="D630" s="115" t="s">
        <v>127</v>
      </c>
      <c r="E630" s="115" t="s">
        <v>134</v>
      </c>
      <c r="F630" s="116">
        <v>1604</v>
      </c>
      <c r="G630" s="116">
        <v>4</v>
      </c>
      <c r="H630" s="117">
        <f t="shared" si="18"/>
        <v>2.4937655860349127E-3</v>
      </c>
      <c r="I630" s="118" t="str">
        <f t="shared" si="19"/>
        <v>AR</v>
      </c>
    </row>
    <row r="631" spans="1:9" x14ac:dyDescent="0.3">
      <c r="A631" s="115" t="s">
        <v>246</v>
      </c>
      <c r="B631" s="115" t="s">
        <v>257</v>
      </c>
      <c r="C631" s="115" t="s">
        <v>45</v>
      </c>
      <c r="D631" s="115" t="s">
        <v>127</v>
      </c>
      <c r="E631" s="115" t="s">
        <v>134</v>
      </c>
      <c r="F631" s="116">
        <v>1492</v>
      </c>
      <c r="G631" s="116">
        <v>2</v>
      </c>
      <c r="H631" s="117">
        <f t="shared" si="18"/>
        <v>1.3404825737265416E-3</v>
      </c>
      <c r="I631" s="118" t="str">
        <f t="shared" si="19"/>
        <v>AR</v>
      </c>
    </row>
    <row r="632" spans="1:9" x14ac:dyDescent="0.3">
      <c r="A632" s="115" t="s">
        <v>246</v>
      </c>
      <c r="B632" s="115" t="s">
        <v>257</v>
      </c>
      <c r="C632" s="115" t="s">
        <v>45</v>
      </c>
      <c r="D632" s="115" t="s">
        <v>127</v>
      </c>
      <c r="E632" s="115" t="s">
        <v>134</v>
      </c>
      <c r="F632" s="116">
        <v>5182</v>
      </c>
      <c r="G632" s="116">
        <v>2</v>
      </c>
      <c r="H632" s="117">
        <f t="shared" si="18"/>
        <v>3.8595137012736397E-4</v>
      </c>
      <c r="I632" s="118" t="str">
        <f t="shared" si="19"/>
        <v>AR</v>
      </c>
    </row>
    <row r="633" spans="1:9" x14ac:dyDescent="0.3">
      <c r="A633" s="115" t="s">
        <v>246</v>
      </c>
      <c r="B633" s="115" t="s">
        <v>257</v>
      </c>
      <c r="C633" s="115" t="s">
        <v>45</v>
      </c>
      <c r="D633" s="115" t="s">
        <v>127</v>
      </c>
      <c r="E633" s="115" t="s">
        <v>134</v>
      </c>
      <c r="F633" s="116">
        <v>2442</v>
      </c>
      <c r="G633" s="116">
        <v>2</v>
      </c>
      <c r="H633" s="117">
        <f t="shared" si="18"/>
        <v>8.1900081900081905E-4</v>
      </c>
      <c r="I633" s="118" t="str">
        <f t="shared" si="19"/>
        <v>AR</v>
      </c>
    </row>
    <row r="634" spans="1:9" x14ac:dyDescent="0.3">
      <c r="A634" s="115" t="s">
        <v>246</v>
      </c>
      <c r="B634" s="115" t="s">
        <v>258</v>
      </c>
      <c r="C634" s="115" t="s">
        <v>45</v>
      </c>
      <c r="D634" s="115" t="s">
        <v>150</v>
      </c>
      <c r="E634" s="115" t="s">
        <v>151</v>
      </c>
      <c r="F634" s="116">
        <v>152</v>
      </c>
      <c r="G634" s="116">
        <v>0</v>
      </c>
      <c r="H634" s="117">
        <f t="shared" si="18"/>
        <v>0</v>
      </c>
      <c r="I634" s="118" t="str">
        <f t="shared" si="19"/>
        <v>AR</v>
      </c>
    </row>
    <row r="635" spans="1:9" x14ac:dyDescent="0.3">
      <c r="A635" s="115" t="s">
        <v>246</v>
      </c>
      <c r="B635" s="115" t="s">
        <v>258</v>
      </c>
      <c r="C635" s="115" t="s">
        <v>45</v>
      </c>
      <c r="D635" s="115" t="s">
        <v>150</v>
      </c>
      <c r="E635" s="115" t="s">
        <v>151</v>
      </c>
      <c r="F635" s="116">
        <v>272</v>
      </c>
      <c r="G635" s="116">
        <v>0</v>
      </c>
      <c r="H635" s="117">
        <f t="shared" si="18"/>
        <v>0</v>
      </c>
      <c r="I635" s="118" t="str">
        <f t="shared" si="19"/>
        <v>AR</v>
      </c>
    </row>
    <row r="636" spans="1:9" x14ac:dyDescent="0.3">
      <c r="A636" s="115" t="s">
        <v>246</v>
      </c>
      <c r="B636" s="115" t="s">
        <v>258</v>
      </c>
      <c r="C636" s="115" t="s">
        <v>45</v>
      </c>
      <c r="D636" s="115" t="s">
        <v>150</v>
      </c>
      <c r="E636" s="115" t="s">
        <v>151</v>
      </c>
      <c r="F636" s="116">
        <v>255</v>
      </c>
      <c r="G636" s="116">
        <v>0</v>
      </c>
      <c r="H636" s="117">
        <f t="shared" si="18"/>
        <v>0</v>
      </c>
      <c r="I636" s="118" t="str">
        <f t="shared" si="19"/>
        <v>AR</v>
      </c>
    </row>
    <row r="637" spans="1:9" x14ac:dyDescent="0.3">
      <c r="A637" s="115" t="s">
        <v>246</v>
      </c>
      <c r="B637" s="115" t="s">
        <v>258</v>
      </c>
      <c r="C637" s="115" t="s">
        <v>45</v>
      </c>
      <c r="D637" s="115" t="s">
        <v>150</v>
      </c>
      <c r="E637" s="115" t="s">
        <v>151</v>
      </c>
      <c r="F637" s="116">
        <v>402</v>
      </c>
      <c r="G637" s="116">
        <v>0</v>
      </c>
      <c r="H637" s="117">
        <f t="shared" si="18"/>
        <v>0</v>
      </c>
      <c r="I637" s="118" t="str">
        <f t="shared" si="19"/>
        <v>AR</v>
      </c>
    </row>
    <row r="638" spans="1:9" x14ac:dyDescent="0.3">
      <c r="A638" s="115" t="s">
        <v>246</v>
      </c>
      <c r="B638" s="115" t="s">
        <v>258</v>
      </c>
      <c r="C638" s="115" t="s">
        <v>45</v>
      </c>
      <c r="D638" s="115" t="s">
        <v>150</v>
      </c>
      <c r="E638" s="115" t="s">
        <v>151</v>
      </c>
      <c r="F638" s="116">
        <v>160</v>
      </c>
      <c r="G638" s="116">
        <v>0</v>
      </c>
      <c r="H638" s="117">
        <f t="shared" si="18"/>
        <v>0</v>
      </c>
      <c r="I638" s="118" t="str">
        <f t="shared" si="19"/>
        <v>AR</v>
      </c>
    </row>
    <row r="639" spans="1:9" x14ac:dyDescent="0.3">
      <c r="A639" s="115" t="s">
        <v>246</v>
      </c>
      <c r="B639" s="115" t="s">
        <v>258</v>
      </c>
      <c r="C639" s="115" t="s">
        <v>45</v>
      </c>
      <c r="D639" s="115" t="s">
        <v>127</v>
      </c>
      <c r="E639" s="115" t="s">
        <v>134</v>
      </c>
      <c r="F639" s="116">
        <v>753</v>
      </c>
      <c r="G639" s="116">
        <v>3</v>
      </c>
      <c r="H639" s="117">
        <f t="shared" si="18"/>
        <v>3.9840637450199202E-3</v>
      </c>
      <c r="I639" s="118" t="str">
        <f t="shared" si="19"/>
        <v>AR</v>
      </c>
    </row>
    <row r="640" spans="1:9" x14ac:dyDescent="0.3">
      <c r="A640" s="115" t="s">
        <v>246</v>
      </c>
      <c r="B640" s="115" t="s">
        <v>258</v>
      </c>
      <c r="C640" s="115" t="s">
        <v>45</v>
      </c>
      <c r="D640" s="115" t="s">
        <v>127</v>
      </c>
      <c r="E640" s="115" t="s">
        <v>134</v>
      </c>
      <c r="F640" s="116">
        <v>1759</v>
      </c>
      <c r="G640" s="116">
        <v>4</v>
      </c>
      <c r="H640" s="117">
        <f t="shared" si="18"/>
        <v>2.2740193291642978E-3</v>
      </c>
      <c r="I640" s="118" t="str">
        <f t="shared" si="19"/>
        <v>AR</v>
      </c>
    </row>
    <row r="641" spans="1:9" x14ac:dyDescent="0.3">
      <c r="A641" s="115" t="s">
        <v>246</v>
      </c>
      <c r="B641" s="115" t="s">
        <v>258</v>
      </c>
      <c r="C641" s="115" t="s">
        <v>45</v>
      </c>
      <c r="D641" s="115" t="s">
        <v>127</v>
      </c>
      <c r="E641" s="115" t="s">
        <v>134</v>
      </c>
      <c r="F641" s="116">
        <v>1489</v>
      </c>
      <c r="G641" s="116">
        <v>0</v>
      </c>
      <c r="H641" s="117">
        <f t="shared" si="18"/>
        <v>0</v>
      </c>
      <c r="I641" s="118" t="str">
        <f t="shared" si="19"/>
        <v>AR</v>
      </c>
    </row>
    <row r="642" spans="1:9" x14ac:dyDescent="0.3">
      <c r="A642" s="115" t="s">
        <v>246</v>
      </c>
      <c r="B642" s="115" t="s">
        <v>258</v>
      </c>
      <c r="C642" s="115" t="s">
        <v>45</v>
      </c>
      <c r="D642" s="115" t="s">
        <v>127</v>
      </c>
      <c r="E642" s="115" t="s">
        <v>134</v>
      </c>
      <c r="F642" s="116">
        <v>5225</v>
      </c>
      <c r="G642" s="116">
        <v>3</v>
      </c>
      <c r="H642" s="117">
        <f t="shared" si="18"/>
        <v>5.7416267942583734E-4</v>
      </c>
      <c r="I642" s="118" t="str">
        <f t="shared" si="19"/>
        <v>AR</v>
      </c>
    </row>
    <row r="643" spans="1:9" x14ac:dyDescent="0.3">
      <c r="A643" s="115" t="s">
        <v>246</v>
      </c>
      <c r="B643" s="115" t="s">
        <v>258</v>
      </c>
      <c r="C643" s="115" t="s">
        <v>45</v>
      </c>
      <c r="D643" s="115" t="s">
        <v>127</v>
      </c>
      <c r="E643" s="115" t="s">
        <v>134</v>
      </c>
      <c r="F643" s="116">
        <v>2409</v>
      </c>
      <c r="G643" s="116">
        <v>0</v>
      </c>
      <c r="H643" s="117">
        <f t="shared" ref="H643:H706" si="20">G643/F643</f>
        <v>0</v>
      </c>
      <c r="I643" s="118" t="str">
        <f t="shared" ref="I643:I706" si="21">RIGHT(B643,2)</f>
        <v>AR</v>
      </c>
    </row>
    <row r="644" spans="1:9" x14ac:dyDescent="0.3">
      <c r="A644" s="115" t="s">
        <v>246</v>
      </c>
      <c r="B644" s="115" t="s">
        <v>259</v>
      </c>
      <c r="C644" s="115" t="s">
        <v>45</v>
      </c>
      <c r="D644" s="115" t="s">
        <v>150</v>
      </c>
      <c r="E644" s="115" t="s">
        <v>151</v>
      </c>
      <c r="F644" s="116">
        <v>578</v>
      </c>
      <c r="G644" s="116">
        <v>0</v>
      </c>
      <c r="H644" s="117">
        <f t="shared" si="20"/>
        <v>0</v>
      </c>
      <c r="I644" s="118" t="str">
        <f t="shared" si="21"/>
        <v>AR</v>
      </c>
    </row>
    <row r="645" spans="1:9" x14ac:dyDescent="0.3">
      <c r="A645" s="115" t="s">
        <v>246</v>
      </c>
      <c r="B645" s="115" t="s">
        <v>259</v>
      </c>
      <c r="C645" s="115" t="s">
        <v>45</v>
      </c>
      <c r="D645" s="115" t="s">
        <v>150</v>
      </c>
      <c r="E645" s="115" t="s">
        <v>151</v>
      </c>
      <c r="F645" s="116">
        <v>1401</v>
      </c>
      <c r="G645" s="116">
        <v>0</v>
      </c>
      <c r="H645" s="117">
        <f t="shared" si="20"/>
        <v>0</v>
      </c>
      <c r="I645" s="118" t="str">
        <f t="shared" si="21"/>
        <v>AR</v>
      </c>
    </row>
    <row r="646" spans="1:9" x14ac:dyDescent="0.3">
      <c r="A646" s="115" t="s">
        <v>246</v>
      </c>
      <c r="B646" s="115" t="s">
        <v>259</v>
      </c>
      <c r="C646" s="115" t="s">
        <v>45</v>
      </c>
      <c r="D646" s="115" t="s">
        <v>150</v>
      </c>
      <c r="E646" s="115" t="s">
        <v>151</v>
      </c>
      <c r="F646" s="116">
        <v>1205</v>
      </c>
      <c r="G646" s="116">
        <v>0</v>
      </c>
      <c r="H646" s="117">
        <f t="shared" si="20"/>
        <v>0</v>
      </c>
      <c r="I646" s="118" t="str">
        <f t="shared" si="21"/>
        <v>AR</v>
      </c>
    </row>
    <row r="647" spans="1:9" x14ac:dyDescent="0.3">
      <c r="A647" s="115" t="s">
        <v>246</v>
      </c>
      <c r="B647" s="115" t="s">
        <v>259</v>
      </c>
      <c r="C647" s="115" t="s">
        <v>45</v>
      </c>
      <c r="D647" s="115" t="s">
        <v>150</v>
      </c>
      <c r="E647" s="115" t="s">
        <v>151</v>
      </c>
      <c r="F647" s="116">
        <v>1161</v>
      </c>
      <c r="G647" s="116">
        <v>0</v>
      </c>
      <c r="H647" s="117">
        <f t="shared" si="20"/>
        <v>0</v>
      </c>
      <c r="I647" s="118" t="str">
        <f t="shared" si="21"/>
        <v>AR</v>
      </c>
    </row>
    <row r="648" spans="1:9" x14ac:dyDescent="0.3">
      <c r="A648" s="115" t="s">
        <v>246</v>
      </c>
      <c r="B648" s="115" t="s">
        <v>259</v>
      </c>
      <c r="C648" s="115" t="s">
        <v>45</v>
      </c>
      <c r="D648" s="115" t="s">
        <v>150</v>
      </c>
      <c r="E648" s="115" t="s">
        <v>151</v>
      </c>
      <c r="F648" s="116">
        <v>843</v>
      </c>
      <c r="G648" s="116">
        <v>0</v>
      </c>
      <c r="H648" s="117">
        <f t="shared" si="20"/>
        <v>0</v>
      </c>
      <c r="I648" s="118" t="str">
        <f t="shared" si="21"/>
        <v>AR</v>
      </c>
    </row>
    <row r="649" spans="1:9" x14ac:dyDescent="0.3">
      <c r="A649" s="115" t="s">
        <v>246</v>
      </c>
      <c r="B649" s="115" t="s">
        <v>259</v>
      </c>
      <c r="C649" s="115" t="s">
        <v>45</v>
      </c>
      <c r="D649" s="115" t="s">
        <v>127</v>
      </c>
      <c r="E649" s="115" t="s">
        <v>134</v>
      </c>
      <c r="F649" s="116">
        <v>6705</v>
      </c>
      <c r="G649" s="116">
        <v>9</v>
      </c>
      <c r="H649" s="117">
        <f t="shared" si="20"/>
        <v>1.3422818791946308E-3</v>
      </c>
      <c r="I649" s="118" t="str">
        <f t="shared" si="21"/>
        <v>AR</v>
      </c>
    </row>
    <row r="650" spans="1:9" x14ac:dyDescent="0.3">
      <c r="A650" s="115" t="s">
        <v>246</v>
      </c>
      <c r="B650" s="115" t="s">
        <v>259</v>
      </c>
      <c r="C650" s="115" t="s">
        <v>45</v>
      </c>
      <c r="D650" s="115" t="s">
        <v>127</v>
      </c>
      <c r="E650" s="115" t="s">
        <v>134</v>
      </c>
      <c r="F650" s="116">
        <v>15706</v>
      </c>
      <c r="G650" s="116">
        <v>15</v>
      </c>
      <c r="H650" s="117">
        <f t="shared" si="20"/>
        <v>9.5504902584999361E-4</v>
      </c>
      <c r="I650" s="118" t="str">
        <f t="shared" si="21"/>
        <v>AR</v>
      </c>
    </row>
    <row r="651" spans="1:9" x14ac:dyDescent="0.3">
      <c r="A651" s="115" t="s">
        <v>246</v>
      </c>
      <c r="B651" s="115" t="s">
        <v>259</v>
      </c>
      <c r="C651" s="115" t="s">
        <v>45</v>
      </c>
      <c r="D651" s="115" t="s">
        <v>127</v>
      </c>
      <c r="E651" s="115" t="s">
        <v>134</v>
      </c>
      <c r="F651" s="116">
        <v>14640</v>
      </c>
      <c r="G651" s="116">
        <v>19</v>
      </c>
      <c r="H651" s="117">
        <f t="shared" si="20"/>
        <v>1.2978142076502733E-3</v>
      </c>
      <c r="I651" s="118" t="str">
        <f t="shared" si="21"/>
        <v>AR</v>
      </c>
    </row>
    <row r="652" spans="1:9" x14ac:dyDescent="0.3">
      <c r="A652" s="115" t="s">
        <v>246</v>
      </c>
      <c r="B652" s="115" t="s">
        <v>259</v>
      </c>
      <c r="C652" s="115" t="s">
        <v>45</v>
      </c>
      <c r="D652" s="115" t="s">
        <v>127</v>
      </c>
      <c r="E652" s="115" t="s">
        <v>134</v>
      </c>
      <c r="F652" s="116">
        <v>12348</v>
      </c>
      <c r="G652" s="116">
        <v>9</v>
      </c>
      <c r="H652" s="117">
        <f t="shared" si="20"/>
        <v>7.2886297376093293E-4</v>
      </c>
      <c r="I652" s="118" t="str">
        <f t="shared" si="21"/>
        <v>AR</v>
      </c>
    </row>
    <row r="653" spans="1:9" x14ac:dyDescent="0.3">
      <c r="A653" s="115" t="s">
        <v>246</v>
      </c>
      <c r="B653" s="115" t="s">
        <v>259</v>
      </c>
      <c r="C653" s="115" t="s">
        <v>45</v>
      </c>
      <c r="D653" s="115" t="s">
        <v>127</v>
      </c>
      <c r="E653" s="115" t="s">
        <v>134</v>
      </c>
      <c r="F653" s="116">
        <v>13901</v>
      </c>
      <c r="G653" s="116">
        <v>11</v>
      </c>
      <c r="H653" s="117">
        <f t="shared" si="20"/>
        <v>7.9130997769944606E-4</v>
      </c>
      <c r="I653" s="118" t="str">
        <f t="shared" si="21"/>
        <v>AR</v>
      </c>
    </row>
    <row r="654" spans="1:9" x14ac:dyDescent="0.3">
      <c r="A654" s="115" t="s">
        <v>260</v>
      </c>
      <c r="B654" s="115" t="s">
        <v>261</v>
      </c>
      <c r="C654" s="115" t="s">
        <v>45</v>
      </c>
      <c r="D654" s="115" t="s">
        <v>150</v>
      </c>
      <c r="E654" s="115" t="s">
        <v>151</v>
      </c>
      <c r="F654" s="116">
        <v>95</v>
      </c>
      <c r="G654" s="116">
        <v>0</v>
      </c>
      <c r="H654" s="117">
        <f t="shared" si="20"/>
        <v>0</v>
      </c>
      <c r="I654" s="118" t="str">
        <f t="shared" si="21"/>
        <v>AR</v>
      </c>
    </row>
    <row r="655" spans="1:9" x14ac:dyDescent="0.3">
      <c r="A655" s="115" t="s">
        <v>260</v>
      </c>
      <c r="B655" s="115" t="s">
        <v>261</v>
      </c>
      <c r="C655" s="115" t="s">
        <v>45</v>
      </c>
      <c r="D655" s="115" t="s">
        <v>150</v>
      </c>
      <c r="E655" s="115" t="s">
        <v>151</v>
      </c>
      <c r="F655" s="116">
        <v>221</v>
      </c>
      <c r="G655" s="116">
        <v>0</v>
      </c>
      <c r="H655" s="117">
        <f t="shared" si="20"/>
        <v>0</v>
      </c>
      <c r="I655" s="118" t="str">
        <f t="shared" si="21"/>
        <v>AR</v>
      </c>
    </row>
    <row r="656" spans="1:9" x14ac:dyDescent="0.3">
      <c r="A656" s="115" t="s">
        <v>260</v>
      </c>
      <c r="B656" s="115" t="s">
        <v>261</v>
      </c>
      <c r="C656" s="115" t="s">
        <v>45</v>
      </c>
      <c r="D656" s="115" t="s">
        <v>150</v>
      </c>
      <c r="E656" s="115" t="s">
        <v>151</v>
      </c>
      <c r="F656" s="116">
        <v>757</v>
      </c>
      <c r="G656" s="116">
        <v>0</v>
      </c>
      <c r="H656" s="117">
        <f t="shared" si="20"/>
        <v>0</v>
      </c>
      <c r="I656" s="118" t="str">
        <f t="shared" si="21"/>
        <v>AR</v>
      </c>
    </row>
    <row r="657" spans="1:9" x14ac:dyDescent="0.3">
      <c r="A657" s="115" t="s">
        <v>260</v>
      </c>
      <c r="B657" s="115" t="s">
        <v>261</v>
      </c>
      <c r="C657" s="115" t="s">
        <v>45</v>
      </c>
      <c r="D657" s="115" t="s">
        <v>150</v>
      </c>
      <c r="E657" s="115" t="s">
        <v>151</v>
      </c>
      <c r="F657" s="116">
        <v>55</v>
      </c>
      <c r="G657" s="116">
        <v>0</v>
      </c>
      <c r="H657" s="117">
        <f t="shared" si="20"/>
        <v>0</v>
      </c>
      <c r="I657" s="118" t="str">
        <f t="shared" si="21"/>
        <v>AR</v>
      </c>
    </row>
    <row r="658" spans="1:9" x14ac:dyDescent="0.3">
      <c r="A658" s="115" t="s">
        <v>260</v>
      </c>
      <c r="B658" s="115" t="s">
        <v>261</v>
      </c>
      <c r="C658" s="115" t="s">
        <v>45</v>
      </c>
      <c r="D658" s="115" t="s">
        <v>127</v>
      </c>
      <c r="E658" s="115" t="s">
        <v>137</v>
      </c>
      <c r="F658" s="116">
        <v>1500</v>
      </c>
      <c r="G658" s="116">
        <v>6</v>
      </c>
      <c r="H658" s="117">
        <f t="shared" si="20"/>
        <v>4.0000000000000001E-3</v>
      </c>
      <c r="I658" s="118" t="str">
        <f t="shared" si="21"/>
        <v>AR</v>
      </c>
    </row>
    <row r="659" spans="1:9" x14ac:dyDescent="0.3">
      <c r="A659" s="115" t="s">
        <v>260</v>
      </c>
      <c r="B659" s="115" t="s">
        <v>261</v>
      </c>
      <c r="C659" s="115" t="s">
        <v>45</v>
      </c>
      <c r="D659" s="115" t="s">
        <v>127</v>
      </c>
      <c r="E659" s="115" t="s">
        <v>137</v>
      </c>
      <c r="F659" s="116">
        <v>2732</v>
      </c>
      <c r="G659" s="116">
        <v>6</v>
      </c>
      <c r="H659" s="117">
        <f t="shared" si="20"/>
        <v>2.1961932650073207E-3</v>
      </c>
      <c r="I659" s="118" t="str">
        <f t="shared" si="21"/>
        <v>AR</v>
      </c>
    </row>
    <row r="660" spans="1:9" x14ac:dyDescent="0.3">
      <c r="A660" s="115" t="s">
        <v>260</v>
      </c>
      <c r="B660" s="115" t="s">
        <v>261</v>
      </c>
      <c r="C660" s="115" t="s">
        <v>45</v>
      </c>
      <c r="D660" s="115" t="s">
        <v>127</v>
      </c>
      <c r="E660" s="115" t="s">
        <v>137</v>
      </c>
      <c r="F660" s="116">
        <v>7123</v>
      </c>
      <c r="G660" s="116">
        <v>16</v>
      </c>
      <c r="H660" s="117">
        <f t="shared" si="20"/>
        <v>2.2462445598764565E-3</v>
      </c>
      <c r="I660" s="118" t="str">
        <f t="shared" si="21"/>
        <v>AR</v>
      </c>
    </row>
    <row r="661" spans="1:9" x14ac:dyDescent="0.3">
      <c r="A661" s="115" t="s">
        <v>260</v>
      </c>
      <c r="B661" s="115" t="s">
        <v>261</v>
      </c>
      <c r="C661" s="115" t="s">
        <v>45</v>
      </c>
      <c r="D661" s="115" t="s">
        <v>127</v>
      </c>
      <c r="E661" s="115" t="s">
        <v>137</v>
      </c>
      <c r="F661" s="116">
        <v>691</v>
      </c>
      <c r="G661" s="116">
        <v>2</v>
      </c>
      <c r="H661" s="117">
        <f t="shared" si="20"/>
        <v>2.8943560057887118E-3</v>
      </c>
      <c r="I661" s="118" t="str">
        <f t="shared" si="21"/>
        <v>AR</v>
      </c>
    </row>
    <row r="662" spans="1:9" x14ac:dyDescent="0.3">
      <c r="A662" s="115" t="s">
        <v>260</v>
      </c>
      <c r="B662" s="115" t="s">
        <v>261</v>
      </c>
      <c r="C662" s="115" t="s">
        <v>45</v>
      </c>
      <c r="D662" s="115" t="s">
        <v>127</v>
      </c>
      <c r="E662" s="115" t="s">
        <v>137</v>
      </c>
      <c r="F662" s="116">
        <v>2</v>
      </c>
      <c r="G662" s="116">
        <v>0</v>
      </c>
      <c r="H662" s="117">
        <f t="shared" si="20"/>
        <v>0</v>
      </c>
      <c r="I662" s="118" t="str">
        <f t="shared" si="21"/>
        <v>AR</v>
      </c>
    </row>
    <row r="663" spans="1:9" x14ac:dyDescent="0.3">
      <c r="A663" s="115" t="s">
        <v>260</v>
      </c>
      <c r="B663" s="115" t="s">
        <v>262</v>
      </c>
      <c r="C663" s="115" t="s">
        <v>44</v>
      </c>
      <c r="D663" s="115" t="s">
        <v>150</v>
      </c>
      <c r="E663" s="115" t="s">
        <v>151</v>
      </c>
      <c r="F663" s="116">
        <v>1</v>
      </c>
      <c r="G663" s="116">
        <v>0</v>
      </c>
      <c r="H663" s="117">
        <f t="shared" si="20"/>
        <v>0</v>
      </c>
      <c r="I663" s="118" t="str">
        <f t="shared" si="21"/>
        <v>AR</v>
      </c>
    </row>
    <row r="664" spans="1:9" x14ac:dyDescent="0.3">
      <c r="A664" s="115" t="s">
        <v>260</v>
      </c>
      <c r="B664" s="115" t="s">
        <v>262</v>
      </c>
      <c r="C664" s="115" t="s">
        <v>44</v>
      </c>
      <c r="D664" s="115" t="s">
        <v>127</v>
      </c>
      <c r="E664" s="115" t="s">
        <v>128</v>
      </c>
      <c r="F664" s="116">
        <v>4</v>
      </c>
      <c r="G664" s="116">
        <v>0</v>
      </c>
      <c r="H664" s="117">
        <f t="shared" si="20"/>
        <v>0</v>
      </c>
      <c r="I664" s="118" t="str">
        <f t="shared" si="21"/>
        <v>AR</v>
      </c>
    </row>
    <row r="665" spans="1:9" x14ac:dyDescent="0.3">
      <c r="A665" s="115" t="s">
        <v>260</v>
      </c>
      <c r="B665" s="115" t="s">
        <v>262</v>
      </c>
      <c r="C665" s="115" t="s">
        <v>44</v>
      </c>
      <c r="D665" s="115" t="s">
        <v>127</v>
      </c>
      <c r="E665" s="115" t="s">
        <v>128</v>
      </c>
      <c r="F665" s="116">
        <v>1</v>
      </c>
      <c r="G665" s="116">
        <v>0</v>
      </c>
      <c r="H665" s="117">
        <f t="shared" si="20"/>
        <v>0</v>
      </c>
      <c r="I665" s="118" t="str">
        <f t="shared" si="21"/>
        <v>AR</v>
      </c>
    </row>
    <row r="666" spans="1:9" x14ac:dyDescent="0.3">
      <c r="A666" s="115" t="s">
        <v>260</v>
      </c>
      <c r="B666" s="115" t="s">
        <v>262</v>
      </c>
      <c r="C666" s="115" t="s">
        <v>44</v>
      </c>
      <c r="D666" s="115" t="s">
        <v>127</v>
      </c>
      <c r="E666" s="115" t="s">
        <v>128</v>
      </c>
      <c r="F666" s="116">
        <v>2</v>
      </c>
      <c r="G666" s="116">
        <v>0</v>
      </c>
      <c r="H666" s="117">
        <f t="shared" si="20"/>
        <v>0</v>
      </c>
      <c r="I666" s="118" t="str">
        <f t="shared" si="21"/>
        <v>AR</v>
      </c>
    </row>
    <row r="667" spans="1:9" x14ac:dyDescent="0.3">
      <c r="A667" s="115" t="s">
        <v>263</v>
      </c>
      <c r="B667" s="115" t="s">
        <v>264</v>
      </c>
      <c r="C667" s="115" t="s">
        <v>44</v>
      </c>
      <c r="D667" s="115" t="s">
        <v>150</v>
      </c>
      <c r="E667" s="115" t="s">
        <v>151</v>
      </c>
      <c r="F667" s="116">
        <v>1</v>
      </c>
      <c r="G667" s="116">
        <v>0</v>
      </c>
      <c r="H667" s="117">
        <f t="shared" si="20"/>
        <v>0</v>
      </c>
      <c r="I667" s="118" t="str">
        <f t="shared" si="21"/>
        <v>AR</v>
      </c>
    </row>
    <row r="668" spans="1:9" x14ac:dyDescent="0.3">
      <c r="A668" s="115" t="s">
        <v>265</v>
      </c>
      <c r="B668" s="115" t="s">
        <v>266</v>
      </c>
      <c r="C668" s="115" t="s">
        <v>44</v>
      </c>
      <c r="D668" s="115" t="s">
        <v>127</v>
      </c>
      <c r="E668" s="115" t="s">
        <v>134</v>
      </c>
      <c r="F668" s="116">
        <v>8</v>
      </c>
      <c r="G668" s="116">
        <v>0</v>
      </c>
      <c r="H668" s="117">
        <f t="shared" si="20"/>
        <v>0</v>
      </c>
      <c r="I668" s="118" t="str">
        <f t="shared" si="21"/>
        <v>AR</v>
      </c>
    </row>
    <row r="669" spans="1:9" x14ac:dyDescent="0.3">
      <c r="A669" s="115" t="s">
        <v>265</v>
      </c>
      <c r="B669" s="115" t="s">
        <v>266</v>
      </c>
      <c r="C669" s="115" t="s">
        <v>44</v>
      </c>
      <c r="D669" s="115" t="s">
        <v>127</v>
      </c>
      <c r="E669" s="115" t="s">
        <v>134</v>
      </c>
      <c r="F669" s="116">
        <v>7</v>
      </c>
      <c r="G669" s="116">
        <v>0</v>
      </c>
      <c r="H669" s="117">
        <f t="shared" si="20"/>
        <v>0</v>
      </c>
      <c r="I669" s="118" t="str">
        <f t="shared" si="21"/>
        <v>AR</v>
      </c>
    </row>
    <row r="670" spans="1:9" x14ac:dyDescent="0.3">
      <c r="A670" s="115" t="s">
        <v>265</v>
      </c>
      <c r="B670" s="115" t="s">
        <v>266</v>
      </c>
      <c r="C670" s="115" t="s">
        <v>44</v>
      </c>
      <c r="D670" s="115" t="s">
        <v>127</v>
      </c>
      <c r="E670" s="115" t="s">
        <v>134</v>
      </c>
      <c r="F670" s="116">
        <v>7</v>
      </c>
      <c r="G670" s="116">
        <v>0</v>
      </c>
      <c r="H670" s="117">
        <f t="shared" si="20"/>
        <v>0</v>
      </c>
      <c r="I670" s="118" t="str">
        <f t="shared" si="21"/>
        <v>AR</v>
      </c>
    </row>
    <row r="671" spans="1:9" x14ac:dyDescent="0.3">
      <c r="A671" s="115" t="s">
        <v>265</v>
      </c>
      <c r="B671" s="115" t="s">
        <v>267</v>
      </c>
      <c r="C671" s="115" t="s">
        <v>44</v>
      </c>
      <c r="D671" s="115" t="s">
        <v>127</v>
      </c>
      <c r="E671" s="115" t="s">
        <v>134</v>
      </c>
      <c r="F671" s="116">
        <v>44</v>
      </c>
      <c r="G671" s="116">
        <v>0</v>
      </c>
      <c r="H671" s="117">
        <f t="shared" si="20"/>
        <v>0</v>
      </c>
      <c r="I671" s="118" t="str">
        <f t="shared" si="21"/>
        <v>EN</v>
      </c>
    </row>
    <row r="672" spans="1:9" x14ac:dyDescent="0.3">
      <c r="A672" s="115" t="s">
        <v>265</v>
      </c>
      <c r="B672" s="115" t="s">
        <v>267</v>
      </c>
      <c r="C672" s="115" t="s">
        <v>44</v>
      </c>
      <c r="D672" s="115" t="s">
        <v>127</v>
      </c>
      <c r="E672" s="115" t="s">
        <v>134</v>
      </c>
      <c r="F672" s="116">
        <v>57</v>
      </c>
      <c r="G672" s="116">
        <v>0</v>
      </c>
      <c r="H672" s="117">
        <f t="shared" si="20"/>
        <v>0</v>
      </c>
      <c r="I672" s="118" t="str">
        <f t="shared" si="21"/>
        <v>EN</v>
      </c>
    </row>
    <row r="673" spans="1:9" x14ac:dyDescent="0.3">
      <c r="A673" s="115" t="s">
        <v>265</v>
      </c>
      <c r="B673" s="115" t="s">
        <v>267</v>
      </c>
      <c r="C673" s="115" t="s">
        <v>44</v>
      </c>
      <c r="D673" s="115" t="s">
        <v>127</v>
      </c>
      <c r="E673" s="115" t="s">
        <v>134</v>
      </c>
      <c r="F673" s="116">
        <v>82</v>
      </c>
      <c r="G673" s="116">
        <v>0</v>
      </c>
      <c r="H673" s="117">
        <f t="shared" si="20"/>
        <v>0</v>
      </c>
      <c r="I673" s="118" t="str">
        <f t="shared" si="21"/>
        <v>EN</v>
      </c>
    </row>
    <row r="674" spans="1:9" x14ac:dyDescent="0.3">
      <c r="A674" s="115" t="s">
        <v>265</v>
      </c>
      <c r="B674" s="115" t="s">
        <v>267</v>
      </c>
      <c r="C674" s="115" t="s">
        <v>44</v>
      </c>
      <c r="D674" s="115" t="s">
        <v>127</v>
      </c>
      <c r="E674" s="115" t="s">
        <v>134</v>
      </c>
      <c r="F674" s="116">
        <v>74</v>
      </c>
      <c r="G674" s="116">
        <v>0</v>
      </c>
      <c r="H674" s="117">
        <f t="shared" si="20"/>
        <v>0</v>
      </c>
      <c r="I674" s="118" t="str">
        <f t="shared" si="21"/>
        <v>EN</v>
      </c>
    </row>
    <row r="675" spans="1:9" x14ac:dyDescent="0.3">
      <c r="A675" s="115" t="s">
        <v>265</v>
      </c>
      <c r="B675" s="115" t="s">
        <v>268</v>
      </c>
      <c r="C675" s="115" t="s">
        <v>44</v>
      </c>
      <c r="D675" s="115" t="s">
        <v>150</v>
      </c>
      <c r="E675" s="115" t="s">
        <v>151</v>
      </c>
      <c r="F675" s="116">
        <v>1</v>
      </c>
      <c r="G675" s="116">
        <v>0</v>
      </c>
      <c r="H675" s="117">
        <f t="shared" si="20"/>
        <v>0</v>
      </c>
      <c r="I675" s="118" t="str">
        <f t="shared" si="21"/>
        <v>AR</v>
      </c>
    </row>
    <row r="676" spans="1:9" x14ac:dyDescent="0.3">
      <c r="A676" s="115" t="s">
        <v>265</v>
      </c>
      <c r="B676" s="115" t="s">
        <v>269</v>
      </c>
      <c r="C676" s="115" t="s">
        <v>44</v>
      </c>
      <c r="D676" s="115" t="s">
        <v>127</v>
      </c>
      <c r="E676" s="115" t="s">
        <v>134</v>
      </c>
      <c r="F676" s="116">
        <v>4</v>
      </c>
      <c r="G676" s="116">
        <v>0</v>
      </c>
      <c r="H676" s="117">
        <f t="shared" si="20"/>
        <v>0</v>
      </c>
      <c r="I676" s="118" t="str">
        <f t="shared" si="21"/>
        <v>EN</v>
      </c>
    </row>
    <row r="677" spans="1:9" x14ac:dyDescent="0.3">
      <c r="A677" s="115" t="s">
        <v>265</v>
      </c>
      <c r="B677" s="115" t="s">
        <v>269</v>
      </c>
      <c r="C677" s="115" t="s">
        <v>44</v>
      </c>
      <c r="D677" s="115" t="s">
        <v>127</v>
      </c>
      <c r="E677" s="115" t="s">
        <v>134</v>
      </c>
      <c r="F677" s="116">
        <v>3</v>
      </c>
      <c r="G677" s="116">
        <v>0</v>
      </c>
      <c r="H677" s="117">
        <f t="shared" si="20"/>
        <v>0</v>
      </c>
      <c r="I677" s="118" t="str">
        <f t="shared" si="21"/>
        <v>EN</v>
      </c>
    </row>
    <row r="678" spans="1:9" x14ac:dyDescent="0.3">
      <c r="A678" s="115" t="s">
        <v>265</v>
      </c>
      <c r="B678" s="115" t="s">
        <v>269</v>
      </c>
      <c r="C678" s="115" t="s">
        <v>44</v>
      </c>
      <c r="D678" s="115" t="s">
        <v>127</v>
      </c>
      <c r="E678" s="115" t="s">
        <v>134</v>
      </c>
      <c r="F678" s="116">
        <v>4</v>
      </c>
      <c r="G678" s="116">
        <v>0</v>
      </c>
      <c r="H678" s="117">
        <f t="shared" si="20"/>
        <v>0</v>
      </c>
      <c r="I678" s="118" t="str">
        <f t="shared" si="21"/>
        <v>EN</v>
      </c>
    </row>
    <row r="679" spans="1:9" x14ac:dyDescent="0.3">
      <c r="A679" s="115" t="s">
        <v>265</v>
      </c>
      <c r="B679" s="115" t="s">
        <v>269</v>
      </c>
      <c r="C679" s="115" t="s">
        <v>44</v>
      </c>
      <c r="D679" s="115" t="s">
        <v>127</v>
      </c>
      <c r="E679" s="115" t="s">
        <v>134</v>
      </c>
      <c r="F679" s="116">
        <v>1</v>
      </c>
      <c r="G679" s="116">
        <v>0</v>
      </c>
      <c r="H679" s="117">
        <f t="shared" si="20"/>
        <v>0</v>
      </c>
      <c r="I679" s="118" t="str">
        <f t="shared" si="21"/>
        <v>EN</v>
      </c>
    </row>
    <row r="680" spans="1:9" x14ac:dyDescent="0.3">
      <c r="A680" s="115" t="s">
        <v>265</v>
      </c>
      <c r="B680" s="115" t="s">
        <v>270</v>
      </c>
      <c r="C680" s="115" t="s">
        <v>44</v>
      </c>
      <c r="D680" s="115" t="s">
        <v>127</v>
      </c>
      <c r="E680" s="115" t="s">
        <v>134</v>
      </c>
      <c r="F680" s="116">
        <v>1</v>
      </c>
      <c r="G680" s="116">
        <v>0</v>
      </c>
      <c r="H680" s="117">
        <f t="shared" si="20"/>
        <v>0</v>
      </c>
      <c r="I680" s="118" t="str">
        <f t="shared" si="21"/>
        <v>AR</v>
      </c>
    </row>
    <row r="681" spans="1:9" x14ac:dyDescent="0.3">
      <c r="A681" s="115" t="s">
        <v>265</v>
      </c>
      <c r="B681" s="115" t="s">
        <v>270</v>
      </c>
      <c r="C681" s="115" t="s">
        <v>44</v>
      </c>
      <c r="D681" s="115" t="s">
        <v>127</v>
      </c>
      <c r="E681" s="115" t="s">
        <v>134</v>
      </c>
      <c r="F681" s="116">
        <v>1</v>
      </c>
      <c r="G681" s="116">
        <v>0</v>
      </c>
      <c r="H681" s="117">
        <f t="shared" si="20"/>
        <v>0</v>
      </c>
      <c r="I681" s="118" t="str">
        <f t="shared" si="21"/>
        <v>AR</v>
      </c>
    </row>
    <row r="682" spans="1:9" x14ac:dyDescent="0.3">
      <c r="A682" s="115" t="s">
        <v>265</v>
      </c>
      <c r="B682" s="115" t="s">
        <v>270</v>
      </c>
      <c r="C682" s="115" t="s">
        <v>44</v>
      </c>
      <c r="D682" s="115" t="s">
        <v>127</v>
      </c>
      <c r="E682" s="115" t="s">
        <v>134</v>
      </c>
      <c r="F682" s="116">
        <v>1</v>
      </c>
      <c r="G682" s="116">
        <v>0</v>
      </c>
      <c r="H682" s="117">
        <f t="shared" si="20"/>
        <v>0</v>
      </c>
      <c r="I682" s="118" t="str">
        <f t="shared" si="21"/>
        <v>AR</v>
      </c>
    </row>
    <row r="683" spans="1:9" x14ac:dyDescent="0.3">
      <c r="A683" s="115" t="s">
        <v>265</v>
      </c>
      <c r="B683" s="115" t="s">
        <v>271</v>
      </c>
      <c r="C683" s="115" t="s">
        <v>44</v>
      </c>
      <c r="D683" s="115" t="s">
        <v>127</v>
      </c>
      <c r="E683" s="115" t="s">
        <v>134</v>
      </c>
      <c r="F683" s="116">
        <v>2</v>
      </c>
      <c r="G683" s="116">
        <v>0</v>
      </c>
      <c r="H683" s="117">
        <f t="shared" si="20"/>
        <v>0</v>
      </c>
      <c r="I683" s="118" t="str">
        <f t="shared" si="21"/>
        <v>EN</v>
      </c>
    </row>
    <row r="684" spans="1:9" x14ac:dyDescent="0.3">
      <c r="A684" s="115" t="s">
        <v>265</v>
      </c>
      <c r="B684" s="115" t="s">
        <v>271</v>
      </c>
      <c r="C684" s="115" t="s">
        <v>44</v>
      </c>
      <c r="D684" s="115" t="s">
        <v>127</v>
      </c>
      <c r="E684" s="115" t="s">
        <v>134</v>
      </c>
      <c r="F684" s="116">
        <v>11</v>
      </c>
      <c r="G684" s="116">
        <v>0</v>
      </c>
      <c r="H684" s="117">
        <f t="shared" si="20"/>
        <v>0</v>
      </c>
      <c r="I684" s="118" t="str">
        <f t="shared" si="21"/>
        <v>EN</v>
      </c>
    </row>
    <row r="685" spans="1:9" x14ac:dyDescent="0.3">
      <c r="A685" s="115" t="s">
        <v>265</v>
      </c>
      <c r="B685" s="115" t="s">
        <v>271</v>
      </c>
      <c r="C685" s="115" t="s">
        <v>44</v>
      </c>
      <c r="D685" s="115" t="s">
        <v>127</v>
      </c>
      <c r="E685" s="115" t="s">
        <v>134</v>
      </c>
      <c r="F685" s="116">
        <v>5</v>
      </c>
      <c r="G685" s="116">
        <v>0</v>
      </c>
      <c r="H685" s="117">
        <f t="shared" si="20"/>
        <v>0</v>
      </c>
      <c r="I685" s="118" t="str">
        <f t="shared" si="21"/>
        <v>EN</v>
      </c>
    </row>
    <row r="686" spans="1:9" x14ac:dyDescent="0.3">
      <c r="A686" s="115" t="s">
        <v>265</v>
      </c>
      <c r="B686" s="115" t="s">
        <v>271</v>
      </c>
      <c r="C686" s="115" t="s">
        <v>44</v>
      </c>
      <c r="D686" s="115" t="s">
        <v>127</v>
      </c>
      <c r="E686" s="115" t="s">
        <v>134</v>
      </c>
      <c r="F686" s="116">
        <v>1</v>
      </c>
      <c r="G686" s="116">
        <v>0</v>
      </c>
      <c r="H686" s="117">
        <f t="shared" si="20"/>
        <v>0</v>
      </c>
      <c r="I686" s="118" t="str">
        <f t="shared" si="21"/>
        <v>EN</v>
      </c>
    </row>
    <row r="687" spans="1:9" x14ac:dyDescent="0.3">
      <c r="A687" s="115" t="s">
        <v>265</v>
      </c>
      <c r="B687" s="115" t="s">
        <v>272</v>
      </c>
      <c r="C687" s="115" t="s">
        <v>44</v>
      </c>
      <c r="D687" s="115" t="s">
        <v>150</v>
      </c>
      <c r="E687" s="115" t="s">
        <v>151</v>
      </c>
      <c r="F687" s="116">
        <v>1</v>
      </c>
      <c r="G687" s="116">
        <v>0</v>
      </c>
      <c r="H687" s="117">
        <f t="shared" si="20"/>
        <v>0</v>
      </c>
      <c r="I687" s="118" t="str">
        <f t="shared" si="21"/>
        <v>AR</v>
      </c>
    </row>
    <row r="688" spans="1:9" x14ac:dyDescent="0.3">
      <c r="A688" s="115" t="s">
        <v>265</v>
      </c>
      <c r="B688" s="115" t="s">
        <v>272</v>
      </c>
      <c r="C688" s="115" t="s">
        <v>44</v>
      </c>
      <c r="D688" s="115" t="s">
        <v>150</v>
      </c>
      <c r="E688" s="115" t="s">
        <v>151</v>
      </c>
      <c r="F688" s="116">
        <v>2</v>
      </c>
      <c r="G688" s="116">
        <v>0</v>
      </c>
      <c r="H688" s="117">
        <f t="shared" si="20"/>
        <v>0</v>
      </c>
      <c r="I688" s="118" t="str">
        <f t="shared" si="21"/>
        <v>AR</v>
      </c>
    </row>
    <row r="689" spans="1:9" x14ac:dyDescent="0.3">
      <c r="A689" s="115" t="s">
        <v>265</v>
      </c>
      <c r="B689" s="115" t="s">
        <v>273</v>
      </c>
      <c r="C689" s="115" t="s">
        <v>44</v>
      </c>
      <c r="D689" s="115" t="s">
        <v>127</v>
      </c>
      <c r="E689" s="115" t="s">
        <v>134</v>
      </c>
      <c r="F689" s="116">
        <v>3</v>
      </c>
      <c r="G689" s="116">
        <v>0</v>
      </c>
      <c r="H689" s="117">
        <f t="shared" si="20"/>
        <v>0</v>
      </c>
      <c r="I689" s="118" t="str">
        <f t="shared" si="21"/>
        <v>EN</v>
      </c>
    </row>
    <row r="690" spans="1:9" x14ac:dyDescent="0.3">
      <c r="A690" s="115" t="s">
        <v>265</v>
      </c>
      <c r="B690" s="115" t="s">
        <v>273</v>
      </c>
      <c r="C690" s="115" t="s">
        <v>44</v>
      </c>
      <c r="D690" s="115" t="s">
        <v>127</v>
      </c>
      <c r="E690" s="115" t="s">
        <v>134</v>
      </c>
      <c r="F690" s="116">
        <v>2</v>
      </c>
      <c r="G690" s="116">
        <v>0</v>
      </c>
      <c r="H690" s="117">
        <f t="shared" si="20"/>
        <v>0</v>
      </c>
      <c r="I690" s="118" t="str">
        <f t="shared" si="21"/>
        <v>EN</v>
      </c>
    </row>
    <row r="691" spans="1:9" x14ac:dyDescent="0.3">
      <c r="A691" s="115" t="s">
        <v>265</v>
      </c>
      <c r="B691" s="115" t="s">
        <v>273</v>
      </c>
      <c r="C691" s="115" t="s">
        <v>44</v>
      </c>
      <c r="D691" s="115" t="s">
        <v>127</v>
      </c>
      <c r="E691" s="115" t="s">
        <v>134</v>
      </c>
      <c r="F691" s="116">
        <v>4</v>
      </c>
      <c r="G691" s="116">
        <v>0</v>
      </c>
      <c r="H691" s="117">
        <f t="shared" si="20"/>
        <v>0</v>
      </c>
      <c r="I691" s="118" t="str">
        <f t="shared" si="21"/>
        <v>EN</v>
      </c>
    </row>
    <row r="692" spans="1:9" x14ac:dyDescent="0.3">
      <c r="A692" s="115" t="s">
        <v>265</v>
      </c>
      <c r="B692" s="115" t="s">
        <v>274</v>
      </c>
      <c r="C692" s="115" t="s">
        <v>44</v>
      </c>
      <c r="D692" s="115" t="s">
        <v>150</v>
      </c>
      <c r="E692" s="115" t="s">
        <v>151</v>
      </c>
      <c r="F692" s="116">
        <v>2</v>
      </c>
      <c r="G692" s="116">
        <v>0</v>
      </c>
      <c r="H692" s="117">
        <f t="shared" si="20"/>
        <v>0</v>
      </c>
      <c r="I692" s="118" t="str">
        <f t="shared" si="21"/>
        <v>AR</v>
      </c>
    </row>
    <row r="693" spans="1:9" x14ac:dyDescent="0.3">
      <c r="A693" s="115" t="s">
        <v>265</v>
      </c>
      <c r="B693" s="115" t="s">
        <v>274</v>
      </c>
      <c r="C693" s="115" t="s">
        <v>44</v>
      </c>
      <c r="D693" s="115" t="s">
        <v>150</v>
      </c>
      <c r="E693" s="115" t="s">
        <v>151</v>
      </c>
      <c r="F693" s="116">
        <v>1</v>
      </c>
      <c r="G693" s="116">
        <v>0</v>
      </c>
      <c r="H693" s="117">
        <f t="shared" si="20"/>
        <v>0</v>
      </c>
      <c r="I693" s="118" t="str">
        <f t="shared" si="21"/>
        <v>AR</v>
      </c>
    </row>
    <row r="694" spans="1:9" x14ac:dyDescent="0.3">
      <c r="A694" s="115" t="s">
        <v>265</v>
      </c>
      <c r="B694" s="115" t="s">
        <v>275</v>
      </c>
      <c r="C694" s="115" t="s">
        <v>44</v>
      </c>
      <c r="D694" s="115" t="s">
        <v>127</v>
      </c>
      <c r="E694" s="115" t="s">
        <v>134</v>
      </c>
      <c r="F694" s="116">
        <v>3</v>
      </c>
      <c r="G694" s="116">
        <v>0</v>
      </c>
      <c r="H694" s="117">
        <f t="shared" si="20"/>
        <v>0</v>
      </c>
      <c r="I694" s="118" t="str">
        <f t="shared" si="21"/>
        <v>EN</v>
      </c>
    </row>
    <row r="695" spans="1:9" x14ac:dyDescent="0.3">
      <c r="A695" s="115" t="s">
        <v>265</v>
      </c>
      <c r="B695" s="115" t="s">
        <v>275</v>
      </c>
      <c r="C695" s="115" t="s">
        <v>44</v>
      </c>
      <c r="D695" s="115" t="s">
        <v>127</v>
      </c>
      <c r="E695" s="115" t="s">
        <v>134</v>
      </c>
      <c r="F695" s="116">
        <v>2</v>
      </c>
      <c r="G695" s="116">
        <v>0</v>
      </c>
      <c r="H695" s="117">
        <f t="shared" si="20"/>
        <v>0</v>
      </c>
      <c r="I695" s="118" t="str">
        <f t="shared" si="21"/>
        <v>EN</v>
      </c>
    </row>
    <row r="696" spans="1:9" x14ac:dyDescent="0.3">
      <c r="A696" s="115" t="s">
        <v>265</v>
      </c>
      <c r="B696" s="115" t="s">
        <v>275</v>
      </c>
      <c r="C696" s="115" t="s">
        <v>44</v>
      </c>
      <c r="D696" s="115" t="s">
        <v>127</v>
      </c>
      <c r="E696" s="115" t="s">
        <v>134</v>
      </c>
      <c r="F696" s="116">
        <v>3</v>
      </c>
      <c r="G696" s="116">
        <v>0</v>
      </c>
      <c r="H696" s="117">
        <f t="shared" si="20"/>
        <v>0</v>
      </c>
      <c r="I696" s="118" t="str">
        <f t="shared" si="21"/>
        <v>EN</v>
      </c>
    </row>
    <row r="697" spans="1:9" x14ac:dyDescent="0.3">
      <c r="A697" s="115" t="s">
        <v>265</v>
      </c>
      <c r="B697" s="115" t="s">
        <v>276</v>
      </c>
      <c r="C697" s="115" t="s">
        <v>44</v>
      </c>
      <c r="D697" s="115" t="s">
        <v>150</v>
      </c>
      <c r="E697" s="115" t="s">
        <v>151</v>
      </c>
      <c r="F697" s="116">
        <v>1</v>
      </c>
      <c r="G697" s="116">
        <v>0</v>
      </c>
      <c r="H697" s="117">
        <f t="shared" si="20"/>
        <v>0</v>
      </c>
      <c r="I697" s="118" t="str">
        <f t="shared" si="21"/>
        <v>AR</v>
      </c>
    </row>
    <row r="698" spans="1:9" x14ac:dyDescent="0.3">
      <c r="A698" s="115" t="s">
        <v>265</v>
      </c>
      <c r="B698" s="115" t="s">
        <v>276</v>
      </c>
      <c r="C698" s="115" t="s">
        <v>44</v>
      </c>
      <c r="D698" s="115" t="s">
        <v>150</v>
      </c>
      <c r="E698" s="115" t="s">
        <v>151</v>
      </c>
      <c r="F698" s="116">
        <v>1</v>
      </c>
      <c r="G698" s="116">
        <v>0</v>
      </c>
      <c r="H698" s="117">
        <f t="shared" si="20"/>
        <v>0</v>
      </c>
      <c r="I698" s="118" t="str">
        <f t="shared" si="21"/>
        <v>AR</v>
      </c>
    </row>
    <row r="699" spans="1:9" x14ac:dyDescent="0.3">
      <c r="A699" s="115" t="s">
        <v>265</v>
      </c>
      <c r="B699" s="115" t="s">
        <v>277</v>
      </c>
      <c r="C699" s="115" t="s">
        <v>44</v>
      </c>
      <c r="D699" s="115" t="s">
        <v>127</v>
      </c>
      <c r="E699" s="115" t="s">
        <v>134</v>
      </c>
      <c r="F699" s="116">
        <v>1</v>
      </c>
      <c r="G699" s="116">
        <v>0</v>
      </c>
      <c r="H699" s="117">
        <f t="shared" si="20"/>
        <v>0</v>
      </c>
      <c r="I699" s="118" t="str">
        <f t="shared" si="21"/>
        <v>EN</v>
      </c>
    </row>
    <row r="700" spans="1:9" x14ac:dyDescent="0.3">
      <c r="A700" s="115" t="s">
        <v>265</v>
      </c>
      <c r="B700" s="115" t="s">
        <v>277</v>
      </c>
      <c r="C700" s="115" t="s">
        <v>44</v>
      </c>
      <c r="D700" s="115" t="s">
        <v>127</v>
      </c>
      <c r="E700" s="115" t="s">
        <v>134</v>
      </c>
      <c r="F700" s="116">
        <v>2</v>
      </c>
      <c r="G700" s="116">
        <v>0</v>
      </c>
      <c r="H700" s="117">
        <f t="shared" si="20"/>
        <v>0</v>
      </c>
      <c r="I700" s="118" t="str">
        <f t="shared" si="21"/>
        <v>EN</v>
      </c>
    </row>
    <row r="701" spans="1:9" x14ac:dyDescent="0.3">
      <c r="A701" s="115" t="s">
        <v>265</v>
      </c>
      <c r="B701" s="115" t="s">
        <v>277</v>
      </c>
      <c r="C701" s="115" t="s">
        <v>44</v>
      </c>
      <c r="D701" s="115" t="s">
        <v>127</v>
      </c>
      <c r="E701" s="115" t="s">
        <v>134</v>
      </c>
      <c r="F701" s="116">
        <v>1</v>
      </c>
      <c r="G701" s="116">
        <v>0</v>
      </c>
      <c r="H701" s="117">
        <f t="shared" si="20"/>
        <v>0</v>
      </c>
      <c r="I701" s="118" t="str">
        <f t="shared" si="21"/>
        <v>EN</v>
      </c>
    </row>
    <row r="702" spans="1:9" x14ac:dyDescent="0.3">
      <c r="A702" s="115" t="s">
        <v>278</v>
      </c>
      <c r="B702" s="115" t="s">
        <v>279</v>
      </c>
      <c r="C702" s="115" t="s">
        <v>44</v>
      </c>
      <c r="D702" s="115" t="s">
        <v>150</v>
      </c>
      <c r="E702" s="115" t="s">
        <v>151</v>
      </c>
      <c r="F702" s="116">
        <v>1</v>
      </c>
      <c r="G702" s="116">
        <v>0</v>
      </c>
      <c r="H702" s="117">
        <f t="shared" si="20"/>
        <v>0</v>
      </c>
      <c r="I702" s="118" t="str">
        <f t="shared" si="21"/>
        <v>AR</v>
      </c>
    </row>
    <row r="703" spans="1:9" x14ac:dyDescent="0.3">
      <c r="A703" s="115" t="s">
        <v>280</v>
      </c>
      <c r="B703" s="115" t="s">
        <v>281</v>
      </c>
      <c r="C703" s="115" t="s">
        <v>45</v>
      </c>
      <c r="D703" s="115" t="s">
        <v>150</v>
      </c>
      <c r="E703" s="115" t="s">
        <v>151</v>
      </c>
      <c r="F703" s="116">
        <v>1</v>
      </c>
      <c r="G703" s="116">
        <v>0</v>
      </c>
      <c r="H703" s="117">
        <f t="shared" si="20"/>
        <v>0</v>
      </c>
      <c r="I703" s="118" t="str">
        <f t="shared" si="21"/>
        <v>EN</v>
      </c>
    </row>
    <row r="704" spans="1:9" x14ac:dyDescent="0.3">
      <c r="A704" s="115" t="s">
        <v>280</v>
      </c>
      <c r="B704" s="115" t="s">
        <v>282</v>
      </c>
      <c r="C704" s="115" t="s">
        <v>44</v>
      </c>
      <c r="D704" s="115" t="s">
        <v>150</v>
      </c>
      <c r="E704" s="115" t="s">
        <v>151</v>
      </c>
      <c r="F704" s="116">
        <v>1</v>
      </c>
      <c r="G704" s="116">
        <v>0</v>
      </c>
      <c r="H704" s="117">
        <f t="shared" si="20"/>
        <v>0</v>
      </c>
      <c r="I704" s="118" t="str">
        <f t="shared" si="21"/>
        <v>AR</v>
      </c>
    </row>
    <row r="705" spans="1:9" x14ac:dyDescent="0.3">
      <c r="A705" s="115" t="s">
        <v>280</v>
      </c>
      <c r="B705" s="115" t="s">
        <v>282</v>
      </c>
      <c r="C705" s="115" t="s">
        <v>44</v>
      </c>
      <c r="D705" s="115" t="s">
        <v>127</v>
      </c>
      <c r="E705" s="115" t="s">
        <v>137</v>
      </c>
      <c r="F705" s="116">
        <v>21156</v>
      </c>
      <c r="G705" s="116">
        <v>184</v>
      </c>
      <c r="H705" s="117">
        <f t="shared" si="20"/>
        <v>8.697296275288334E-3</v>
      </c>
      <c r="I705" s="118" t="str">
        <f t="shared" si="21"/>
        <v>AR</v>
      </c>
    </row>
    <row r="706" spans="1:9" x14ac:dyDescent="0.3">
      <c r="A706" s="115" t="s">
        <v>280</v>
      </c>
      <c r="B706" s="115" t="s">
        <v>282</v>
      </c>
      <c r="C706" s="115" t="s">
        <v>44</v>
      </c>
      <c r="D706" s="115" t="s">
        <v>127</v>
      </c>
      <c r="E706" s="115" t="s">
        <v>137</v>
      </c>
      <c r="F706" s="116">
        <v>22170</v>
      </c>
      <c r="G706" s="116">
        <v>162</v>
      </c>
      <c r="H706" s="117">
        <f t="shared" si="20"/>
        <v>7.307171853856563E-3</v>
      </c>
      <c r="I706" s="118" t="str">
        <f t="shared" si="21"/>
        <v>AR</v>
      </c>
    </row>
    <row r="707" spans="1:9" x14ac:dyDescent="0.3">
      <c r="A707" s="115" t="s">
        <v>280</v>
      </c>
      <c r="B707" s="115" t="s">
        <v>282</v>
      </c>
      <c r="C707" s="115" t="s">
        <v>44</v>
      </c>
      <c r="D707" s="115" t="s">
        <v>127</v>
      </c>
      <c r="E707" s="115" t="s">
        <v>137</v>
      </c>
      <c r="F707" s="116">
        <v>26504</v>
      </c>
      <c r="G707" s="116">
        <v>202</v>
      </c>
      <c r="H707" s="117">
        <f t="shared" ref="H707:H770" si="22">G707/F707</f>
        <v>7.6214910956836704E-3</v>
      </c>
      <c r="I707" s="118" t="str">
        <f t="shared" ref="I707:I770" si="23">RIGHT(B707,2)</f>
        <v>AR</v>
      </c>
    </row>
    <row r="708" spans="1:9" x14ac:dyDescent="0.3">
      <c r="A708" s="115" t="s">
        <v>280</v>
      </c>
      <c r="B708" s="115" t="s">
        <v>282</v>
      </c>
      <c r="C708" s="115" t="s">
        <v>44</v>
      </c>
      <c r="D708" s="115" t="s">
        <v>127</v>
      </c>
      <c r="E708" s="115" t="s">
        <v>137</v>
      </c>
      <c r="F708" s="116">
        <v>25197</v>
      </c>
      <c r="G708" s="116">
        <v>132</v>
      </c>
      <c r="H708" s="117">
        <f t="shared" si="22"/>
        <v>5.2387188951065599E-3</v>
      </c>
      <c r="I708" s="118" t="str">
        <f t="shared" si="23"/>
        <v>AR</v>
      </c>
    </row>
    <row r="709" spans="1:9" x14ac:dyDescent="0.3">
      <c r="A709" s="115" t="s">
        <v>280</v>
      </c>
      <c r="B709" s="115" t="s">
        <v>282</v>
      </c>
      <c r="C709" s="115" t="s">
        <v>44</v>
      </c>
      <c r="D709" s="115" t="s">
        <v>127</v>
      </c>
      <c r="E709" s="115" t="s">
        <v>137</v>
      </c>
      <c r="F709" s="116">
        <v>17760</v>
      </c>
      <c r="G709" s="116">
        <v>81</v>
      </c>
      <c r="H709" s="117">
        <f t="shared" si="22"/>
        <v>4.5608108108108111E-3</v>
      </c>
      <c r="I709" s="118" t="str">
        <f t="shared" si="23"/>
        <v>AR</v>
      </c>
    </row>
    <row r="710" spans="1:9" x14ac:dyDescent="0.3">
      <c r="A710" s="115" t="s">
        <v>280</v>
      </c>
      <c r="B710" s="115" t="s">
        <v>283</v>
      </c>
      <c r="C710" s="115" t="s">
        <v>44</v>
      </c>
      <c r="D710" s="115" t="s">
        <v>127</v>
      </c>
      <c r="E710" s="115" t="s">
        <v>137</v>
      </c>
      <c r="F710" s="116">
        <v>3101</v>
      </c>
      <c r="G710" s="116">
        <v>5</v>
      </c>
      <c r="H710" s="117">
        <f t="shared" si="22"/>
        <v>1.6123831022250886E-3</v>
      </c>
      <c r="I710" s="118" t="str">
        <f t="shared" si="23"/>
        <v>AR</v>
      </c>
    </row>
    <row r="711" spans="1:9" x14ac:dyDescent="0.3">
      <c r="A711" s="115" t="s">
        <v>280</v>
      </c>
      <c r="B711" s="115" t="s">
        <v>283</v>
      </c>
      <c r="C711" s="115" t="s">
        <v>44</v>
      </c>
      <c r="D711" s="115" t="s">
        <v>127</v>
      </c>
      <c r="E711" s="115" t="s">
        <v>137</v>
      </c>
      <c r="F711" s="116">
        <v>3592</v>
      </c>
      <c r="G711" s="116">
        <v>5</v>
      </c>
      <c r="H711" s="117">
        <f t="shared" si="22"/>
        <v>1.3919821826280624E-3</v>
      </c>
      <c r="I711" s="118" t="str">
        <f t="shared" si="23"/>
        <v>AR</v>
      </c>
    </row>
    <row r="712" spans="1:9" x14ac:dyDescent="0.3">
      <c r="A712" s="115" t="s">
        <v>280</v>
      </c>
      <c r="B712" s="115" t="s">
        <v>284</v>
      </c>
      <c r="C712" s="115" t="s">
        <v>44</v>
      </c>
      <c r="D712" s="115" t="s">
        <v>127</v>
      </c>
      <c r="E712" s="115" t="s">
        <v>137</v>
      </c>
      <c r="F712" s="116">
        <v>12403</v>
      </c>
      <c r="G712" s="116">
        <v>89</v>
      </c>
      <c r="H712" s="117">
        <f t="shared" si="22"/>
        <v>7.1756833024268322E-3</v>
      </c>
      <c r="I712" s="118" t="str">
        <f t="shared" si="23"/>
        <v>EN</v>
      </c>
    </row>
    <row r="713" spans="1:9" x14ac:dyDescent="0.3">
      <c r="A713" s="115" t="s">
        <v>280</v>
      </c>
      <c r="B713" s="115" t="s">
        <v>284</v>
      </c>
      <c r="C713" s="115" t="s">
        <v>44</v>
      </c>
      <c r="D713" s="115" t="s">
        <v>127</v>
      </c>
      <c r="E713" s="115" t="s">
        <v>137</v>
      </c>
      <c r="F713" s="116">
        <v>22065</v>
      </c>
      <c r="G713" s="116">
        <v>154</v>
      </c>
      <c r="H713" s="117">
        <f t="shared" si="22"/>
        <v>6.9793791071833221E-3</v>
      </c>
      <c r="I713" s="118" t="str">
        <f t="shared" si="23"/>
        <v>EN</v>
      </c>
    </row>
    <row r="714" spans="1:9" x14ac:dyDescent="0.3">
      <c r="A714" s="115" t="s">
        <v>280</v>
      </c>
      <c r="B714" s="115" t="s">
        <v>284</v>
      </c>
      <c r="C714" s="115" t="s">
        <v>44</v>
      </c>
      <c r="D714" s="115" t="s">
        <v>127</v>
      </c>
      <c r="E714" s="115" t="s">
        <v>137</v>
      </c>
      <c r="F714" s="116">
        <v>27662</v>
      </c>
      <c r="G714" s="116">
        <v>94</v>
      </c>
      <c r="H714" s="117">
        <f t="shared" si="22"/>
        <v>3.3981635456583037E-3</v>
      </c>
      <c r="I714" s="118" t="str">
        <f t="shared" si="23"/>
        <v>EN</v>
      </c>
    </row>
    <row r="715" spans="1:9" x14ac:dyDescent="0.3">
      <c r="A715" s="115" t="s">
        <v>280</v>
      </c>
      <c r="B715" s="115" t="s">
        <v>284</v>
      </c>
      <c r="C715" s="115" t="s">
        <v>44</v>
      </c>
      <c r="D715" s="115" t="s">
        <v>127</v>
      </c>
      <c r="E715" s="115" t="s">
        <v>137</v>
      </c>
      <c r="F715" s="116">
        <v>21797</v>
      </c>
      <c r="G715" s="116">
        <v>75</v>
      </c>
      <c r="H715" s="117">
        <f t="shared" si="22"/>
        <v>3.4408404826352249E-3</v>
      </c>
      <c r="I715" s="118" t="str">
        <f t="shared" si="23"/>
        <v>EN</v>
      </c>
    </row>
    <row r="716" spans="1:9" x14ac:dyDescent="0.3">
      <c r="A716" s="115" t="s">
        <v>280</v>
      </c>
      <c r="B716" s="115" t="s">
        <v>284</v>
      </c>
      <c r="C716" s="115" t="s">
        <v>44</v>
      </c>
      <c r="D716" s="115" t="s">
        <v>127</v>
      </c>
      <c r="E716" s="115" t="s">
        <v>137</v>
      </c>
      <c r="F716" s="116">
        <v>16937</v>
      </c>
      <c r="G716" s="116">
        <v>75</v>
      </c>
      <c r="H716" s="117">
        <f t="shared" si="22"/>
        <v>4.4281750014760583E-3</v>
      </c>
      <c r="I716" s="118" t="str">
        <f t="shared" si="23"/>
        <v>EN</v>
      </c>
    </row>
    <row r="717" spans="1:9" x14ac:dyDescent="0.3">
      <c r="A717" s="115" t="s">
        <v>280</v>
      </c>
      <c r="B717" s="115" t="s">
        <v>285</v>
      </c>
      <c r="C717" s="115" t="s">
        <v>45</v>
      </c>
      <c r="D717" s="115" t="s">
        <v>127</v>
      </c>
      <c r="E717" s="115" t="s">
        <v>134</v>
      </c>
      <c r="F717" s="116">
        <v>36960</v>
      </c>
      <c r="G717" s="116">
        <v>76</v>
      </c>
      <c r="H717" s="117">
        <f t="shared" si="22"/>
        <v>2.0562770562770564E-3</v>
      </c>
      <c r="I717" s="118" t="str">
        <f t="shared" si="23"/>
        <v>AR</v>
      </c>
    </row>
    <row r="718" spans="1:9" x14ac:dyDescent="0.3">
      <c r="A718" s="115" t="s">
        <v>280</v>
      </c>
      <c r="B718" s="115" t="s">
        <v>285</v>
      </c>
      <c r="C718" s="115" t="s">
        <v>45</v>
      </c>
      <c r="D718" s="115" t="s">
        <v>127</v>
      </c>
      <c r="E718" s="115" t="s">
        <v>134</v>
      </c>
      <c r="F718" s="116">
        <v>27183</v>
      </c>
      <c r="G718" s="116">
        <v>50</v>
      </c>
      <c r="H718" s="117">
        <f t="shared" si="22"/>
        <v>1.8393849096862008E-3</v>
      </c>
      <c r="I718" s="118" t="str">
        <f t="shared" si="23"/>
        <v>AR</v>
      </c>
    </row>
    <row r="719" spans="1:9" x14ac:dyDescent="0.3">
      <c r="A719" s="115" t="s">
        <v>280</v>
      </c>
      <c r="B719" s="115" t="s">
        <v>285</v>
      </c>
      <c r="C719" s="115" t="s">
        <v>45</v>
      </c>
      <c r="D719" s="115" t="s">
        <v>127</v>
      </c>
      <c r="E719" s="115" t="s">
        <v>134</v>
      </c>
      <c r="F719" s="116">
        <v>21039</v>
      </c>
      <c r="G719" s="116">
        <v>34</v>
      </c>
      <c r="H719" s="117">
        <f t="shared" si="22"/>
        <v>1.6160463900375492E-3</v>
      </c>
      <c r="I719" s="118" t="str">
        <f t="shared" si="23"/>
        <v>AR</v>
      </c>
    </row>
    <row r="720" spans="1:9" x14ac:dyDescent="0.3">
      <c r="A720" s="115" t="s">
        <v>280</v>
      </c>
      <c r="B720" s="115" t="s">
        <v>285</v>
      </c>
      <c r="C720" s="115" t="s">
        <v>45</v>
      </c>
      <c r="D720" s="115" t="s">
        <v>127</v>
      </c>
      <c r="E720" s="115" t="s">
        <v>134</v>
      </c>
      <c r="F720" s="116">
        <v>29091</v>
      </c>
      <c r="G720" s="116">
        <v>46</v>
      </c>
      <c r="H720" s="117">
        <f t="shared" si="22"/>
        <v>1.5812450586091919E-3</v>
      </c>
      <c r="I720" s="118" t="str">
        <f t="shared" si="23"/>
        <v>AR</v>
      </c>
    </row>
    <row r="721" spans="1:9" x14ac:dyDescent="0.3">
      <c r="A721" s="115" t="s">
        <v>280</v>
      </c>
      <c r="B721" s="115" t="s">
        <v>285</v>
      </c>
      <c r="C721" s="115" t="s">
        <v>45</v>
      </c>
      <c r="D721" s="115" t="s">
        <v>127</v>
      </c>
      <c r="E721" s="115" t="s">
        <v>134</v>
      </c>
      <c r="F721" s="116">
        <v>21848</v>
      </c>
      <c r="G721" s="116">
        <v>33</v>
      </c>
      <c r="H721" s="117">
        <f t="shared" si="22"/>
        <v>1.5104357378249726E-3</v>
      </c>
      <c r="I721" s="118" t="str">
        <f t="shared" si="23"/>
        <v>AR</v>
      </c>
    </row>
    <row r="722" spans="1:9" x14ac:dyDescent="0.3">
      <c r="A722" s="115" t="s">
        <v>280</v>
      </c>
      <c r="B722" s="115" t="s">
        <v>286</v>
      </c>
      <c r="C722" s="115" t="s">
        <v>45</v>
      </c>
      <c r="D722" s="115" t="s">
        <v>127</v>
      </c>
      <c r="E722" s="115" t="s">
        <v>134</v>
      </c>
      <c r="F722" s="116">
        <v>11918</v>
      </c>
      <c r="G722" s="116">
        <v>2</v>
      </c>
      <c r="H722" s="117">
        <f t="shared" si="22"/>
        <v>1.678133915086424E-4</v>
      </c>
      <c r="I722" s="118" t="str">
        <f t="shared" si="23"/>
        <v>AR</v>
      </c>
    </row>
    <row r="723" spans="1:9" x14ac:dyDescent="0.3">
      <c r="A723" s="115" t="s">
        <v>280</v>
      </c>
      <c r="B723" s="115" t="s">
        <v>286</v>
      </c>
      <c r="C723" s="115" t="s">
        <v>45</v>
      </c>
      <c r="D723" s="115" t="s">
        <v>127</v>
      </c>
      <c r="E723" s="115" t="s">
        <v>134</v>
      </c>
      <c r="F723" s="116">
        <v>13543</v>
      </c>
      <c r="G723" s="116">
        <v>3</v>
      </c>
      <c r="H723" s="117">
        <f t="shared" si="22"/>
        <v>2.2151665066824189E-4</v>
      </c>
      <c r="I723" s="118" t="str">
        <f t="shared" si="23"/>
        <v>AR</v>
      </c>
    </row>
    <row r="724" spans="1:9" x14ac:dyDescent="0.3">
      <c r="A724" s="115" t="s">
        <v>280</v>
      </c>
      <c r="B724" s="115" t="s">
        <v>286</v>
      </c>
      <c r="C724" s="115" t="s">
        <v>45</v>
      </c>
      <c r="D724" s="115" t="s">
        <v>127</v>
      </c>
      <c r="E724" s="115" t="s">
        <v>134</v>
      </c>
      <c r="F724" s="116">
        <v>1</v>
      </c>
      <c r="G724" s="116">
        <v>0</v>
      </c>
      <c r="H724" s="117">
        <f t="shared" si="22"/>
        <v>0</v>
      </c>
      <c r="I724" s="118" t="str">
        <f t="shared" si="23"/>
        <v>AR</v>
      </c>
    </row>
    <row r="725" spans="1:9" x14ac:dyDescent="0.3">
      <c r="A725" s="115" t="s">
        <v>280</v>
      </c>
      <c r="B725" s="115" t="s">
        <v>287</v>
      </c>
      <c r="C725" s="115" t="s">
        <v>45</v>
      </c>
      <c r="D725" s="115" t="s">
        <v>127</v>
      </c>
      <c r="E725" s="115" t="s">
        <v>134</v>
      </c>
      <c r="F725" s="116">
        <v>11647</v>
      </c>
      <c r="G725" s="116">
        <v>21</v>
      </c>
      <c r="H725" s="117">
        <f t="shared" si="22"/>
        <v>1.8030394092899459E-3</v>
      </c>
      <c r="I725" s="118" t="str">
        <f t="shared" si="23"/>
        <v>EN</v>
      </c>
    </row>
    <row r="726" spans="1:9" x14ac:dyDescent="0.3">
      <c r="A726" s="115" t="s">
        <v>280</v>
      </c>
      <c r="B726" s="115" t="s">
        <v>287</v>
      </c>
      <c r="C726" s="115" t="s">
        <v>45</v>
      </c>
      <c r="D726" s="115" t="s">
        <v>127</v>
      </c>
      <c r="E726" s="115" t="s">
        <v>134</v>
      </c>
      <c r="F726" s="116">
        <v>22080</v>
      </c>
      <c r="G726" s="116">
        <v>40</v>
      </c>
      <c r="H726" s="117">
        <f t="shared" si="22"/>
        <v>1.8115942028985507E-3</v>
      </c>
      <c r="I726" s="118" t="str">
        <f t="shared" si="23"/>
        <v>EN</v>
      </c>
    </row>
    <row r="727" spans="1:9" x14ac:dyDescent="0.3">
      <c r="A727" s="115" t="s">
        <v>280</v>
      </c>
      <c r="B727" s="115" t="s">
        <v>287</v>
      </c>
      <c r="C727" s="115" t="s">
        <v>45</v>
      </c>
      <c r="D727" s="115" t="s">
        <v>127</v>
      </c>
      <c r="E727" s="115" t="s">
        <v>134</v>
      </c>
      <c r="F727" s="116">
        <v>30763</v>
      </c>
      <c r="G727" s="116">
        <v>30</v>
      </c>
      <c r="H727" s="117">
        <f t="shared" si="22"/>
        <v>9.7519747748919154E-4</v>
      </c>
      <c r="I727" s="118" t="str">
        <f t="shared" si="23"/>
        <v>EN</v>
      </c>
    </row>
    <row r="728" spans="1:9" x14ac:dyDescent="0.3">
      <c r="A728" s="115" t="s">
        <v>280</v>
      </c>
      <c r="B728" s="115" t="s">
        <v>287</v>
      </c>
      <c r="C728" s="115" t="s">
        <v>45</v>
      </c>
      <c r="D728" s="115" t="s">
        <v>127</v>
      </c>
      <c r="E728" s="115" t="s">
        <v>134</v>
      </c>
      <c r="F728" s="116">
        <v>35957</v>
      </c>
      <c r="G728" s="116">
        <v>27</v>
      </c>
      <c r="H728" s="117">
        <f t="shared" si="22"/>
        <v>7.5089690463609306E-4</v>
      </c>
      <c r="I728" s="118" t="str">
        <f t="shared" si="23"/>
        <v>EN</v>
      </c>
    </row>
    <row r="729" spans="1:9" x14ac:dyDescent="0.3">
      <c r="A729" s="115" t="s">
        <v>280</v>
      </c>
      <c r="B729" s="115" t="s">
        <v>287</v>
      </c>
      <c r="C729" s="115" t="s">
        <v>45</v>
      </c>
      <c r="D729" s="115" t="s">
        <v>127</v>
      </c>
      <c r="E729" s="115" t="s">
        <v>134</v>
      </c>
      <c r="F729" s="116">
        <v>23682</v>
      </c>
      <c r="G729" s="116">
        <v>35</v>
      </c>
      <c r="H729" s="117">
        <f t="shared" si="22"/>
        <v>1.4779157165779918E-3</v>
      </c>
      <c r="I729" s="118" t="str">
        <f t="shared" si="23"/>
        <v>EN</v>
      </c>
    </row>
    <row r="730" spans="1:9" x14ac:dyDescent="0.3">
      <c r="A730" s="115" t="s">
        <v>280</v>
      </c>
      <c r="B730" s="115" t="s">
        <v>288</v>
      </c>
      <c r="C730" s="115" t="s">
        <v>45</v>
      </c>
      <c r="D730" s="115" t="s">
        <v>127</v>
      </c>
      <c r="E730" s="115" t="s">
        <v>134</v>
      </c>
      <c r="F730" s="116">
        <v>1</v>
      </c>
      <c r="G730" s="116">
        <v>0</v>
      </c>
      <c r="H730" s="117">
        <f t="shared" si="22"/>
        <v>0</v>
      </c>
      <c r="I730" s="118" t="str">
        <f t="shared" si="23"/>
        <v>AR</v>
      </c>
    </row>
    <row r="731" spans="1:9" x14ac:dyDescent="0.3">
      <c r="A731" s="115" t="s">
        <v>280</v>
      </c>
      <c r="B731" s="115" t="s">
        <v>289</v>
      </c>
      <c r="C731" s="115" t="s">
        <v>45</v>
      </c>
      <c r="D731" s="115" t="s">
        <v>127</v>
      </c>
      <c r="E731" s="115" t="s">
        <v>134</v>
      </c>
      <c r="F731" s="116">
        <v>1</v>
      </c>
      <c r="G731" s="116">
        <v>0</v>
      </c>
      <c r="H731" s="117">
        <f t="shared" si="22"/>
        <v>0</v>
      </c>
      <c r="I731" s="118" t="str">
        <f t="shared" si="23"/>
        <v>AR</v>
      </c>
    </row>
    <row r="732" spans="1:9" x14ac:dyDescent="0.3">
      <c r="A732" s="115" t="s">
        <v>290</v>
      </c>
      <c r="B732" s="115" t="s">
        <v>291</v>
      </c>
      <c r="C732" s="115" t="s">
        <v>44</v>
      </c>
      <c r="D732" s="115" t="s">
        <v>150</v>
      </c>
      <c r="E732" s="115" t="s">
        <v>151</v>
      </c>
      <c r="F732" s="116">
        <v>1</v>
      </c>
      <c r="G732" s="116">
        <v>0</v>
      </c>
      <c r="H732" s="117">
        <f t="shared" si="22"/>
        <v>0</v>
      </c>
      <c r="I732" s="118" t="str">
        <f t="shared" si="23"/>
        <v>AR</v>
      </c>
    </row>
    <row r="733" spans="1:9" x14ac:dyDescent="0.3">
      <c r="A733" s="115" t="s">
        <v>290</v>
      </c>
      <c r="B733" s="115" t="s">
        <v>292</v>
      </c>
      <c r="C733" s="115" t="s">
        <v>45</v>
      </c>
      <c r="D733" s="115" t="s">
        <v>150</v>
      </c>
      <c r="E733" s="115" t="s">
        <v>151</v>
      </c>
      <c r="F733" s="116">
        <v>1</v>
      </c>
      <c r="G733" s="116">
        <v>0</v>
      </c>
      <c r="H733" s="117">
        <f t="shared" si="22"/>
        <v>0</v>
      </c>
      <c r="I733" s="118" t="str">
        <f t="shared" si="23"/>
        <v>AR</v>
      </c>
    </row>
    <row r="734" spans="1:9" x14ac:dyDescent="0.3">
      <c r="A734" s="115" t="s">
        <v>293</v>
      </c>
      <c r="B734" s="115" t="s">
        <v>294</v>
      </c>
      <c r="C734" s="115" t="s">
        <v>44</v>
      </c>
      <c r="D734" s="115" t="s">
        <v>150</v>
      </c>
      <c r="E734" s="115" t="s">
        <v>151</v>
      </c>
      <c r="F734" s="116">
        <v>1</v>
      </c>
      <c r="G734" s="116">
        <v>0</v>
      </c>
      <c r="H734" s="117">
        <f t="shared" si="22"/>
        <v>0</v>
      </c>
      <c r="I734" s="118" t="str">
        <f t="shared" si="23"/>
        <v>AR</v>
      </c>
    </row>
    <row r="735" spans="1:9" x14ac:dyDescent="0.3">
      <c r="A735" s="115" t="s">
        <v>295</v>
      </c>
      <c r="B735" s="115" t="s">
        <v>296</v>
      </c>
      <c r="C735" s="115" t="s">
        <v>44</v>
      </c>
      <c r="D735" s="115" t="s">
        <v>150</v>
      </c>
      <c r="E735" s="115" t="s">
        <v>151</v>
      </c>
      <c r="F735" s="116">
        <v>2</v>
      </c>
      <c r="G735" s="116">
        <v>0</v>
      </c>
      <c r="H735" s="117">
        <f t="shared" si="22"/>
        <v>0</v>
      </c>
      <c r="I735" s="118" t="str">
        <f t="shared" si="23"/>
        <v>EN</v>
      </c>
    </row>
    <row r="736" spans="1:9" x14ac:dyDescent="0.3">
      <c r="A736" s="115" t="s">
        <v>295</v>
      </c>
      <c r="B736" s="115" t="s">
        <v>297</v>
      </c>
      <c r="C736" s="115" t="s">
        <v>44</v>
      </c>
      <c r="D736" s="115" t="s">
        <v>150</v>
      </c>
      <c r="E736" s="115" t="s">
        <v>151</v>
      </c>
      <c r="F736" s="116">
        <v>8</v>
      </c>
      <c r="G736" s="116">
        <v>0</v>
      </c>
      <c r="H736" s="117">
        <f t="shared" si="22"/>
        <v>0</v>
      </c>
      <c r="I736" s="118" t="str">
        <f t="shared" si="23"/>
        <v>AR</v>
      </c>
    </row>
    <row r="737" spans="1:9" x14ac:dyDescent="0.3">
      <c r="A737" s="115" t="s">
        <v>295</v>
      </c>
      <c r="B737" s="115" t="s">
        <v>297</v>
      </c>
      <c r="C737" s="115" t="s">
        <v>44</v>
      </c>
      <c r="D737" s="115" t="s">
        <v>150</v>
      </c>
      <c r="E737" s="115" t="s">
        <v>151</v>
      </c>
      <c r="F737" s="116">
        <v>1</v>
      </c>
      <c r="G737" s="116">
        <v>0</v>
      </c>
      <c r="H737" s="117">
        <f t="shared" si="22"/>
        <v>0</v>
      </c>
      <c r="I737" s="118" t="str">
        <f t="shared" si="23"/>
        <v>AR</v>
      </c>
    </row>
    <row r="738" spans="1:9" x14ac:dyDescent="0.3">
      <c r="A738" s="115" t="s">
        <v>295</v>
      </c>
      <c r="B738" s="115" t="s">
        <v>298</v>
      </c>
      <c r="C738" s="115" t="s">
        <v>44</v>
      </c>
      <c r="D738" s="115" t="s">
        <v>127</v>
      </c>
      <c r="E738" s="115" t="s">
        <v>137</v>
      </c>
      <c r="F738" s="116">
        <v>1</v>
      </c>
      <c r="G738" s="116">
        <v>0</v>
      </c>
      <c r="H738" s="117">
        <f t="shared" si="22"/>
        <v>0</v>
      </c>
      <c r="I738" s="118" t="str">
        <f t="shared" si="23"/>
        <v>EN</v>
      </c>
    </row>
    <row r="739" spans="1:9" x14ac:dyDescent="0.3">
      <c r="A739" s="115" t="s">
        <v>295</v>
      </c>
      <c r="B739" s="115" t="s">
        <v>299</v>
      </c>
      <c r="C739" s="115" t="s">
        <v>300</v>
      </c>
      <c r="D739" s="115" t="s">
        <v>127</v>
      </c>
      <c r="E739" s="115" t="s">
        <v>137</v>
      </c>
      <c r="F739" s="116">
        <v>3</v>
      </c>
      <c r="G739" s="116">
        <v>0</v>
      </c>
      <c r="H739" s="117">
        <f t="shared" si="22"/>
        <v>0</v>
      </c>
      <c r="I739" s="118" t="str">
        <f t="shared" si="23"/>
        <v>AR</v>
      </c>
    </row>
    <row r="740" spans="1:9" x14ac:dyDescent="0.3">
      <c r="A740" s="115" t="s">
        <v>295</v>
      </c>
      <c r="B740" s="115" t="s">
        <v>299</v>
      </c>
      <c r="C740" s="115" t="s">
        <v>300</v>
      </c>
      <c r="D740" s="115" t="s">
        <v>127</v>
      </c>
      <c r="E740" s="115" t="s">
        <v>137</v>
      </c>
      <c r="F740" s="116">
        <v>1</v>
      </c>
      <c r="G740" s="116">
        <v>0</v>
      </c>
      <c r="H740" s="117">
        <f t="shared" si="22"/>
        <v>0</v>
      </c>
      <c r="I740" s="118" t="str">
        <f t="shared" si="23"/>
        <v>AR</v>
      </c>
    </row>
    <row r="741" spans="1:9" x14ac:dyDescent="0.3">
      <c r="A741" s="115" t="s">
        <v>295</v>
      </c>
      <c r="B741" s="115" t="s">
        <v>299</v>
      </c>
      <c r="C741" s="115" t="s">
        <v>300</v>
      </c>
      <c r="D741" s="115" t="s">
        <v>127</v>
      </c>
      <c r="E741" s="115" t="s">
        <v>137</v>
      </c>
      <c r="F741" s="116">
        <v>1</v>
      </c>
      <c r="G741" s="116">
        <v>0</v>
      </c>
      <c r="H741" s="117">
        <f t="shared" si="22"/>
        <v>0</v>
      </c>
      <c r="I741" s="118" t="str">
        <f t="shared" si="23"/>
        <v>AR</v>
      </c>
    </row>
    <row r="742" spans="1:9" x14ac:dyDescent="0.3">
      <c r="A742" s="115" t="s">
        <v>295</v>
      </c>
      <c r="B742" s="115" t="s">
        <v>301</v>
      </c>
      <c r="C742" s="115" t="s">
        <v>45</v>
      </c>
      <c r="D742" s="115" t="s">
        <v>150</v>
      </c>
      <c r="E742" s="115" t="s">
        <v>151</v>
      </c>
      <c r="F742" s="116">
        <v>2</v>
      </c>
      <c r="G742" s="116">
        <v>0</v>
      </c>
      <c r="H742" s="117">
        <f t="shared" si="22"/>
        <v>0</v>
      </c>
      <c r="I742" s="118" t="str">
        <f t="shared" si="23"/>
        <v>AR</v>
      </c>
    </row>
    <row r="743" spans="1:9" x14ac:dyDescent="0.3">
      <c r="A743" s="115" t="s">
        <v>295</v>
      </c>
      <c r="B743" s="115" t="s">
        <v>301</v>
      </c>
      <c r="C743" s="115" t="s">
        <v>45</v>
      </c>
      <c r="D743" s="115" t="s">
        <v>150</v>
      </c>
      <c r="E743" s="115" t="s">
        <v>151</v>
      </c>
      <c r="F743" s="116">
        <v>1</v>
      </c>
      <c r="G743" s="116">
        <v>0</v>
      </c>
      <c r="H743" s="117">
        <f t="shared" si="22"/>
        <v>0</v>
      </c>
      <c r="I743" s="118" t="str">
        <f t="shared" si="23"/>
        <v>AR</v>
      </c>
    </row>
    <row r="744" spans="1:9" x14ac:dyDescent="0.3">
      <c r="A744" s="115" t="s">
        <v>295</v>
      </c>
      <c r="B744" s="115" t="s">
        <v>301</v>
      </c>
      <c r="C744" s="115" t="s">
        <v>45</v>
      </c>
      <c r="D744" s="115" t="s">
        <v>150</v>
      </c>
      <c r="E744" s="115" t="s">
        <v>151</v>
      </c>
      <c r="F744" s="116">
        <v>1</v>
      </c>
      <c r="G744" s="116">
        <v>0</v>
      </c>
      <c r="H744" s="117">
        <f t="shared" si="22"/>
        <v>0</v>
      </c>
      <c r="I744" s="118" t="str">
        <f t="shared" si="23"/>
        <v>AR</v>
      </c>
    </row>
    <row r="745" spans="1:9" x14ac:dyDescent="0.3">
      <c r="A745" s="115" t="s">
        <v>295</v>
      </c>
      <c r="B745" s="115" t="s">
        <v>301</v>
      </c>
      <c r="C745" s="115" t="s">
        <v>45</v>
      </c>
      <c r="D745" s="115" t="s">
        <v>127</v>
      </c>
      <c r="E745" s="115" t="s">
        <v>137</v>
      </c>
      <c r="F745" s="116">
        <v>2</v>
      </c>
      <c r="G745" s="116">
        <v>0</v>
      </c>
      <c r="H745" s="117">
        <f t="shared" si="22"/>
        <v>0</v>
      </c>
      <c r="I745" s="118" t="str">
        <f t="shared" si="23"/>
        <v>AR</v>
      </c>
    </row>
    <row r="746" spans="1:9" x14ac:dyDescent="0.3">
      <c r="A746" s="115" t="s">
        <v>295</v>
      </c>
      <c r="B746" s="115" t="s">
        <v>301</v>
      </c>
      <c r="C746" s="115" t="s">
        <v>45</v>
      </c>
      <c r="D746" s="115" t="s">
        <v>127</v>
      </c>
      <c r="E746" s="115" t="s">
        <v>137</v>
      </c>
      <c r="F746" s="116">
        <v>2</v>
      </c>
      <c r="G746" s="116">
        <v>0</v>
      </c>
      <c r="H746" s="117">
        <f t="shared" si="22"/>
        <v>0</v>
      </c>
      <c r="I746" s="118" t="str">
        <f t="shared" si="23"/>
        <v>AR</v>
      </c>
    </row>
    <row r="747" spans="1:9" x14ac:dyDescent="0.3">
      <c r="A747" s="115" t="s">
        <v>295</v>
      </c>
      <c r="B747" s="115" t="s">
        <v>302</v>
      </c>
      <c r="C747" s="115" t="s">
        <v>44</v>
      </c>
      <c r="D747" s="115" t="s">
        <v>127</v>
      </c>
      <c r="E747" s="115" t="s">
        <v>137</v>
      </c>
      <c r="F747" s="116">
        <v>1</v>
      </c>
      <c r="G747" s="116">
        <v>0</v>
      </c>
      <c r="H747" s="117">
        <f t="shared" si="22"/>
        <v>0</v>
      </c>
      <c r="I747" s="118" t="str">
        <f t="shared" si="23"/>
        <v>AR</v>
      </c>
    </row>
    <row r="748" spans="1:9" x14ac:dyDescent="0.3">
      <c r="A748" s="115" t="s">
        <v>295</v>
      </c>
      <c r="B748" s="115" t="s">
        <v>303</v>
      </c>
      <c r="C748" s="115" t="s">
        <v>44</v>
      </c>
      <c r="D748" s="115" t="s">
        <v>150</v>
      </c>
      <c r="E748" s="115" t="s">
        <v>151</v>
      </c>
      <c r="F748" s="116">
        <v>2</v>
      </c>
      <c r="G748" s="116">
        <v>0</v>
      </c>
      <c r="H748" s="117">
        <f t="shared" si="22"/>
        <v>0</v>
      </c>
      <c r="I748" s="118" t="str">
        <f t="shared" si="23"/>
        <v>AR</v>
      </c>
    </row>
    <row r="749" spans="1:9" x14ac:dyDescent="0.3">
      <c r="A749" s="115" t="s">
        <v>295</v>
      </c>
      <c r="B749" s="115" t="s">
        <v>303</v>
      </c>
      <c r="C749" s="115" t="s">
        <v>44</v>
      </c>
      <c r="D749" s="115" t="s">
        <v>150</v>
      </c>
      <c r="E749" s="115" t="s">
        <v>151</v>
      </c>
      <c r="F749" s="116">
        <v>3</v>
      </c>
      <c r="G749" s="116">
        <v>0</v>
      </c>
      <c r="H749" s="117">
        <f t="shared" si="22"/>
        <v>0</v>
      </c>
      <c r="I749" s="118" t="str">
        <f t="shared" si="23"/>
        <v>AR</v>
      </c>
    </row>
    <row r="750" spans="1:9" x14ac:dyDescent="0.3">
      <c r="A750" s="115" t="s">
        <v>295</v>
      </c>
      <c r="B750" s="115" t="s">
        <v>303</v>
      </c>
      <c r="C750" s="115" t="s">
        <v>44</v>
      </c>
      <c r="D750" s="115" t="s">
        <v>150</v>
      </c>
      <c r="E750" s="115" t="s">
        <v>151</v>
      </c>
      <c r="F750" s="116">
        <v>1</v>
      </c>
      <c r="G750" s="116">
        <v>0</v>
      </c>
      <c r="H750" s="117">
        <f t="shared" si="22"/>
        <v>0</v>
      </c>
      <c r="I750" s="118" t="str">
        <f t="shared" si="23"/>
        <v>AR</v>
      </c>
    </row>
    <row r="751" spans="1:9" x14ac:dyDescent="0.3">
      <c r="A751" s="115" t="s">
        <v>295</v>
      </c>
      <c r="B751" s="115" t="s">
        <v>304</v>
      </c>
      <c r="C751" s="115" t="s">
        <v>300</v>
      </c>
      <c r="D751" s="115" t="s">
        <v>127</v>
      </c>
      <c r="E751" s="115" t="s">
        <v>137</v>
      </c>
      <c r="F751" s="116">
        <v>1</v>
      </c>
      <c r="G751" s="116">
        <v>0</v>
      </c>
      <c r="H751" s="117">
        <f t="shared" si="22"/>
        <v>0</v>
      </c>
      <c r="I751" s="118" t="str">
        <f t="shared" si="23"/>
        <v>EN</v>
      </c>
    </row>
    <row r="752" spans="1:9" x14ac:dyDescent="0.3">
      <c r="A752" s="115" t="s">
        <v>295</v>
      </c>
      <c r="B752" s="115" t="s">
        <v>304</v>
      </c>
      <c r="C752" s="115" t="s">
        <v>300</v>
      </c>
      <c r="D752" s="115" t="s">
        <v>127</v>
      </c>
      <c r="E752" s="115" t="s">
        <v>137</v>
      </c>
      <c r="F752" s="116">
        <v>1</v>
      </c>
      <c r="G752" s="116">
        <v>0</v>
      </c>
      <c r="H752" s="117">
        <f t="shared" si="22"/>
        <v>0</v>
      </c>
      <c r="I752" s="118" t="str">
        <f t="shared" si="23"/>
        <v>EN</v>
      </c>
    </row>
    <row r="753" spans="1:9" x14ac:dyDescent="0.3">
      <c r="A753" s="115" t="s">
        <v>295</v>
      </c>
      <c r="B753" s="115" t="s">
        <v>305</v>
      </c>
      <c r="C753" s="115" t="s">
        <v>45</v>
      </c>
      <c r="D753" s="115" t="s">
        <v>150</v>
      </c>
      <c r="E753" s="115" t="s">
        <v>151</v>
      </c>
      <c r="F753" s="116">
        <v>1</v>
      </c>
      <c r="G753" s="116">
        <v>0</v>
      </c>
      <c r="H753" s="117">
        <f t="shared" si="22"/>
        <v>0</v>
      </c>
      <c r="I753" s="118" t="str">
        <f t="shared" si="23"/>
        <v>AR</v>
      </c>
    </row>
    <row r="754" spans="1:9" x14ac:dyDescent="0.3">
      <c r="A754" s="115" t="s">
        <v>295</v>
      </c>
      <c r="B754" s="115" t="s">
        <v>305</v>
      </c>
      <c r="C754" s="115" t="s">
        <v>45</v>
      </c>
      <c r="D754" s="115" t="s">
        <v>127</v>
      </c>
      <c r="E754" s="115" t="s">
        <v>137</v>
      </c>
      <c r="F754" s="116">
        <v>1</v>
      </c>
      <c r="G754" s="116">
        <v>0</v>
      </c>
      <c r="H754" s="117">
        <f t="shared" si="22"/>
        <v>0</v>
      </c>
      <c r="I754" s="118" t="str">
        <f t="shared" si="23"/>
        <v>AR</v>
      </c>
    </row>
    <row r="755" spans="1:9" x14ac:dyDescent="0.3">
      <c r="A755" s="115" t="s">
        <v>295</v>
      </c>
      <c r="B755" s="115" t="s">
        <v>306</v>
      </c>
      <c r="C755" s="115" t="s">
        <v>44</v>
      </c>
      <c r="D755" s="115" t="s">
        <v>127</v>
      </c>
      <c r="E755" s="115" t="s">
        <v>128</v>
      </c>
      <c r="F755" s="116">
        <v>1</v>
      </c>
      <c r="G755" s="116">
        <v>0</v>
      </c>
      <c r="H755" s="117">
        <f t="shared" si="22"/>
        <v>0</v>
      </c>
      <c r="I755" s="118" t="str">
        <f t="shared" si="23"/>
        <v>AR</v>
      </c>
    </row>
    <row r="756" spans="1:9" x14ac:dyDescent="0.3">
      <c r="A756" s="115" t="s">
        <v>295</v>
      </c>
      <c r="B756" s="115" t="s">
        <v>307</v>
      </c>
      <c r="C756" s="115" t="s">
        <v>44</v>
      </c>
      <c r="D756" s="115" t="s">
        <v>127</v>
      </c>
      <c r="E756" s="115" t="s">
        <v>128</v>
      </c>
      <c r="F756" s="116">
        <v>1</v>
      </c>
      <c r="G756" s="116">
        <v>0</v>
      </c>
      <c r="H756" s="117">
        <f t="shared" si="22"/>
        <v>0</v>
      </c>
      <c r="I756" s="118" t="str">
        <f t="shared" si="23"/>
        <v>AR</v>
      </c>
    </row>
    <row r="757" spans="1:9" x14ac:dyDescent="0.3">
      <c r="A757" s="115" t="s">
        <v>295</v>
      </c>
      <c r="B757" s="115" t="s">
        <v>307</v>
      </c>
      <c r="C757" s="115" t="s">
        <v>44</v>
      </c>
      <c r="D757" s="115" t="s">
        <v>127</v>
      </c>
      <c r="E757" s="115" t="s">
        <v>128</v>
      </c>
      <c r="F757" s="116">
        <v>2</v>
      </c>
      <c r="G757" s="116">
        <v>0</v>
      </c>
      <c r="H757" s="117">
        <f t="shared" si="22"/>
        <v>0</v>
      </c>
      <c r="I757" s="118" t="str">
        <f t="shared" si="23"/>
        <v>AR</v>
      </c>
    </row>
    <row r="758" spans="1:9" x14ac:dyDescent="0.3">
      <c r="A758" s="115" t="s">
        <v>295</v>
      </c>
      <c r="B758" s="115" t="s">
        <v>307</v>
      </c>
      <c r="C758" s="115" t="s">
        <v>44</v>
      </c>
      <c r="D758" s="115" t="s">
        <v>127</v>
      </c>
      <c r="E758" s="115" t="s">
        <v>128</v>
      </c>
      <c r="F758" s="116">
        <v>1</v>
      </c>
      <c r="G758" s="116">
        <v>0</v>
      </c>
      <c r="H758" s="117">
        <f t="shared" si="22"/>
        <v>0</v>
      </c>
      <c r="I758" s="118" t="str">
        <f t="shared" si="23"/>
        <v>AR</v>
      </c>
    </row>
    <row r="759" spans="1:9" x14ac:dyDescent="0.3">
      <c r="A759" s="115" t="s">
        <v>295</v>
      </c>
      <c r="B759" s="115" t="s">
        <v>308</v>
      </c>
      <c r="C759" s="115" t="s">
        <v>45</v>
      </c>
      <c r="D759" s="115" t="s">
        <v>150</v>
      </c>
      <c r="E759" s="115" t="s">
        <v>151</v>
      </c>
      <c r="F759" s="116">
        <v>2</v>
      </c>
      <c r="G759" s="116">
        <v>0</v>
      </c>
      <c r="H759" s="117">
        <f t="shared" si="22"/>
        <v>0</v>
      </c>
      <c r="I759" s="118" t="str">
        <f t="shared" si="23"/>
        <v>EN</v>
      </c>
    </row>
    <row r="760" spans="1:9" x14ac:dyDescent="0.3">
      <c r="A760" s="115" t="s">
        <v>295</v>
      </c>
      <c r="B760" s="115" t="s">
        <v>309</v>
      </c>
      <c r="C760" s="115" t="s">
        <v>45</v>
      </c>
      <c r="D760" s="115" t="s">
        <v>127</v>
      </c>
      <c r="E760" s="115" t="s">
        <v>134</v>
      </c>
      <c r="F760" s="116">
        <v>1</v>
      </c>
      <c r="G760" s="116">
        <v>0</v>
      </c>
      <c r="H760" s="117">
        <f t="shared" si="22"/>
        <v>0</v>
      </c>
      <c r="I760" s="118" t="str">
        <f t="shared" si="23"/>
        <v>AR</v>
      </c>
    </row>
    <row r="761" spans="1:9" x14ac:dyDescent="0.3">
      <c r="A761" s="115" t="s">
        <v>295</v>
      </c>
      <c r="B761" s="115" t="s">
        <v>310</v>
      </c>
      <c r="C761" s="115" t="s">
        <v>45</v>
      </c>
      <c r="D761" s="115" t="s">
        <v>127</v>
      </c>
      <c r="E761" s="115" t="s">
        <v>134</v>
      </c>
      <c r="F761" s="116">
        <v>1</v>
      </c>
      <c r="G761" s="116">
        <v>0</v>
      </c>
      <c r="H761" s="117">
        <f t="shared" si="22"/>
        <v>0</v>
      </c>
      <c r="I761" s="118" t="str">
        <f t="shared" si="23"/>
        <v>AR</v>
      </c>
    </row>
    <row r="762" spans="1:9" x14ac:dyDescent="0.3">
      <c r="A762" s="115" t="s">
        <v>295</v>
      </c>
      <c r="B762" s="115" t="s">
        <v>311</v>
      </c>
      <c r="C762" s="115" t="s">
        <v>44</v>
      </c>
      <c r="D762" s="115" t="s">
        <v>127</v>
      </c>
      <c r="E762" s="115" t="s">
        <v>128</v>
      </c>
      <c r="F762" s="116">
        <v>1</v>
      </c>
      <c r="G762" s="116">
        <v>0</v>
      </c>
      <c r="H762" s="117">
        <f t="shared" si="22"/>
        <v>0</v>
      </c>
      <c r="I762" s="118" t="str">
        <f t="shared" si="23"/>
        <v>EN</v>
      </c>
    </row>
    <row r="763" spans="1:9" x14ac:dyDescent="0.3">
      <c r="A763" s="115" t="s">
        <v>295</v>
      </c>
      <c r="B763" s="115" t="s">
        <v>312</v>
      </c>
      <c r="C763" s="115" t="s">
        <v>45</v>
      </c>
      <c r="D763" s="115" t="s">
        <v>127</v>
      </c>
      <c r="E763" s="115" t="s">
        <v>134</v>
      </c>
      <c r="F763" s="116">
        <v>1</v>
      </c>
      <c r="G763" s="116">
        <v>0</v>
      </c>
      <c r="H763" s="117">
        <f t="shared" si="22"/>
        <v>0</v>
      </c>
      <c r="I763" s="118" t="str">
        <f t="shared" si="23"/>
        <v>AR</v>
      </c>
    </row>
    <row r="764" spans="1:9" x14ac:dyDescent="0.3">
      <c r="A764" s="115" t="s">
        <v>295</v>
      </c>
      <c r="B764" s="115" t="s">
        <v>312</v>
      </c>
      <c r="C764" s="115" t="s">
        <v>45</v>
      </c>
      <c r="D764" s="115" t="s">
        <v>127</v>
      </c>
      <c r="E764" s="115" t="s">
        <v>134</v>
      </c>
      <c r="F764" s="116">
        <v>1</v>
      </c>
      <c r="G764" s="116">
        <v>0</v>
      </c>
      <c r="H764" s="117">
        <f t="shared" si="22"/>
        <v>0</v>
      </c>
      <c r="I764" s="118" t="str">
        <f t="shared" si="23"/>
        <v>AR</v>
      </c>
    </row>
    <row r="765" spans="1:9" x14ac:dyDescent="0.3">
      <c r="A765" s="115" t="s">
        <v>295</v>
      </c>
      <c r="B765" s="115" t="s">
        <v>313</v>
      </c>
      <c r="C765" s="115" t="s">
        <v>45</v>
      </c>
      <c r="D765" s="115" t="s">
        <v>127</v>
      </c>
      <c r="E765" s="115" t="s">
        <v>134</v>
      </c>
      <c r="F765" s="116">
        <v>1</v>
      </c>
      <c r="G765" s="116">
        <v>1</v>
      </c>
      <c r="H765" s="117">
        <f t="shared" si="22"/>
        <v>1</v>
      </c>
      <c r="I765" s="118" t="str">
        <f t="shared" si="23"/>
        <v>AR</v>
      </c>
    </row>
    <row r="766" spans="1:9" x14ac:dyDescent="0.3">
      <c r="A766" s="115" t="s">
        <v>295</v>
      </c>
      <c r="B766" s="115" t="s">
        <v>314</v>
      </c>
      <c r="C766" s="115" t="s">
        <v>45</v>
      </c>
      <c r="D766" s="115" t="s">
        <v>127</v>
      </c>
      <c r="E766" s="115" t="s">
        <v>134</v>
      </c>
      <c r="F766" s="116">
        <v>1</v>
      </c>
      <c r="G766" s="116">
        <v>1</v>
      </c>
      <c r="H766" s="117">
        <f t="shared" si="22"/>
        <v>1</v>
      </c>
      <c r="I766" s="118" t="str">
        <f t="shared" si="23"/>
        <v>EN</v>
      </c>
    </row>
    <row r="767" spans="1:9" x14ac:dyDescent="0.3">
      <c r="A767" s="115" t="s">
        <v>295</v>
      </c>
      <c r="B767" s="115" t="s">
        <v>315</v>
      </c>
      <c r="C767" s="115" t="s">
        <v>45</v>
      </c>
      <c r="D767" s="115" t="s">
        <v>150</v>
      </c>
      <c r="E767" s="115" t="s">
        <v>151</v>
      </c>
      <c r="F767" s="116">
        <v>1</v>
      </c>
      <c r="G767" s="116">
        <v>0</v>
      </c>
      <c r="H767" s="117">
        <f t="shared" si="22"/>
        <v>0</v>
      </c>
      <c r="I767" s="118" t="str">
        <f t="shared" si="23"/>
        <v>AR</v>
      </c>
    </row>
    <row r="768" spans="1:9" x14ac:dyDescent="0.3">
      <c r="A768" s="115" t="s">
        <v>295</v>
      </c>
      <c r="B768" s="115" t="s">
        <v>315</v>
      </c>
      <c r="C768" s="115" t="s">
        <v>45</v>
      </c>
      <c r="D768" s="115" t="s">
        <v>127</v>
      </c>
      <c r="E768" s="115" t="s">
        <v>134</v>
      </c>
      <c r="F768" s="116">
        <v>5</v>
      </c>
      <c r="G768" s="116">
        <v>1</v>
      </c>
      <c r="H768" s="117">
        <f t="shared" si="22"/>
        <v>0.2</v>
      </c>
      <c r="I768" s="118" t="str">
        <f t="shared" si="23"/>
        <v>AR</v>
      </c>
    </row>
    <row r="769" spans="1:9" x14ac:dyDescent="0.3">
      <c r="A769" s="115" t="s">
        <v>295</v>
      </c>
      <c r="B769" s="115" t="s">
        <v>315</v>
      </c>
      <c r="C769" s="115" t="s">
        <v>45</v>
      </c>
      <c r="D769" s="115" t="s">
        <v>127</v>
      </c>
      <c r="E769" s="115" t="s">
        <v>134</v>
      </c>
      <c r="F769" s="116">
        <v>3</v>
      </c>
      <c r="G769" s="116">
        <v>0</v>
      </c>
      <c r="H769" s="117">
        <f t="shared" si="22"/>
        <v>0</v>
      </c>
      <c r="I769" s="118" t="str">
        <f t="shared" si="23"/>
        <v>AR</v>
      </c>
    </row>
    <row r="770" spans="1:9" x14ac:dyDescent="0.3">
      <c r="A770" s="115" t="s">
        <v>295</v>
      </c>
      <c r="B770" s="115" t="s">
        <v>315</v>
      </c>
      <c r="C770" s="115" t="s">
        <v>45</v>
      </c>
      <c r="D770" s="115" t="s">
        <v>127</v>
      </c>
      <c r="E770" s="115" t="s">
        <v>134</v>
      </c>
      <c r="F770" s="116">
        <v>1</v>
      </c>
      <c r="G770" s="116">
        <v>0</v>
      </c>
      <c r="H770" s="117">
        <f t="shared" si="22"/>
        <v>0</v>
      </c>
      <c r="I770" s="118" t="str">
        <f t="shared" si="23"/>
        <v>AR</v>
      </c>
    </row>
    <row r="771" spans="1:9" x14ac:dyDescent="0.3">
      <c r="A771" s="115" t="s">
        <v>295</v>
      </c>
      <c r="B771" s="115" t="s">
        <v>315</v>
      </c>
      <c r="C771" s="115" t="s">
        <v>45</v>
      </c>
      <c r="D771" s="115" t="s">
        <v>127</v>
      </c>
      <c r="E771" s="115" t="s">
        <v>134</v>
      </c>
      <c r="F771" s="116">
        <v>2</v>
      </c>
      <c r="G771" s="116">
        <v>0</v>
      </c>
      <c r="H771" s="117">
        <f t="shared" ref="H771:H834" si="24">G771/F771</f>
        <v>0</v>
      </c>
      <c r="I771" s="118" t="str">
        <f t="shared" ref="I771:I834" si="25">RIGHT(B771,2)</f>
        <v>AR</v>
      </c>
    </row>
    <row r="772" spans="1:9" x14ac:dyDescent="0.3">
      <c r="A772" s="115" t="s">
        <v>295</v>
      </c>
      <c r="B772" s="115" t="s">
        <v>316</v>
      </c>
      <c r="C772" s="115" t="s">
        <v>45</v>
      </c>
      <c r="D772" s="115" t="s">
        <v>150</v>
      </c>
      <c r="E772" s="115" t="s">
        <v>151</v>
      </c>
      <c r="F772" s="116">
        <v>7</v>
      </c>
      <c r="G772" s="116">
        <v>0</v>
      </c>
      <c r="H772" s="117">
        <f t="shared" si="24"/>
        <v>0</v>
      </c>
      <c r="I772" s="118" t="str">
        <f t="shared" si="25"/>
        <v>EN</v>
      </c>
    </row>
    <row r="773" spans="1:9" x14ac:dyDescent="0.3">
      <c r="A773" s="115" t="s">
        <v>295</v>
      </c>
      <c r="B773" s="115" t="s">
        <v>316</v>
      </c>
      <c r="C773" s="115" t="s">
        <v>45</v>
      </c>
      <c r="D773" s="115" t="s">
        <v>127</v>
      </c>
      <c r="E773" s="115" t="s">
        <v>134</v>
      </c>
      <c r="F773" s="116">
        <v>2</v>
      </c>
      <c r="G773" s="116">
        <v>0</v>
      </c>
      <c r="H773" s="117">
        <f t="shared" si="24"/>
        <v>0</v>
      </c>
      <c r="I773" s="118" t="str">
        <f t="shared" si="25"/>
        <v>EN</v>
      </c>
    </row>
    <row r="774" spans="1:9" x14ac:dyDescent="0.3">
      <c r="A774" s="115" t="s">
        <v>295</v>
      </c>
      <c r="B774" s="115" t="s">
        <v>316</v>
      </c>
      <c r="C774" s="115" t="s">
        <v>45</v>
      </c>
      <c r="D774" s="115" t="s">
        <v>127</v>
      </c>
      <c r="E774" s="115" t="s">
        <v>134</v>
      </c>
      <c r="F774" s="116">
        <v>1</v>
      </c>
      <c r="G774" s="116">
        <v>0</v>
      </c>
      <c r="H774" s="117">
        <f t="shared" si="24"/>
        <v>0</v>
      </c>
      <c r="I774" s="118" t="str">
        <f t="shared" si="25"/>
        <v>EN</v>
      </c>
    </row>
    <row r="775" spans="1:9" x14ac:dyDescent="0.3">
      <c r="A775" s="115" t="s">
        <v>295</v>
      </c>
      <c r="B775" s="115" t="s">
        <v>316</v>
      </c>
      <c r="C775" s="115" t="s">
        <v>45</v>
      </c>
      <c r="D775" s="115" t="s">
        <v>127</v>
      </c>
      <c r="E775" s="115" t="s">
        <v>134</v>
      </c>
      <c r="F775" s="116">
        <v>1</v>
      </c>
      <c r="G775" s="116">
        <v>0</v>
      </c>
      <c r="H775" s="117">
        <f t="shared" si="24"/>
        <v>0</v>
      </c>
      <c r="I775" s="118" t="str">
        <f t="shared" si="25"/>
        <v>EN</v>
      </c>
    </row>
    <row r="776" spans="1:9" x14ac:dyDescent="0.3">
      <c r="A776" s="115" t="s">
        <v>295</v>
      </c>
      <c r="B776" s="115" t="s">
        <v>317</v>
      </c>
      <c r="C776" s="115" t="s">
        <v>45</v>
      </c>
      <c r="D776" s="115" t="s">
        <v>127</v>
      </c>
      <c r="E776" s="115" t="s">
        <v>134</v>
      </c>
      <c r="F776" s="116">
        <v>1</v>
      </c>
      <c r="G776" s="116">
        <v>1</v>
      </c>
      <c r="H776" s="117">
        <f t="shared" si="24"/>
        <v>1</v>
      </c>
      <c r="I776" s="118" t="str">
        <f t="shared" si="25"/>
        <v>AR</v>
      </c>
    </row>
    <row r="777" spans="1:9" x14ac:dyDescent="0.3">
      <c r="A777" s="115" t="s">
        <v>295</v>
      </c>
      <c r="B777" s="115" t="s">
        <v>317</v>
      </c>
      <c r="C777" s="115" t="s">
        <v>45</v>
      </c>
      <c r="D777" s="115" t="s">
        <v>127</v>
      </c>
      <c r="E777" s="115" t="s">
        <v>134</v>
      </c>
      <c r="F777" s="116">
        <v>1</v>
      </c>
      <c r="G777" s="116">
        <v>0</v>
      </c>
      <c r="H777" s="117">
        <f t="shared" si="24"/>
        <v>0</v>
      </c>
      <c r="I777" s="118" t="str">
        <f t="shared" si="25"/>
        <v>AR</v>
      </c>
    </row>
    <row r="778" spans="1:9" x14ac:dyDescent="0.3">
      <c r="A778" s="115" t="s">
        <v>295</v>
      </c>
      <c r="B778" s="115" t="s">
        <v>317</v>
      </c>
      <c r="C778" s="115" t="s">
        <v>45</v>
      </c>
      <c r="D778" s="115" t="s">
        <v>127</v>
      </c>
      <c r="E778" s="115" t="s">
        <v>134</v>
      </c>
      <c r="F778" s="116">
        <v>1</v>
      </c>
      <c r="G778" s="116">
        <v>0</v>
      </c>
      <c r="H778" s="117">
        <f t="shared" si="24"/>
        <v>0</v>
      </c>
      <c r="I778" s="118" t="str">
        <f t="shared" si="25"/>
        <v>AR</v>
      </c>
    </row>
    <row r="779" spans="1:9" x14ac:dyDescent="0.3">
      <c r="A779" s="115" t="s">
        <v>295</v>
      </c>
      <c r="B779" s="115" t="s">
        <v>317</v>
      </c>
      <c r="C779" s="115" t="s">
        <v>45</v>
      </c>
      <c r="D779" s="115" t="s">
        <v>127</v>
      </c>
      <c r="E779" s="115" t="s">
        <v>134</v>
      </c>
      <c r="F779" s="116">
        <v>1</v>
      </c>
      <c r="G779" s="116">
        <v>0</v>
      </c>
      <c r="H779" s="117">
        <f t="shared" si="24"/>
        <v>0</v>
      </c>
      <c r="I779" s="118" t="str">
        <f t="shared" si="25"/>
        <v>AR</v>
      </c>
    </row>
    <row r="780" spans="1:9" x14ac:dyDescent="0.3">
      <c r="A780" s="115" t="s">
        <v>295</v>
      </c>
      <c r="B780" s="115" t="s">
        <v>317</v>
      </c>
      <c r="C780" s="115" t="s">
        <v>45</v>
      </c>
      <c r="D780" s="115" t="s">
        <v>127</v>
      </c>
      <c r="E780" s="115" t="s">
        <v>134</v>
      </c>
      <c r="F780" s="116">
        <v>2</v>
      </c>
      <c r="G780" s="116">
        <v>0</v>
      </c>
      <c r="H780" s="117">
        <f t="shared" si="24"/>
        <v>0</v>
      </c>
      <c r="I780" s="118" t="str">
        <f t="shared" si="25"/>
        <v>AR</v>
      </c>
    </row>
    <row r="781" spans="1:9" x14ac:dyDescent="0.3">
      <c r="A781" s="115" t="s">
        <v>295</v>
      </c>
      <c r="B781" s="115" t="s">
        <v>318</v>
      </c>
      <c r="C781" s="115" t="s">
        <v>45</v>
      </c>
      <c r="D781" s="115" t="s">
        <v>127</v>
      </c>
      <c r="E781" s="115" t="s">
        <v>134</v>
      </c>
      <c r="F781" s="116">
        <v>1</v>
      </c>
      <c r="G781" s="116">
        <v>0</v>
      </c>
      <c r="H781" s="117">
        <f t="shared" si="24"/>
        <v>0</v>
      </c>
      <c r="I781" s="118" t="str">
        <f t="shared" si="25"/>
        <v>EN</v>
      </c>
    </row>
    <row r="782" spans="1:9" x14ac:dyDescent="0.3">
      <c r="A782" s="115" t="s">
        <v>295</v>
      </c>
      <c r="B782" s="115" t="s">
        <v>318</v>
      </c>
      <c r="C782" s="115" t="s">
        <v>45</v>
      </c>
      <c r="D782" s="115" t="s">
        <v>127</v>
      </c>
      <c r="E782" s="115" t="s">
        <v>134</v>
      </c>
      <c r="F782" s="116">
        <v>3</v>
      </c>
      <c r="G782" s="116">
        <v>0</v>
      </c>
      <c r="H782" s="117">
        <f t="shared" si="24"/>
        <v>0</v>
      </c>
      <c r="I782" s="118" t="str">
        <f t="shared" si="25"/>
        <v>EN</v>
      </c>
    </row>
    <row r="783" spans="1:9" x14ac:dyDescent="0.3">
      <c r="A783" s="115" t="s">
        <v>295</v>
      </c>
      <c r="B783" s="115" t="s">
        <v>319</v>
      </c>
      <c r="C783" s="115" t="s">
        <v>45</v>
      </c>
      <c r="D783" s="115" t="s">
        <v>127</v>
      </c>
      <c r="E783" s="115" t="s">
        <v>134</v>
      </c>
      <c r="F783" s="116">
        <v>1</v>
      </c>
      <c r="G783" s="116">
        <v>0</v>
      </c>
      <c r="H783" s="117">
        <f t="shared" si="24"/>
        <v>0</v>
      </c>
      <c r="I783" s="118" t="str">
        <f t="shared" si="25"/>
        <v>AR</v>
      </c>
    </row>
    <row r="784" spans="1:9" x14ac:dyDescent="0.3">
      <c r="A784" s="115" t="s">
        <v>295</v>
      </c>
      <c r="B784" s="115" t="s">
        <v>320</v>
      </c>
      <c r="C784" s="115" t="s">
        <v>45</v>
      </c>
      <c r="D784" s="115" t="s">
        <v>127</v>
      </c>
      <c r="E784" s="115" t="s">
        <v>134</v>
      </c>
      <c r="F784" s="116">
        <v>1</v>
      </c>
      <c r="G784" s="116">
        <v>1</v>
      </c>
      <c r="H784" s="117">
        <f t="shared" si="24"/>
        <v>1</v>
      </c>
      <c r="I784" s="118" t="str">
        <f t="shared" si="25"/>
        <v>EN</v>
      </c>
    </row>
    <row r="785" spans="1:9" x14ac:dyDescent="0.3">
      <c r="A785" s="115" t="s">
        <v>295</v>
      </c>
      <c r="B785" s="115" t="s">
        <v>321</v>
      </c>
      <c r="C785" s="115" t="s">
        <v>45</v>
      </c>
      <c r="D785" s="115" t="s">
        <v>127</v>
      </c>
      <c r="E785" s="115" t="s">
        <v>134</v>
      </c>
      <c r="F785" s="116">
        <v>1</v>
      </c>
      <c r="G785" s="116">
        <v>0</v>
      </c>
      <c r="H785" s="117">
        <f t="shared" si="24"/>
        <v>0</v>
      </c>
      <c r="I785" s="118" t="str">
        <f t="shared" si="25"/>
        <v>AR</v>
      </c>
    </row>
    <row r="786" spans="1:9" x14ac:dyDescent="0.3">
      <c r="A786" s="115" t="s">
        <v>295</v>
      </c>
      <c r="B786" s="115" t="s">
        <v>322</v>
      </c>
      <c r="C786" s="115" t="s">
        <v>45</v>
      </c>
      <c r="D786" s="115" t="s">
        <v>127</v>
      </c>
      <c r="E786" s="115" t="s">
        <v>134</v>
      </c>
      <c r="F786" s="116">
        <v>1</v>
      </c>
      <c r="G786" s="116">
        <v>1</v>
      </c>
      <c r="H786" s="117">
        <f t="shared" si="24"/>
        <v>1</v>
      </c>
      <c r="I786" s="118" t="str">
        <f t="shared" si="25"/>
        <v>EN</v>
      </c>
    </row>
    <row r="787" spans="1:9" x14ac:dyDescent="0.3">
      <c r="A787" s="115" t="s">
        <v>295</v>
      </c>
      <c r="B787" s="115" t="s">
        <v>323</v>
      </c>
      <c r="C787" s="115" t="s">
        <v>45</v>
      </c>
      <c r="D787" s="115" t="s">
        <v>150</v>
      </c>
      <c r="E787" s="115" t="s">
        <v>151</v>
      </c>
      <c r="F787" s="116">
        <v>2</v>
      </c>
      <c r="G787" s="116">
        <v>0</v>
      </c>
      <c r="H787" s="117">
        <f t="shared" si="24"/>
        <v>0</v>
      </c>
      <c r="I787" s="118" t="str">
        <f t="shared" si="25"/>
        <v>EN</v>
      </c>
    </row>
    <row r="788" spans="1:9" x14ac:dyDescent="0.3">
      <c r="A788" s="115" t="s">
        <v>295</v>
      </c>
      <c r="B788" s="115" t="s">
        <v>323</v>
      </c>
      <c r="C788" s="115" t="s">
        <v>45</v>
      </c>
      <c r="D788" s="115" t="s">
        <v>127</v>
      </c>
      <c r="E788" s="115" t="s">
        <v>134</v>
      </c>
      <c r="F788" s="116">
        <v>1</v>
      </c>
      <c r="G788" s="116">
        <v>1</v>
      </c>
      <c r="H788" s="117">
        <f t="shared" si="24"/>
        <v>1</v>
      </c>
      <c r="I788" s="118" t="str">
        <f t="shared" si="25"/>
        <v>EN</v>
      </c>
    </row>
    <row r="789" spans="1:9" x14ac:dyDescent="0.3">
      <c r="A789" s="115" t="s">
        <v>295</v>
      </c>
      <c r="B789" s="115" t="s">
        <v>323</v>
      </c>
      <c r="C789" s="115" t="s">
        <v>45</v>
      </c>
      <c r="D789" s="115" t="s">
        <v>127</v>
      </c>
      <c r="E789" s="115" t="s">
        <v>134</v>
      </c>
      <c r="F789" s="116">
        <v>1</v>
      </c>
      <c r="G789" s="116">
        <v>0</v>
      </c>
      <c r="H789" s="117">
        <f t="shared" si="24"/>
        <v>0</v>
      </c>
      <c r="I789" s="118" t="str">
        <f t="shared" si="25"/>
        <v>EN</v>
      </c>
    </row>
    <row r="790" spans="1:9" x14ac:dyDescent="0.3">
      <c r="A790" s="115" t="s">
        <v>295</v>
      </c>
      <c r="B790" s="115" t="s">
        <v>323</v>
      </c>
      <c r="C790" s="115" t="s">
        <v>45</v>
      </c>
      <c r="D790" s="115" t="s">
        <v>127</v>
      </c>
      <c r="E790" s="115" t="s">
        <v>134</v>
      </c>
      <c r="F790" s="116">
        <v>1</v>
      </c>
      <c r="G790" s="116">
        <v>0</v>
      </c>
      <c r="H790" s="117">
        <f t="shared" si="24"/>
        <v>0</v>
      </c>
      <c r="I790" s="118" t="str">
        <f t="shared" si="25"/>
        <v>EN</v>
      </c>
    </row>
    <row r="791" spans="1:9" x14ac:dyDescent="0.3">
      <c r="A791" s="115" t="s">
        <v>295</v>
      </c>
      <c r="B791" s="115" t="s">
        <v>323</v>
      </c>
      <c r="C791" s="115" t="s">
        <v>45</v>
      </c>
      <c r="D791" s="115" t="s">
        <v>127</v>
      </c>
      <c r="E791" s="115" t="s">
        <v>134</v>
      </c>
      <c r="F791" s="116">
        <v>1</v>
      </c>
      <c r="G791" s="116">
        <v>0</v>
      </c>
      <c r="H791" s="117">
        <f t="shared" si="24"/>
        <v>0</v>
      </c>
      <c r="I791" s="118" t="str">
        <f t="shared" si="25"/>
        <v>EN</v>
      </c>
    </row>
    <row r="792" spans="1:9" x14ac:dyDescent="0.3">
      <c r="A792" s="115" t="s">
        <v>295</v>
      </c>
      <c r="B792" s="115" t="s">
        <v>324</v>
      </c>
      <c r="C792" s="115" t="s">
        <v>44</v>
      </c>
      <c r="D792" s="115" t="s">
        <v>127</v>
      </c>
      <c r="E792" s="115" t="s">
        <v>128</v>
      </c>
      <c r="F792" s="116">
        <v>3</v>
      </c>
      <c r="G792" s="116">
        <v>0</v>
      </c>
      <c r="H792" s="117">
        <f t="shared" si="24"/>
        <v>0</v>
      </c>
      <c r="I792" s="118" t="str">
        <f t="shared" si="25"/>
        <v>AR</v>
      </c>
    </row>
    <row r="793" spans="1:9" x14ac:dyDescent="0.3">
      <c r="A793" s="115" t="s">
        <v>295</v>
      </c>
      <c r="B793" s="115" t="s">
        <v>324</v>
      </c>
      <c r="C793" s="115" t="s">
        <v>44</v>
      </c>
      <c r="D793" s="115" t="s">
        <v>127</v>
      </c>
      <c r="E793" s="115" t="s">
        <v>128</v>
      </c>
      <c r="F793" s="116">
        <v>3</v>
      </c>
      <c r="G793" s="116">
        <v>0</v>
      </c>
      <c r="H793" s="117">
        <f t="shared" si="24"/>
        <v>0</v>
      </c>
      <c r="I793" s="118" t="str">
        <f t="shared" si="25"/>
        <v>AR</v>
      </c>
    </row>
    <row r="794" spans="1:9" x14ac:dyDescent="0.3">
      <c r="A794" s="115" t="s">
        <v>295</v>
      </c>
      <c r="B794" s="115" t="s">
        <v>324</v>
      </c>
      <c r="C794" s="115" t="s">
        <v>44</v>
      </c>
      <c r="D794" s="115" t="s">
        <v>127</v>
      </c>
      <c r="E794" s="115" t="s">
        <v>128</v>
      </c>
      <c r="F794" s="116">
        <v>2</v>
      </c>
      <c r="G794" s="116">
        <v>0</v>
      </c>
      <c r="H794" s="117">
        <f t="shared" si="24"/>
        <v>0</v>
      </c>
      <c r="I794" s="118" t="str">
        <f t="shared" si="25"/>
        <v>AR</v>
      </c>
    </row>
    <row r="795" spans="1:9" x14ac:dyDescent="0.3">
      <c r="A795" s="115" t="s">
        <v>295</v>
      </c>
      <c r="B795" s="115" t="s">
        <v>324</v>
      </c>
      <c r="C795" s="115" t="s">
        <v>44</v>
      </c>
      <c r="D795" s="115" t="s">
        <v>127</v>
      </c>
      <c r="E795" s="115" t="s">
        <v>128</v>
      </c>
      <c r="F795" s="116">
        <v>1</v>
      </c>
      <c r="G795" s="116">
        <v>0</v>
      </c>
      <c r="H795" s="117">
        <f t="shared" si="24"/>
        <v>0</v>
      </c>
      <c r="I795" s="118" t="str">
        <f t="shared" si="25"/>
        <v>AR</v>
      </c>
    </row>
    <row r="796" spans="1:9" x14ac:dyDescent="0.3">
      <c r="A796" s="115" t="s">
        <v>295</v>
      </c>
      <c r="B796" s="115" t="s">
        <v>325</v>
      </c>
      <c r="C796" s="115" t="s">
        <v>44</v>
      </c>
      <c r="D796" s="115" t="s">
        <v>127</v>
      </c>
      <c r="E796" s="115" t="s">
        <v>128</v>
      </c>
      <c r="F796" s="116">
        <v>1</v>
      </c>
      <c r="G796" s="116">
        <v>0</v>
      </c>
      <c r="H796" s="117">
        <f t="shared" si="24"/>
        <v>0</v>
      </c>
      <c r="I796" s="118" t="str">
        <f t="shared" si="25"/>
        <v>EN</v>
      </c>
    </row>
    <row r="797" spans="1:9" x14ac:dyDescent="0.3">
      <c r="A797" s="115" t="s">
        <v>295</v>
      </c>
      <c r="B797" s="115" t="s">
        <v>326</v>
      </c>
      <c r="C797" s="115" t="s">
        <v>44</v>
      </c>
      <c r="D797" s="115" t="s">
        <v>150</v>
      </c>
      <c r="E797" s="115" t="s">
        <v>151</v>
      </c>
      <c r="F797" s="116">
        <v>3</v>
      </c>
      <c r="G797" s="116">
        <v>0</v>
      </c>
      <c r="H797" s="117">
        <f t="shared" si="24"/>
        <v>0</v>
      </c>
      <c r="I797" s="118" t="str">
        <f t="shared" si="25"/>
        <v>AR</v>
      </c>
    </row>
    <row r="798" spans="1:9" x14ac:dyDescent="0.3">
      <c r="A798" s="115" t="s">
        <v>295</v>
      </c>
      <c r="B798" s="115" t="s">
        <v>326</v>
      </c>
      <c r="C798" s="115" t="s">
        <v>44</v>
      </c>
      <c r="D798" s="115" t="s">
        <v>127</v>
      </c>
      <c r="E798" s="115" t="s">
        <v>128</v>
      </c>
      <c r="F798" s="116">
        <v>5</v>
      </c>
      <c r="G798" s="116">
        <v>0</v>
      </c>
      <c r="H798" s="117">
        <f t="shared" si="24"/>
        <v>0</v>
      </c>
      <c r="I798" s="118" t="str">
        <f t="shared" si="25"/>
        <v>AR</v>
      </c>
    </row>
    <row r="799" spans="1:9" x14ac:dyDescent="0.3">
      <c r="A799" s="115" t="s">
        <v>295</v>
      </c>
      <c r="B799" s="115" t="s">
        <v>326</v>
      </c>
      <c r="C799" s="115" t="s">
        <v>44</v>
      </c>
      <c r="D799" s="115" t="s">
        <v>127</v>
      </c>
      <c r="E799" s="115" t="s">
        <v>128</v>
      </c>
      <c r="F799" s="116">
        <v>1</v>
      </c>
      <c r="G799" s="116">
        <v>0</v>
      </c>
      <c r="H799" s="117">
        <f t="shared" si="24"/>
        <v>0</v>
      </c>
      <c r="I799" s="118" t="str">
        <f t="shared" si="25"/>
        <v>AR</v>
      </c>
    </row>
    <row r="800" spans="1:9" x14ac:dyDescent="0.3">
      <c r="A800" s="115" t="s">
        <v>295</v>
      </c>
      <c r="B800" s="115" t="s">
        <v>326</v>
      </c>
      <c r="C800" s="115" t="s">
        <v>44</v>
      </c>
      <c r="D800" s="115" t="s">
        <v>127</v>
      </c>
      <c r="E800" s="115" t="s">
        <v>128</v>
      </c>
      <c r="F800" s="116">
        <v>4</v>
      </c>
      <c r="G800" s="116">
        <v>0</v>
      </c>
      <c r="H800" s="117">
        <f t="shared" si="24"/>
        <v>0</v>
      </c>
      <c r="I800" s="118" t="str">
        <f t="shared" si="25"/>
        <v>AR</v>
      </c>
    </row>
    <row r="801" spans="1:9" x14ac:dyDescent="0.3">
      <c r="A801" s="115" t="s">
        <v>295</v>
      </c>
      <c r="B801" s="115" t="s">
        <v>326</v>
      </c>
      <c r="C801" s="115" t="s">
        <v>44</v>
      </c>
      <c r="D801" s="115" t="s">
        <v>127</v>
      </c>
      <c r="E801" s="115" t="s">
        <v>128</v>
      </c>
      <c r="F801" s="116">
        <v>2</v>
      </c>
      <c r="G801" s="116">
        <v>0</v>
      </c>
      <c r="H801" s="117">
        <f t="shared" si="24"/>
        <v>0</v>
      </c>
      <c r="I801" s="118" t="str">
        <f t="shared" si="25"/>
        <v>AR</v>
      </c>
    </row>
    <row r="802" spans="1:9" x14ac:dyDescent="0.3">
      <c r="A802" s="115" t="s">
        <v>295</v>
      </c>
      <c r="B802" s="115" t="s">
        <v>326</v>
      </c>
      <c r="C802" s="115" t="s">
        <v>44</v>
      </c>
      <c r="D802" s="115" t="s">
        <v>127</v>
      </c>
      <c r="E802" s="115" t="s">
        <v>128</v>
      </c>
      <c r="F802" s="116">
        <v>2</v>
      </c>
      <c r="G802" s="116">
        <v>0</v>
      </c>
      <c r="H802" s="117">
        <f t="shared" si="24"/>
        <v>0</v>
      </c>
      <c r="I802" s="118" t="str">
        <f t="shared" si="25"/>
        <v>AR</v>
      </c>
    </row>
    <row r="803" spans="1:9" x14ac:dyDescent="0.3">
      <c r="A803" s="115" t="s">
        <v>295</v>
      </c>
      <c r="B803" s="115" t="s">
        <v>327</v>
      </c>
      <c r="C803" s="115" t="s">
        <v>44</v>
      </c>
      <c r="D803" s="115" t="s">
        <v>127</v>
      </c>
      <c r="E803" s="115" t="s">
        <v>128</v>
      </c>
      <c r="F803" s="116">
        <v>2</v>
      </c>
      <c r="G803" s="116">
        <v>0</v>
      </c>
      <c r="H803" s="117">
        <f t="shared" si="24"/>
        <v>0</v>
      </c>
      <c r="I803" s="118" t="str">
        <f t="shared" si="25"/>
        <v>EN</v>
      </c>
    </row>
    <row r="804" spans="1:9" x14ac:dyDescent="0.3">
      <c r="A804" s="115" t="s">
        <v>295</v>
      </c>
      <c r="B804" s="115" t="s">
        <v>327</v>
      </c>
      <c r="C804" s="115" t="s">
        <v>44</v>
      </c>
      <c r="D804" s="115" t="s">
        <v>127</v>
      </c>
      <c r="E804" s="115" t="s">
        <v>128</v>
      </c>
      <c r="F804" s="116">
        <v>2</v>
      </c>
      <c r="G804" s="116">
        <v>0</v>
      </c>
      <c r="H804" s="117">
        <f t="shared" si="24"/>
        <v>0</v>
      </c>
      <c r="I804" s="118" t="str">
        <f t="shared" si="25"/>
        <v>EN</v>
      </c>
    </row>
    <row r="805" spans="1:9" x14ac:dyDescent="0.3">
      <c r="A805" s="115" t="s">
        <v>295</v>
      </c>
      <c r="B805" s="115" t="s">
        <v>328</v>
      </c>
      <c r="C805" s="115" t="s">
        <v>44</v>
      </c>
      <c r="D805" s="115" t="s">
        <v>127</v>
      </c>
      <c r="E805" s="115" t="s">
        <v>128</v>
      </c>
      <c r="F805" s="116">
        <v>4</v>
      </c>
      <c r="G805" s="116">
        <v>0</v>
      </c>
      <c r="H805" s="117">
        <f t="shared" si="24"/>
        <v>0</v>
      </c>
      <c r="I805" s="118" t="str">
        <f t="shared" si="25"/>
        <v>AR</v>
      </c>
    </row>
    <row r="806" spans="1:9" x14ac:dyDescent="0.3">
      <c r="A806" s="115" t="s">
        <v>295</v>
      </c>
      <c r="B806" s="115" t="s">
        <v>328</v>
      </c>
      <c r="C806" s="115" t="s">
        <v>44</v>
      </c>
      <c r="D806" s="115" t="s">
        <v>127</v>
      </c>
      <c r="E806" s="115" t="s">
        <v>128</v>
      </c>
      <c r="F806" s="116">
        <v>1</v>
      </c>
      <c r="G806" s="116">
        <v>0</v>
      </c>
      <c r="H806" s="117">
        <f t="shared" si="24"/>
        <v>0</v>
      </c>
      <c r="I806" s="118" t="str">
        <f t="shared" si="25"/>
        <v>AR</v>
      </c>
    </row>
    <row r="807" spans="1:9" x14ac:dyDescent="0.3">
      <c r="A807" s="115" t="s">
        <v>295</v>
      </c>
      <c r="B807" s="115" t="s">
        <v>328</v>
      </c>
      <c r="C807" s="115" t="s">
        <v>44</v>
      </c>
      <c r="D807" s="115" t="s">
        <v>127</v>
      </c>
      <c r="E807" s="115" t="s">
        <v>128</v>
      </c>
      <c r="F807" s="116">
        <v>1</v>
      </c>
      <c r="G807" s="116">
        <v>0</v>
      </c>
      <c r="H807" s="117">
        <f t="shared" si="24"/>
        <v>0</v>
      </c>
      <c r="I807" s="118" t="str">
        <f t="shared" si="25"/>
        <v>AR</v>
      </c>
    </row>
    <row r="808" spans="1:9" x14ac:dyDescent="0.3">
      <c r="A808" s="115" t="s">
        <v>295</v>
      </c>
      <c r="B808" s="115" t="s">
        <v>329</v>
      </c>
      <c r="C808" s="115" t="s">
        <v>44</v>
      </c>
      <c r="D808" s="115" t="s">
        <v>127</v>
      </c>
      <c r="E808" s="115" t="s">
        <v>128</v>
      </c>
      <c r="F808" s="116">
        <v>1</v>
      </c>
      <c r="G808" s="116">
        <v>0</v>
      </c>
      <c r="H808" s="117">
        <f t="shared" si="24"/>
        <v>0</v>
      </c>
      <c r="I808" s="118" t="str">
        <f t="shared" si="25"/>
        <v>EN</v>
      </c>
    </row>
    <row r="809" spans="1:9" x14ac:dyDescent="0.3">
      <c r="A809" s="115" t="s">
        <v>295</v>
      </c>
      <c r="B809" s="115" t="s">
        <v>330</v>
      </c>
      <c r="C809" s="115" t="s">
        <v>44</v>
      </c>
      <c r="D809" s="115" t="s">
        <v>127</v>
      </c>
      <c r="E809" s="115" t="s">
        <v>128</v>
      </c>
      <c r="F809" s="116">
        <v>2</v>
      </c>
      <c r="G809" s="116">
        <v>0</v>
      </c>
      <c r="H809" s="117">
        <f t="shared" si="24"/>
        <v>0</v>
      </c>
      <c r="I809" s="118" t="str">
        <f t="shared" si="25"/>
        <v>AR</v>
      </c>
    </row>
    <row r="810" spans="1:9" x14ac:dyDescent="0.3">
      <c r="A810" s="115" t="s">
        <v>295</v>
      </c>
      <c r="B810" s="115" t="s">
        <v>330</v>
      </c>
      <c r="C810" s="115" t="s">
        <v>44</v>
      </c>
      <c r="D810" s="115" t="s">
        <v>127</v>
      </c>
      <c r="E810" s="115" t="s">
        <v>128</v>
      </c>
      <c r="F810" s="116">
        <v>1</v>
      </c>
      <c r="G810" s="116">
        <v>0</v>
      </c>
      <c r="H810" s="117">
        <f t="shared" si="24"/>
        <v>0</v>
      </c>
      <c r="I810" s="118" t="str">
        <f t="shared" si="25"/>
        <v>AR</v>
      </c>
    </row>
    <row r="811" spans="1:9" x14ac:dyDescent="0.3">
      <c r="A811" s="115" t="s">
        <v>295</v>
      </c>
      <c r="B811" s="115" t="s">
        <v>331</v>
      </c>
      <c r="C811" s="115" t="s">
        <v>44</v>
      </c>
      <c r="D811" s="115" t="s">
        <v>150</v>
      </c>
      <c r="E811" s="115" t="s">
        <v>151</v>
      </c>
      <c r="F811" s="116">
        <v>1</v>
      </c>
      <c r="G811" s="116">
        <v>0</v>
      </c>
      <c r="H811" s="117">
        <f t="shared" si="24"/>
        <v>0</v>
      </c>
      <c r="I811" s="118" t="str">
        <f t="shared" si="25"/>
        <v>EN</v>
      </c>
    </row>
    <row r="812" spans="1:9" x14ac:dyDescent="0.3">
      <c r="A812" s="115" t="s">
        <v>295</v>
      </c>
      <c r="B812" s="115" t="s">
        <v>331</v>
      </c>
      <c r="C812" s="115" t="s">
        <v>44</v>
      </c>
      <c r="D812" s="115" t="s">
        <v>127</v>
      </c>
      <c r="E812" s="115" t="s">
        <v>128</v>
      </c>
      <c r="F812" s="116">
        <v>2</v>
      </c>
      <c r="G812" s="116">
        <v>1</v>
      </c>
      <c r="H812" s="117">
        <f t="shared" si="24"/>
        <v>0.5</v>
      </c>
      <c r="I812" s="118" t="str">
        <f t="shared" si="25"/>
        <v>EN</v>
      </c>
    </row>
    <row r="813" spans="1:9" x14ac:dyDescent="0.3">
      <c r="A813" s="115" t="s">
        <v>295</v>
      </c>
      <c r="B813" s="115" t="s">
        <v>332</v>
      </c>
      <c r="C813" s="115" t="s">
        <v>44</v>
      </c>
      <c r="D813" s="115" t="s">
        <v>150</v>
      </c>
      <c r="E813" s="115" t="s">
        <v>151</v>
      </c>
      <c r="F813" s="116">
        <v>1</v>
      </c>
      <c r="G813" s="116">
        <v>0</v>
      </c>
      <c r="H813" s="117">
        <f t="shared" si="24"/>
        <v>0</v>
      </c>
      <c r="I813" s="118" t="str">
        <f t="shared" si="25"/>
        <v>AR</v>
      </c>
    </row>
    <row r="814" spans="1:9" x14ac:dyDescent="0.3">
      <c r="A814" s="115" t="s">
        <v>295</v>
      </c>
      <c r="B814" s="115" t="s">
        <v>332</v>
      </c>
      <c r="C814" s="115" t="s">
        <v>44</v>
      </c>
      <c r="D814" s="115" t="s">
        <v>150</v>
      </c>
      <c r="E814" s="115" t="s">
        <v>151</v>
      </c>
      <c r="F814" s="116">
        <v>1</v>
      </c>
      <c r="G814" s="116">
        <v>0</v>
      </c>
      <c r="H814" s="117">
        <f t="shared" si="24"/>
        <v>0</v>
      </c>
      <c r="I814" s="118" t="str">
        <f t="shared" si="25"/>
        <v>AR</v>
      </c>
    </row>
    <row r="815" spans="1:9" x14ac:dyDescent="0.3">
      <c r="A815" s="115" t="s">
        <v>295</v>
      </c>
      <c r="B815" s="115" t="s">
        <v>332</v>
      </c>
      <c r="C815" s="115" t="s">
        <v>44</v>
      </c>
      <c r="D815" s="115" t="s">
        <v>127</v>
      </c>
      <c r="E815" s="115" t="s">
        <v>128</v>
      </c>
      <c r="F815" s="116">
        <v>1</v>
      </c>
      <c r="G815" s="116">
        <v>1</v>
      </c>
      <c r="H815" s="117">
        <f t="shared" si="24"/>
        <v>1</v>
      </c>
      <c r="I815" s="118" t="str">
        <f t="shared" si="25"/>
        <v>AR</v>
      </c>
    </row>
    <row r="816" spans="1:9" x14ac:dyDescent="0.3">
      <c r="A816" s="115" t="s">
        <v>295</v>
      </c>
      <c r="B816" s="115" t="s">
        <v>333</v>
      </c>
      <c r="C816" s="115" t="s">
        <v>44</v>
      </c>
      <c r="D816" s="115" t="s">
        <v>127</v>
      </c>
      <c r="E816" s="115" t="s">
        <v>128</v>
      </c>
      <c r="F816" s="116">
        <v>1</v>
      </c>
      <c r="G816" s="116">
        <v>1</v>
      </c>
      <c r="H816" s="117">
        <f t="shared" si="24"/>
        <v>1</v>
      </c>
      <c r="I816" s="118" t="str">
        <f t="shared" si="25"/>
        <v>EN</v>
      </c>
    </row>
    <row r="817" spans="1:9" x14ac:dyDescent="0.3">
      <c r="A817" s="115" t="s">
        <v>295</v>
      </c>
      <c r="B817" s="115" t="s">
        <v>333</v>
      </c>
      <c r="C817" s="115" t="s">
        <v>44</v>
      </c>
      <c r="D817" s="115" t="s">
        <v>127</v>
      </c>
      <c r="E817" s="115" t="s">
        <v>128</v>
      </c>
      <c r="F817" s="116">
        <v>1</v>
      </c>
      <c r="G817" s="116">
        <v>0</v>
      </c>
      <c r="H817" s="117">
        <f t="shared" si="24"/>
        <v>0</v>
      </c>
      <c r="I817" s="118" t="str">
        <f t="shared" si="25"/>
        <v>EN</v>
      </c>
    </row>
    <row r="818" spans="1:9" x14ac:dyDescent="0.3">
      <c r="A818" s="115" t="s">
        <v>295</v>
      </c>
      <c r="B818" s="115" t="s">
        <v>333</v>
      </c>
      <c r="C818" s="115" t="s">
        <v>44</v>
      </c>
      <c r="D818" s="115" t="s">
        <v>127</v>
      </c>
      <c r="E818" s="115" t="s">
        <v>128</v>
      </c>
      <c r="F818" s="116">
        <v>1</v>
      </c>
      <c r="G818" s="116">
        <v>0</v>
      </c>
      <c r="H818" s="117">
        <f t="shared" si="24"/>
        <v>0</v>
      </c>
      <c r="I818" s="118" t="str">
        <f t="shared" si="25"/>
        <v>EN</v>
      </c>
    </row>
    <row r="819" spans="1:9" x14ac:dyDescent="0.3">
      <c r="A819" s="115" t="s">
        <v>295</v>
      </c>
      <c r="B819" s="115" t="s">
        <v>334</v>
      </c>
      <c r="C819" s="115" t="s">
        <v>44</v>
      </c>
      <c r="D819" s="115" t="s">
        <v>127</v>
      </c>
      <c r="E819" s="115" t="s">
        <v>128</v>
      </c>
      <c r="F819" s="116">
        <v>15</v>
      </c>
      <c r="G819" s="116">
        <v>0</v>
      </c>
      <c r="H819" s="117">
        <f t="shared" si="24"/>
        <v>0</v>
      </c>
      <c r="I819" s="118" t="str">
        <f t="shared" si="25"/>
        <v>AR</v>
      </c>
    </row>
    <row r="820" spans="1:9" x14ac:dyDescent="0.3">
      <c r="A820" s="115" t="s">
        <v>295</v>
      </c>
      <c r="B820" s="115" t="s">
        <v>334</v>
      </c>
      <c r="C820" s="115" t="s">
        <v>44</v>
      </c>
      <c r="D820" s="115" t="s">
        <v>127</v>
      </c>
      <c r="E820" s="115" t="s">
        <v>128</v>
      </c>
      <c r="F820" s="116">
        <v>2</v>
      </c>
      <c r="G820" s="116">
        <v>0</v>
      </c>
      <c r="H820" s="117">
        <f t="shared" si="24"/>
        <v>0</v>
      </c>
      <c r="I820" s="118" t="str">
        <f t="shared" si="25"/>
        <v>AR</v>
      </c>
    </row>
    <row r="821" spans="1:9" x14ac:dyDescent="0.3">
      <c r="A821" s="115" t="s">
        <v>295</v>
      </c>
      <c r="B821" s="115" t="s">
        <v>334</v>
      </c>
      <c r="C821" s="115" t="s">
        <v>44</v>
      </c>
      <c r="D821" s="115" t="s">
        <v>127</v>
      </c>
      <c r="E821" s="115" t="s">
        <v>128</v>
      </c>
      <c r="F821" s="116">
        <v>4</v>
      </c>
      <c r="G821" s="116">
        <v>0</v>
      </c>
      <c r="H821" s="117">
        <f t="shared" si="24"/>
        <v>0</v>
      </c>
      <c r="I821" s="118" t="str">
        <f t="shared" si="25"/>
        <v>AR</v>
      </c>
    </row>
    <row r="822" spans="1:9" x14ac:dyDescent="0.3">
      <c r="A822" s="115" t="s">
        <v>295</v>
      </c>
      <c r="B822" s="115" t="s">
        <v>334</v>
      </c>
      <c r="C822" s="115" t="s">
        <v>44</v>
      </c>
      <c r="D822" s="115" t="s">
        <v>127</v>
      </c>
      <c r="E822" s="115" t="s">
        <v>128</v>
      </c>
      <c r="F822" s="116">
        <v>12</v>
      </c>
      <c r="G822" s="116">
        <v>0</v>
      </c>
      <c r="H822" s="117">
        <f t="shared" si="24"/>
        <v>0</v>
      </c>
      <c r="I822" s="118" t="str">
        <f t="shared" si="25"/>
        <v>AR</v>
      </c>
    </row>
    <row r="823" spans="1:9" x14ac:dyDescent="0.3">
      <c r="A823" s="115" t="s">
        <v>295</v>
      </c>
      <c r="B823" s="115" t="s">
        <v>334</v>
      </c>
      <c r="C823" s="115" t="s">
        <v>44</v>
      </c>
      <c r="D823" s="115" t="s">
        <v>127</v>
      </c>
      <c r="E823" s="115" t="s">
        <v>128</v>
      </c>
      <c r="F823" s="116">
        <v>4</v>
      </c>
      <c r="G823" s="116">
        <v>0</v>
      </c>
      <c r="H823" s="117">
        <f t="shared" si="24"/>
        <v>0</v>
      </c>
      <c r="I823" s="118" t="str">
        <f t="shared" si="25"/>
        <v>AR</v>
      </c>
    </row>
    <row r="824" spans="1:9" x14ac:dyDescent="0.3">
      <c r="A824" s="115" t="s">
        <v>295</v>
      </c>
      <c r="B824" s="115" t="s">
        <v>335</v>
      </c>
      <c r="C824" s="115" t="s">
        <v>44</v>
      </c>
      <c r="D824" s="115" t="s">
        <v>127</v>
      </c>
      <c r="E824" s="115" t="s">
        <v>128</v>
      </c>
      <c r="F824" s="116">
        <v>1</v>
      </c>
      <c r="G824" s="116">
        <v>1</v>
      </c>
      <c r="H824" s="117">
        <f t="shared" si="24"/>
        <v>1</v>
      </c>
      <c r="I824" s="118" t="str">
        <f t="shared" si="25"/>
        <v>EN</v>
      </c>
    </row>
    <row r="825" spans="1:9" x14ac:dyDescent="0.3">
      <c r="A825" s="115" t="s">
        <v>295</v>
      </c>
      <c r="B825" s="115" t="s">
        <v>335</v>
      </c>
      <c r="C825" s="115" t="s">
        <v>44</v>
      </c>
      <c r="D825" s="115" t="s">
        <v>127</v>
      </c>
      <c r="E825" s="115" t="s">
        <v>128</v>
      </c>
      <c r="F825" s="116">
        <v>1</v>
      </c>
      <c r="G825" s="116">
        <v>0</v>
      </c>
      <c r="H825" s="117">
        <f t="shared" si="24"/>
        <v>0</v>
      </c>
      <c r="I825" s="118" t="str">
        <f t="shared" si="25"/>
        <v>EN</v>
      </c>
    </row>
    <row r="826" spans="1:9" x14ac:dyDescent="0.3">
      <c r="A826" s="115" t="s">
        <v>295</v>
      </c>
      <c r="B826" s="115" t="s">
        <v>336</v>
      </c>
      <c r="C826" s="115" t="s">
        <v>44</v>
      </c>
      <c r="D826" s="115" t="s">
        <v>127</v>
      </c>
      <c r="E826" s="115" t="s">
        <v>137</v>
      </c>
      <c r="F826" s="116">
        <v>735</v>
      </c>
      <c r="G826" s="116">
        <v>5</v>
      </c>
      <c r="H826" s="117">
        <f t="shared" si="24"/>
        <v>6.8027210884353739E-3</v>
      </c>
      <c r="I826" s="118" t="str">
        <f t="shared" si="25"/>
        <v>AR</v>
      </c>
    </row>
    <row r="827" spans="1:9" x14ac:dyDescent="0.3">
      <c r="A827" s="115" t="s">
        <v>295</v>
      </c>
      <c r="B827" s="115" t="s">
        <v>336</v>
      </c>
      <c r="C827" s="115" t="s">
        <v>44</v>
      </c>
      <c r="D827" s="115" t="s">
        <v>127</v>
      </c>
      <c r="E827" s="115" t="s">
        <v>137</v>
      </c>
      <c r="F827" s="116">
        <v>2521</v>
      </c>
      <c r="G827" s="116">
        <v>6</v>
      </c>
      <c r="H827" s="117">
        <f t="shared" si="24"/>
        <v>2.3800079333597779E-3</v>
      </c>
      <c r="I827" s="118" t="str">
        <f t="shared" si="25"/>
        <v>AR</v>
      </c>
    </row>
    <row r="828" spans="1:9" x14ac:dyDescent="0.3">
      <c r="A828" s="115" t="s">
        <v>295</v>
      </c>
      <c r="B828" s="115" t="s">
        <v>336</v>
      </c>
      <c r="C828" s="115" t="s">
        <v>44</v>
      </c>
      <c r="D828" s="115" t="s">
        <v>127</v>
      </c>
      <c r="E828" s="115" t="s">
        <v>137</v>
      </c>
      <c r="F828" s="116">
        <v>5203</v>
      </c>
      <c r="G828" s="116">
        <v>9</v>
      </c>
      <c r="H828" s="117">
        <f t="shared" si="24"/>
        <v>1.7297712857966558E-3</v>
      </c>
      <c r="I828" s="118" t="str">
        <f t="shared" si="25"/>
        <v>AR</v>
      </c>
    </row>
    <row r="829" spans="1:9" x14ac:dyDescent="0.3">
      <c r="A829" s="115" t="s">
        <v>295</v>
      </c>
      <c r="B829" s="115" t="s">
        <v>336</v>
      </c>
      <c r="C829" s="115" t="s">
        <v>44</v>
      </c>
      <c r="D829" s="115" t="s">
        <v>127</v>
      </c>
      <c r="E829" s="115" t="s">
        <v>137</v>
      </c>
      <c r="F829" s="116">
        <v>7685</v>
      </c>
      <c r="G829" s="116">
        <v>11</v>
      </c>
      <c r="H829" s="117">
        <f t="shared" si="24"/>
        <v>1.431359791802212E-3</v>
      </c>
      <c r="I829" s="118" t="str">
        <f t="shared" si="25"/>
        <v>AR</v>
      </c>
    </row>
    <row r="830" spans="1:9" x14ac:dyDescent="0.3">
      <c r="A830" s="115" t="s">
        <v>295</v>
      </c>
      <c r="B830" s="115" t="s">
        <v>336</v>
      </c>
      <c r="C830" s="115" t="s">
        <v>44</v>
      </c>
      <c r="D830" s="115" t="s">
        <v>127</v>
      </c>
      <c r="E830" s="115" t="s">
        <v>137</v>
      </c>
      <c r="F830" s="116">
        <v>4545</v>
      </c>
      <c r="G830" s="116">
        <v>2</v>
      </c>
      <c r="H830" s="117">
        <f t="shared" si="24"/>
        <v>4.4004400440044003E-4</v>
      </c>
      <c r="I830" s="118" t="str">
        <f t="shared" si="25"/>
        <v>AR</v>
      </c>
    </row>
    <row r="831" spans="1:9" x14ac:dyDescent="0.3">
      <c r="A831" s="115" t="s">
        <v>295</v>
      </c>
      <c r="B831" s="115" t="s">
        <v>337</v>
      </c>
      <c r="C831" s="115" t="s">
        <v>44</v>
      </c>
      <c r="D831" s="115" t="s">
        <v>127</v>
      </c>
      <c r="E831" s="115" t="s">
        <v>137</v>
      </c>
      <c r="F831" s="116">
        <v>1161</v>
      </c>
      <c r="G831" s="116">
        <v>8</v>
      </c>
      <c r="H831" s="117">
        <f t="shared" si="24"/>
        <v>6.8906115417743325E-3</v>
      </c>
      <c r="I831" s="118" t="str">
        <f t="shared" si="25"/>
        <v>EN</v>
      </c>
    </row>
    <row r="832" spans="1:9" x14ac:dyDescent="0.3">
      <c r="A832" s="115" t="s">
        <v>295</v>
      </c>
      <c r="B832" s="115" t="s">
        <v>337</v>
      </c>
      <c r="C832" s="115" t="s">
        <v>44</v>
      </c>
      <c r="D832" s="115" t="s">
        <v>127</v>
      </c>
      <c r="E832" s="115" t="s">
        <v>137</v>
      </c>
      <c r="F832" s="116">
        <v>4568</v>
      </c>
      <c r="G832" s="116">
        <v>8</v>
      </c>
      <c r="H832" s="117">
        <f t="shared" si="24"/>
        <v>1.7513134851138354E-3</v>
      </c>
      <c r="I832" s="118" t="str">
        <f t="shared" si="25"/>
        <v>EN</v>
      </c>
    </row>
    <row r="833" spans="1:9" x14ac:dyDescent="0.3">
      <c r="A833" s="115" t="s">
        <v>295</v>
      </c>
      <c r="B833" s="115" t="s">
        <v>337</v>
      </c>
      <c r="C833" s="115" t="s">
        <v>44</v>
      </c>
      <c r="D833" s="115" t="s">
        <v>127</v>
      </c>
      <c r="E833" s="115" t="s">
        <v>137</v>
      </c>
      <c r="F833" s="116">
        <v>1889</v>
      </c>
      <c r="G833" s="116">
        <v>4</v>
      </c>
      <c r="H833" s="117">
        <f t="shared" si="24"/>
        <v>2.1175224986765486E-3</v>
      </c>
      <c r="I833" s="118" t="str">
        <f t="shared" si="25"/>
        <v>EN</v>
      </c>
    </row>
    <row r="834" spans="1:9" x14ac:dyDescent="0.3">
      <c r="A834" s="115" t="s">
        <v>295</v>
      </c>
      <c r="B834" s="115" t="s">
        <v>337</v>
      </c>
      <c r="C834" s="115" t="s">
        <v>44</v>
      </c>
      <c r="D834" s="115" t="s">
        <v>127</v>
      </c>
      <c r="E834" s="115" t="s">
        <v>137</v>
      </c>
      <c r="F834" s="116">
        <v>5</v>
      </c>
      <c r="G834" s="116">
        <v>3</v>
      </c>
      <c r="H834" s="117">
        <f t="shared" si="24"/>
        <v>0.6</v>
      </c>
      <c r="I834" s="118" t="str">
        <f t="shared" si="25"/>
        <v>EN</v>
      </c>
    </row>
    <row r="835" spans="1:9" x14ac:dyDescent="0.3">
      <c r="A835" s="115" t="s">
        <v>295</v>
      </c>
      <c r="B835" s="115" t="s">
        <v>337</v>
      </c>
      <c r="C835" s="115" t="s">
        <v>44</v>
      </c>
      <c r="D835" s="115" t="s">
        <v>127</v>
      </c>
      <c r="E835" s="115" t="s">
        <v>137</v>
      </c>
      <c r="F835" s="116">
        <v>3605</v>
      </c>
      <c r="G835" s="116">
        <v>1</v>
      </c>
      <c r="H835" s="117">
        <f t="shared" ref="H835:H898" si="26">G835/F835</f>
        <v>2.7739251040221914E-4</v>
      </c>
      <c r="I835" s="118" t="str">
        <f t="shared" ref="I835:I898" si="27">RIGHT(B835,2)</f>
        <v>EN</v>
      </c>
    </row>
    <row r="836" spans="1:9" x14ac:dyDescent="0.3">
      <c r="A836" s="115" t="s">
        <v>295</v>
      </c>
      <c r="B836" s="115" t="s">
        <v>338</v>
      </c>
      <c r="C836" s="115" t="s">
        <v>44</v>
      </c>
      <c r="D836" s="115" t="s">
        <v>150</v>
      </c>
      <c r="E836" s="115" t="s">
        <v>151</v>
      </c>
      <c r="F836" s="116">
        <v>13</v>
      </c>
      <c r="G836" s="116">
        <v>0</v>
      </c>
      <c r="H836" s="117">
        <f t="shared" si="26"/>
        <v>0</v>
      </c>
      <c r="I836" s="118" t="str">
        <f t="shared" si="27"/>
        <v>AR</v>
      </c>
    </row>
    <row r="837" spans="1:9" x14ac:dyDescent="0.3">
      <c r="A837" s="115" t="s">
        <v>295</v>
      </c>
      <c r="B837" s="115" t="s">
        <v>338</v>
      </c>
      <c r="C837" s="115" t="s">
        <v>44</v>
      </c>
      <c r="D837" s="115" t="s">
        <v>150</v>
      </c>
      <c r="E837" s="115" t="s">
        <v>151</v>
      </c>
      <c r="F837" s="116">
        <v>47</v>
      </c>
      <c r="G837" s="116">
        <v>0</v>
      </c>
      <c r="H837" s="117">
        <f t="shared" si="26"/>
        <v>0</v>
      </c>
      <c r="I837" s="118" t="str">
        <f t="shared" si="27"/>
        <v>AR</v>
      </c>
    </row>
    <row r="838" spans="1:9" x14ac:dyDescent="0.3">
      <c r="A838" s="115" t="s">
        <v>295</v>
      </c>
      <c r="B838" s="115" t="s">
        <v>338</v>
      </c>
      <c r="C838" s="115" t="s">
        <v>44</v>
      </c>
      <c r="D838" s="115" t="s">
        <v>150</v>
      </c>
      <c r="E838" s="115" t="s">
        <v>151</v>
      </c>
      <c r="F838" s="116">
        <v>39</v>
      </c>
      <c r="G838" s="116">
        <v>0</v>
      </c>
      <c r="H838" s="117">
        <f t="shared" si="26"/>
        <v>0</v>
      </c>
      <c r="I838" s="118" t="str">
        <f t="shared" si="27"/>
        <v>AR</v>
      </c>
    </row>
    <row r="839" spans="1:9" x14ac:dyDescent="0.3">
      <c r="A839" s="115" t="s">
        <v>295</v>
      </c>
      <c r="B839" s="115" t="s">
        <v>338</v>
      </c>
      <c r="C839" s="115" t="s">
        <v>44</v>
      </c>
      <c r="D839" s="115" t="s">
        <v>150</v>
      </c>
      <c r="E839" s="115" t="s">
        <v>151</v>
      </c>
      <c r="F839" s="116">
        <v>31</v>
      </c>
      <c r="G839" s="116">
        <v>0</v>
      </c>
      <c r="H839" s="117">
        <f t="shared" si="26"/>
        <v>0</v>
      </c>
      <c r="I839" s="118" t="str">
        <f t="shared" si="27"/>
        <v>AR</v>
      </c>
    </row>
    <row r="840" spans="1:9" x14ac:dyDescent="0.3">
      <c r="A840" s="115" t="s">
        <v>295</v>
      </c>
      <c r="B840" s="115" t="s">
        <v>338</v>
      </c>
      <c r="C840" s="115" t="s">
        <v>44</v>
      </c>
      <c r="D840" s="115" t="s">
        <v>150</v>
      </c>
      <c r="E840" s="115" t="s">
        <v>151</v>
      </c>
      <c r="F840" s="116">
        <v>38</v>
      </c>
      <c r="G840" s="116">
        <v>0</v>
      </c>
      <c r="H840" s="117">
        <f t="shared" si="26"/>
        <v>0</v>
      </c>
      <c r="I840" s="118" t="str">
        <f t="shared" si="27"/>
        <v>AR</v>
      </c>
    </row>
    <row r="841" spans="1:9" x14ac:dyDescent="0.3">
      <c r="A841" s="115" t="s">
        <v>295</v>
      </c>
      <c r="B841" s="115" t="s">
        <v>338</v>
      </c>
      <c r="C841" s="115" t="s">
        <v>44</v>
      </c>
      <c r="D841" s="115" t="s">
        <v>127</v>
      </c>
      <c r="E841" s="115" t="s">
        <v>137</v>
      </c>
      <c r="F841" s="116">
        <v>11457</v>
      </c>
      <c r="G841" s="116">
        <v>15</v>
      </c>
      <c r="H841" s="117">
        <f t="shared" si="26"/>
        <v>1.3092432573972245E-3</v>
      </c>
      <c r="I841" s="118" t="str">
        <f t="shared" si="27"/>
        <v>AR</v>
      </c>
    </row>
    <row r="842" spans="1:9" x14ac:dyDescent="0.3">
      <c r="A842" s="115" t="s">
        <v>295</v>
      </c>
      <c r="B842" s="115" t="s">
        <v>338</v>
      </c>
      <c r="C842" s="115" t="s">
        <v>44</v>
      </c>
      <c r="D842" s="115" t="s">
        <v>127</v>
      </c>
      <c r="E842" s="115" t="s">
        <v>137</v>
      </c>
      <c r="F842" s="116">
        <v>20057</v>
      </c>
      <c r="G842" s="116">
        <v>30</v>
      </c>
      <c r="H842" s="117">
        <f t="shared" si="26"/>
        <v>1.4957371491249938E-3</v>
      </c>
      <c r="I842" s="118" t="str">
        <f t="shared" si="27"/>
        <v>AR</v>
      </c>
    </row>
    <row r="843" spans="1:9" x14ac:dyDescent="0.3">
      <c r="A843" s="115" t="s">
        <v>295</v>
      </c>
      <c r="B843" s="115" t="s">
        <v>338</v>
      </c>
      <c r="C843" s="115" t="s">
        <v>44</v>
      </c>
      <c r="D843" s="115" t="s">
        <v>127</v>
      </c>
      <c r="E843" s="115" t="s">
        <v>137</v>
      </c>
      <c r="F843" s="116">
        <v>17860</v>
      </c>
      <c r="G843" s="116">
        <v>24</v>
      </c>
      <c r="H843" s="117">
        <f t="shared" si="26"/>
        <v>1.3437849944008958E-3</v>
      </c>
      <c r="I843" s="118" t="str">
        <f t="shared" si="27"/>
        <v>AR</v>
      </c>
    </row>
    <row r="844" spans="1:9" x14ac:dyDescent="0.3">
      <c r="A844" s="115" t="s">
        <v>295</v>
      </c>
      <c r="B844" s="115" t="s">
        <v>338</v>
      </c>
      <c r="C844" s="115" t="s">
        <v>44</v>
      </c>
      <c r="D844" s="115" t="s">
        <v>127</v>
      </c>
      <c r="E844" s="115" t="s">
        <v>137</v>
      </c>
      <c r="F844" s="116">
        <v>17533</v>
      </c>
      <c r="G844" s="116">
        <v>23</v>
      </c>
      <c r="H844" s="117">
        <f t="shared" si="26"/>
        <v>1.3118120116352022E-3</v>
      </c>
      <c r="I844" s="118" t="str">
        <f t="shared" si="27"/>
        <v>AR</v>
      </c>
    </row>
    <row r="845" spans="1:9" x14ac:dyDescent="0.3">
      <c r="A845" s="115" t="s">
        <v>295</v>
      </c>
      <c r="B845" s="115" t="s">
        <v>338</v>
      </c>
      <c r="C845" s="115" t="s">
        <v>44</v>
      </c>
      <c r="D845" s="115" t="s">
        <v>127</v>
      </c>
      <c r="E845" s="115" t="s">
        <v>137</v>
      </c>
      <c r="F845" s="116">
        <v>18633</v>
      </c>
      <c r="G845" s="116">
        <v>26</v>
      </c>
      <c r="H845" s="117">
        <f t="shared" si="26"/>
        <v>1.3953737991735094E-3</v>
      </c>
      <c r="I845" s="118" t="str">
        <f t="shared" si="27"/>
        <v>AR</v>
      </c>
    </row>
    <row r="846" spans="1:9" x14ac:dyDescent="0.3">
      <c r="A846" s="115" t="s">
        <v>295</v>
      </c>
      <c r="B846" s="115" t="s">
        <v>339</v>
      </c>
      <c r="C846" s="115" t="s">
        <v>44</v>
      </c>
      <c r="D846" s="115" t="s">
        <v>150</v>
      </c>
      <c r="E846" s="115" t="s">
        <v>151</v>
      </c>
      <c r="F846" s="116">
        <v>23</v>
      </c>
      <c r="G846" s="116">
        <v>0</v>
      </c>
      <c r="H846" s="117">
        <f t="shared" si="26"/>
        <v>0</v>
      </c>
      <c r="I846" s="118" t="str">
        <f t="shared" si="27"/>
        <v>EN</v>
      </c>
    </row>
    <row r="847" spans="1:9" x14ac:dyDescent="0.3">
      <c r="A847" s="115" t="s">
        <v>295</v>
      </c>
      <c r="B847" s="115" t="s">
        <v>339</v>
      </c>
      <c r="C847" s="115" t="s">
        <v>44</v>
      </c>
      <c r="D847" s="115" t="s">
        <v>150</v>
      </c>
      <c r="E847" s="115" t="s">
        <v>151</v>
      </c>
      <c r="F847" s="116">
        <v>36</v>
      </c>
      <c r="G847" s="116">
        <v>0</v>
      </c>
      <c r="H847" s="117">
        <f t="shared" si="26"/>
        <v>0</v>
      </c>
      <c r="I847" s="118" t="str">
        <f t="shared" si="27"/>
        <v>EN</v>
      </c>
    </row>
    <row r="848" spans="1:9" x14ac:dyDescent="0.3">
      <c r="A848" s="115" t="s">
        <v>295</v>
      </c>
      <c r="B848" s="115" t="s">
        <v>339</v>
      </c>
      <c r="C848" s="115" t="s">
        <v>44</v>
      </c>
      <c r="D848" s="115" t="s">
        <v>150</v>
      </c>
      <c r="E848" s="115" t="s">
        <v>151</v>
      </c>
      <c r="F848" s="116">
        <v>19</v>
      </c>
      <c r="G848" s="116">
        <v>0</v>
      </c>
      <c r="H848" s="117">
        <f t="shared" si="26"/>
        <v>0</v>
      </c>
      <c r="I848" s="118" t="str">
        <f t="shared" si="27"/>
        <v>EN</v>
      </c>
    </row>
    <row r="849" spans="1:9" x14ac:dyDescent="0.3">
      <c r="A849" s="115" t="s">
        <v>295</v>
      </c>
      <c r="B849" s="115" t="s">
        <v>339</v>
      </c>
      <c r="C849" s="115" t="s">
        <v>44</v>
      </c>
      <c r="D849" s="115" t="s">
        <v>150</v>
      </c>
      <c r="E849" s="115" t="s">
        <v>151</v>
      </c>
      <c r="F849" s="116">
        <v>19</v>
      </c>
      <c r="G849" s="116">
        <v>0</v>
      </c>
      <c r="H849" s="117">
        <f t="shared" si="26"/>
        <v>0</v>
      </c>
      <c r="I849" s="118" t="str">
        <f t="shared" si="27"/>
        <v>EN</v>
      </c>
    </row>
    <row r="850" spans="1:9" x14ac:dyDescent="0.3">
      <c r="A850" s="115" t="s">
        <v>295</v>
      </c>
      <c r="B850" s="115" t="s">
        <v>339</v>
      </c>
      <c r="C850" s="115" t="s">
        <v>44</v>
      </c>
      <c r="D850" s="115" t="s">
        <v>150</v>
      </c>
      <c r="E850" s="115" t="s">
        <v>151</v>
      </c>
      <c r="F850" s="116">
        <v>29</v>
      </c>
      <c r="G850" s="116">
        <v>0</v>
      </c>
      <c r="H850" s="117">
        <f t="shared" si="26"/>
        <v>0</v>
      </c>
      <c r="I850" s="118" t="str">
        <f t="shared" si="27"/>
        <v>EN</v>
      </c>
    </row>
    <row r="851" spans="1:9" x14ac:dyDescent="0.3">
      <c r="A851" s="115" t="s">
        <v>295</v>
      </c>
      <c r="B851" s="115" t="s">
        <v>339</v>
      </c>
      <c r="C851" s="115" t="s">
        <v>44</v>
      </c>
      <c r="D851" s="115" t="s">
        <v>127</v>
      </c>
      <c r="E851" s="115" t="s">
        <v>137</v>
      </c>
      <c r="F851" s="116">
        <v>5825</v>
      </c>
      <c r="G851" s="116">
        <v>62</v>
      </c>
      <c r="H851" s="117">
        <f t="shared" si="26"/>
        <v>1.0643776824034334E-2</v>
      </c>
      <c r="I851" s="118" t="str">
        <f t="shared" si="27"/>
        <v>EN</v>
      </c>
    </row>
    <row r="852" spans="1:9" x14ac:dyDescent="0.3">
      <c r="A852" s="115" t="s">
        <v>295</v>
      </c>
      <c r="B852" s="115" t="s">
        <v>339</v>
      </c>
      <c r="C852" s="115" t="s">
        <v>44</v>
      </c>
      <c r="D852" s="115" t="s">
        <v>127</v>
      </c>
      <c r="E852" s="115" t="s">
        <v>137</v>
      </c>
      <c r="F852" s="116">
        <v>10533</v>
      </c>
      <c r="G852" s="116">
        <v>106</v>
      </c>
      <c r="H852" s="117">
        <f t="shared" si="26"/>
        <v>1.0063609607898984E-2</v>
      </c>
      <c r="I852" s="118" t="str">
        <f t="shared" si="27"/>
        <v>EN</v>
      </c>
    </row>
    <row r="853" spans="1:9" x14ac:dyDescent="0.3">
      <c r="A853" s="115" t="s">
        <v>295</v>
      </c>
      <c r="B853" s="115" t="s">
        <v>339</v>
      </c>
      <c r="C853" s="115" t="s">
        <v>44</v>
      </c>
      <c r="D853" s="115" t="s">
        <v>127</v>
      </c>
      <c r="E853" s="115" t="s">
        <v>137</v>
      </c>
      <c r="F853" s="116">
        <v>8749</v>
      </c>
      <c r="G853" s="116">
        <v>89</v>
      </c>
      <c r="H853" s="117">
        <f t="shared" si="26"/>
        <v>1.017259115327466E-2</v>
      </c>
      <c r="I853" s="118" t="str">
        <f t="shared" si="27"/>
        <v>EN</v>
      </c>
    </row>
    <row r="854" spans="1:9" x14ac:dyDescent="0.3">
      <c r="A854" s="115" t="s">
        <v>295</v>
      </c>
      <c r="B854" s="115" t="s">
        <v>339</v>
      </c>
      <c r="C854" s="115" t="s">
        <v>44</v>
      </c>
      <c r="D854" s="115" t="s">
        <v>127</v>
      </c>
      <c r="E854" s="115" t="s">
        <v>137</v>
      </c>
      <c r="F854" s="116">
        <v>6305</v>
      </c>
      <c r="G854" s="116">
        <v>41</v>
      </c>
      <c r="H854" s="117">
        <f t="shared" si="26"/>
        <v>6.5027755749405237E-3</v>
      </c>
      <c r="I854" s="118" t="str">
        <f t="shared" si="27"/>
        <v>EN</v>
      </c>
    </row>
    <row r="855" spans="1:9" x14ac:dyDescent="0.3">
      <c r="A855" s="115" t="s">
        <v>295</v>
      </c>
      <c r="B855" s="115" t="s">
        <v>339</v>
      </c>
      <c r="C855" s="115" t="s">
        <v>44</v>
      </c>
      <c r="D855" s="115" t="s">
        <v>127</v>
      </c>
      <c r="E855" s="115" t="s">
        <v>137</v>
      </c>
      <c r="F855" s="116">
        <v>8670</v>
      </c>
      <c r="G855" s="116">
        <v>56</v>
      </c>
      <c r="H855" s="117">
        <f t="shared" si="26"/>
        <v>6.4590542099192622E-3</v>
      </c>
      <c r="I855" s="118" t="str">
        <f t="shared" si="27"/>
        <v>EN</v>
      </c>
    </row>
    <row r="856" spans="1:9" x14ac:dyDescent="0.3">
      <c r="A856" s="115" t="s">
        <v>295</v>
      </c>
      <c r="B856" s="115" t="s">
        <v>340</v>
      </c>
      <c r="C856" s="115" t="s">
        <v>44</v>
      </c>
      <c r="D856" s="115" t="s">
        <v>150</v>
      </c>
      <c r="E856" s="115" t="s">
        <v>151</v>
      </c>
      <c r="F856" s="116">
        <v>7</v>
      </c>
      <c r="G856" s="116">
        <v>0</v>
      </c>
      <c r="H856" s="117">
        <f t="shared" si="26"/>
        <v>0</v>
      </c>
      <c r="I856" s="118" t="str">
        <f t="shared" si="27"/>
        <v>AR</v>
      </c>
    </row>
    <row r="857" spans="1:9" x14ac:dyDescent="0.3">
      <c r="A857" s="115" t="s">
        <v>295</v>
      </c>
      <c r="B857" s="115" t="s">
        <v>340</v>
      </c>
      <c r="C857" s="115" t="s">
        <v>44</v>
      </c>
      <c r="D857" s="115" t="s">
        <v>150</v>
      </c>
      <c r="E857" s="115" t="s">
        <v>151</v>
      </c>
      <c r="F857" s="116">
        <v>4</v>
      </c>
      <c r="G857" s="116">
        <v>0</v>
      </c>
      <c r="H857" s="117">
        <f t="shared" si="26"/>
        <v>0</v>
      </c>
      <c r="I857" s="118" t="str">
        <f t="shared" si="27"/>
        <v>AR</v>
      </c>
    </row>
    <row r="858" spans="1:9" x14ac:dyDescent="0.3">
      <c r="A858" s="115" t="s">
        <v>295</v>
      </c>
      <c r="B858" s="115" t="s">
        <v>340</v>
      </c>
      <c r="C858" s="115" t="s">
        <v>44</v>
      </c>
      <c r="D858" s="115" t="s">
        <v>150</v>
      </c>
      <c r="E858" s="115" t="s">
        <v>151</v>
      </c>
      <c r="F858" s="116">
        <v>2</v>
      </c>
      <c r="G858" s="116">
        <v>0</v>
      </c>
      <c r="H858" s="117">
        <f t="shared" si="26"/>
        <v>0</v>
      </c>
      <c r="I858" s="118" t="str">
        <f t="shared" si="27"/>
        <v>AR</v>
      </c>
    </row>
    <row r="859" spans="1:9" x14ac:dyDescent="0.3">
      <c r="A859" s="115" t="s">
        <v>295</v>
      </c>
      <c r="B859" s="115" t="s">
        <v>340</v>
      </c>
      <c r="C859" s="115" t="s">
        <v>44</v>
      </c>
      <c r="D859" s="115" t="s">
        <v>127</v>
      </c>
      <c r="E859" s="115" t="s">
        <v>137</v>
      </c>
      <c r="F859" s="116">
        <v>1095</v>
      </c>
      <c r="G859" s="116">
        <v>4</v>
      </c>
      <c r="H859" s="117">
        <f t="shared" si="26"/>
        <v>3.6529680365296802E-3</v>
      </c>
      <c r="I859" s="118" t="str">
        <f t="shared" si="27"/>
        <v>AR</v>
      </c>
    </row>
    <row r="860" spans="1:9" x14ac:dyDescent="0.3">
      <c r="A860" s="115" t="s">
        <v>295</v>
      </c>
      <c r="B860" s="115" t="s">
        <v>340</v>
      </c>
      <c r="C860" s="115" t="s">
        <v>44</v>
      </c>
      <c r="D860" s="115" t="s">
        <v>127</v>
      </c>
      <c r="E860" s="115" t="s">
        <v>137</v>
      </c>
      <c r="F860" s="116">
        <v>1037</v>
      </c>
      <c r="G860" s="116">
        <v>6</v>
      </c>
      <c r="H860" s="117">
        <f t="shared" si="26"/>
        <v>5.7859209257473485E-3</v>
      </c>
      <c r="I860" s="118" t="str">
        <f t="shared" si="27"/>
        <v>AR</v>
      </c>
    </row>
    <row r="861" spans="1:9" x14ac:dyDescent="0.3">
      <c r="A861" s="115" t="s">
        <v>295</v>
      </c>
      <c r="B861" s="115" t="s">
        <v>340</v>
      </c>
      <c r="C861" s="115" t="s">
        <v>44</v>
      </c>
      <c r="D861" s="115" t="s">
        <v>127</v>
      </c>
      <c r="E861" s="115" t="s">
        <v>137</v>
      </c>
      <c r="F861" s="116">
        <v>3207</v>
      </c>
      <c r="G861" s="116">
        <v>7</v>
      </c>
      <c r="H861" s="117">
        <f t="shared" si="26"/>
        <v>2.1827252884315559E-3</v>
      </c>
      <c r="I861" s="118" t="str">
        <f t="shared" si="27"/>
        <v>AR</v>
      </c>
    </row>
    <row r="862" spans="1:9" x14ac:dyDescent="0.3">
      <c r="A862" s="115" t="s">
        <v>295</v>
      </c>
      <c r="B862" s="115" t="s">
        <v>340</v>
      </c>
      <c r="C862" s="115" t="s">
        <v>44</v>
      </c>
      <c r="D862" s="115" t="s">
        <v>127</v>
      </c>
      <c r="E862" s="115" t="s">
        <v>137</v>
      </c>
      <c r="F862" s="116">
        <v>3870</v>
      </c>
      <c r="G862" s="116">
        <v>4</v>
      </c>
      <c r="H862" s="117">
        <f t="shared" si="26"/>
        <v>1.0335917312661498E-3</v>
      </c>
      <c r="I862" s="118" t="str">
        <f t="shared" si="27"/>
        <v>AR</v>
      </c>
    </row>
    <row r="863" spans="1:9" x14ac:dyDescent="0.3">
      <c r="A863" s="115" t="s">
        <v>295</v>
      </c>
      <c r="B863" s="115" t="s">
        <v>340</v>
      </c>
      <c r="C863" s="115" t="s">
        <v>44</v>
      </c>
      <c r="D863" s="115" t="s">
        <v>127</v>
      </c>
      <c r="E863" s="115" t="s">
        <v>137</v>
      </c>
      <c r="F863" s="116">
        <v>3052</v>
      </c>
      <c r="G863" s="116">
        <v>3</v>
      </c>
      <c r="H863" s="117">
        <f t="shared" si="26"/>
        <v>9.8296199213630396E-4</v>
      </c>
      <c r="I863" s="118" t="str">
        <f t="shared" si="27"/>
        <v>AR</v>
      </c>
    </row>
    <row r="864" spans="1:9" x14ac:dyDescent="0.3">
      <c r="A864" s="115" t="s">
        <v>295</v>
      </c>
      <c r="B864" s="115" t="s">
        <v>341</v>
      </c>
      <c r="C864" s="115" t="s">
        <v>44</v>
      </c>
      <c r="D864" s="115" t="s">
        <v>150</v>
      </c>
      <c r="E864" s="115" t="s">
        <v>151</v>
      </c>
      <c r="F864" s="116">
        <v>4</v>
      </c>
      <c r="G864" s="116">
        <v>0</v>
      </c>
      <c r="H864" s="117">
        <f t="shared" si="26"/>
        <v>0</v>
      </c>
      <c r="I864" s="118" t="str">
        <f t="shared" si="27"/>
        <v>EN</v>
      </c>
    </row>
    <row r="865" spans="1:9" x14ac:dyDescent="0.3">
      <c r="A865" s="115" t="s">
        <v>295</v>
      </c>
      <c r="B865" s="115" t="s">
        <v>341</v>
      </c>
      <c r="C865" s="115" t="s">
        <v>44</v>
      </c>
      <c r="D865" s="115" t="s">
        <v>150</v>
      </c>
      <c r="E865" s="115" t="s">
        <v>151</v>
      </c>
      <c r="F865" s="116">
        <v>5</v>
      </c>
      <c r="G865" s="116">
        <v>0</v>
      </c>
      <c r="H865" s="117">
        <f t="shared" si="26"/>
        <v>0</v>
      </c>
      <c r="I865" s="118" t="str">
        <f t="shared" si="27"/>
        <v>EN</v>
      </c>
    </row>
    <row r="866" spans="1:9" x14ac:dyDescent="0.3">
      <c r="A866" s="115" t="s">
        <v>295</v>
      </c>
      <c r="B866" s="115" t="s">
        <v>341</v>
      </c>
      <c r="C866" s="115" t="s">
        <v>44</v>
      </c>
      <c r="D866" s="115" t="s">
        <v>150</v>
      </c>
      <c r="E866" s="115" t="s">
        <v>151</v>
      </c>
      <c r="F866" s="116">
        <v>7</v>
      </c>
      <c r="G866" s="116">
        <v>0</v>
      </c>
      <c r="H866" s="117">
        <f t="shared" si="26"/>
        <v>0</v>
      </c>
      <c r="I866" s="118" t="str">
        <f t="shared" si="27"/>
        <v>EN</v>
      </c>
    </row>
    <row r="867" spans="1:9" x14ac:dyDescent="0.3">
      <c r="A867" s="115" t="s">
        <v>295</v>
      </c>
      <c r="B867" s="115" t="s">
        <v>341</v>
      </c>
      <c r="C867" s="115" t="s">
        <v>44</v>
      </c>
      <c r="D867" s="115" t="s">
        <v>150</v>
      </c>
      <c r="E867" s="115" t="s">
        <v>151</v>
      </c>
      <c r="F867" s="116">
        <v>11</v>
      </c>
      <c r="G867" s="116">
        <v>0</v>
      </c>
      <c r="H867" s="117">
        <f t="shared" si="26"/>
        <v>0</v>
      </c>
      <c r="I867" s="118" t="str">
        <f t="shared" si="27"/>
        <v>EN</v>
      </c>
    </row>
    <row r="868" spans="1:9" x14ac:dyDescent="0.3">
      <c r="A868" s="115" t="s">
        <v>295</v>
      </c>
      <c r="B868" s="115" t="s">
        <v>341</v>
      </c>
      <c r="C868" s="115" t="s">
        <v>44</v>
      </c>
      <c r="D868" s="115" t="s">
        <v>150</v>
      </c>
      <c r="E868" s="115" t="s">
        <v>151</v>
      </c>
      <c r="F868" s="116">
        <v>2</v>
      </c>
      <c r="G868" s="116">
        <v>0</v>
      </c>
      <c r="H868" s="117">
        <f t="shared" si="26"/>
        <v>0</v>
      </c>
      <c r="I868" s="118" t="str">
        <f t="shared" si="27"/>
        <v>EN</v>
      </c>
    </row>
    <row r="869" spans="1:9" x14ac:dyDescent="0.3">
      <c r="A869" s="115" t="s">
        <v>295</v>
      </c>
      <c r="B869" s="115" t="s">
        <v>341</v>
      </c>
      <c r="C869" s="115" t="s">
        <v>44</v>
      </c>
      <c r="D869" s="115" t="s">
        <v>127</v>
      </c>
      <c r="E869" s="115" t="s">
        <v>137</v>
      </c>
      <c r="F869" s="116">
        <v>1553</v>
      </c>
      <c r="G869" s="116">
        <v>9</v>
      </c>
      <c r="H869" s="117">
        <f t="shared" si="26"/>
        <v>5.7952350289761749E-3</v>
      </c>
      <c r="I869" s="118" t="str">
        <f t="shared" si="27"/>
        <v>EN</v>
      </c>
    </row>
    <row r="870" spans="1:9" x14ac:dyDescent="0.3">
      <c r="A870" s="115" t="s">
        <v>295</v>
      </c>
      <c r="B870" s="115" t="s">
        <v>341</v>
      </c>
      <c r="C870" s="115" t="s">
        <v>44</v>
      </c>
      <c r="D870" s="115" t="s">
        <v>127</v>
      </c>
      <c r="E870" s="115" t="s">
        <v>137</v>
      </c>
      <c r="F870" s="116">
        <v>2634</v>
      </c>
      <c r="G870" s="116">
        <v>15</v>
      </c>
      <c r="H870" s="117">
        <f t="shared" si="26"/>
        <v>5.6947608200455585E-3</v>
      </c>
      <c r="I870" s="118" t="str">
        <f t="shared" si="27"/>
        <v>EN</v>
      </c>
    </row>
    <row r="871" spans="1:9" x14ac:dyDescent="0.3">
      <c r="A871" s="115" t="s">
        <v>295</v>
      </c>
      <c r="B871" s="115" t="s">
        <v>341</v>
      </c>
      <c r="C871" s="115" t="s">
        <v>44</v>
      </c>
      <c r="D871" s="115" t="s">
        <v>127</v>
      </c>
      <c r="E871" s="115" t="s">
        <v>137</v>
      </c>
      <c r="F871" s="116">
        <v>3107</v>
      </c>
      <c r="G871" s="116">
        <v>23</v>
      </c>
      <c r="H871" s="117">
        <f t="shared" si="26"/>
        <v>7.402639201802382E-3</v>
      </c>
      <c r="I871" s="118" t="str">
        <f t="shared" si="27"/>
        <v>EN</v>
      </c>
    </row>
    <row r="872" spans="1:9" x14ac:dyDescent="0.3">
      <c r="A872" s="115" t="s">
        <v>295</v>
      </c>
      <c r="B872" s="115" t="s">
        <v>341</v>
      </c>
      <c r="C872" s="115" t="s">
        <v>44</v>
      </c>
      <c r="D872" s="115" t="s">
        <v>127</v>
      </c>
      <c r="E872" s="115" t="s">
        <v>137</v>
      </c>
      <c r="F872" s="116">
        <v>3106</v>
      </c>
      <c r="G872" s="116">
        <v>20</v>
      </c>
      <c r="H872" s="117">
        <f t="shared" si="26"/>
        <v>6.4391500321957498E-3</v>
      </c>
      <c r="I872" s="118" t="str">
        <f t="shared" si="27"/>
        <v>EN</v>
      </c>
    </row>
    <row r="873" spans="1:9" x14ac:dyDescent="0.3">
      <c r="A873" s="115" t="s">
        <v>295</v>
      </c>
      <c r="B873" s="115" t="s">
        <v>341</v>
      </c>
      <c r="C873" s="115" t="s">
        <v>44</v>
      </c>
      <c r="D873" s="115" t="s">
        <v>127</v>
      </c>
      <c r="E873" s="115" t="s">
        <v>137</v>
      </c>
      <c r="F873" s="116">
        <v>1631</v>
      </c>
      <c r="G873" s="116">
        <v>12</v>
      </c>
      <c r="H873" s="117">
        <f t="shared" si="26"/>
        <v>7.357449417535254E-3</v>
      </c>
      <c r="I873" s="118" t="str">
        <f t="shared" si="27"/>
        <v>EN</v>
      </c>
    </row>
    <row r="874" spans="1:9" x14ac:dyDescent="0.3">
      <c r="A874" s="115" t="s">
        <v>295</v>
      </c>
      <c r="B874" s="115" t="s">
        <v>342</v>
      </c>
      <c r="C874" s="115" t="s">
        <v>44</v>
      </c>
      <c r="D874" s="115" t="s">
        <v>150</v>
      </c>
      <c r="E874" s="115" t="s">
        <v>151</v>
      </c>
      <c r="F874" s="116">
        <v>3</v>
      </c>
      <c r="G874" s="116">
        <v>0</v>
      </c>
      <c r="H874" s="117">
        <f t="shared" si="26"/>
        <v>0</v>
      </c>
      <c r="I874" s="118" t="str">
        <f t="shared" si="27"/>
        <v>AR</v>
      </c>
    </row>
    <row r="875" spans="1:9" x14ac:dyDescent="0.3">
      <c r="A875" s="115" t="s">
        <v>295</v>
      </c>
      <c r="B875" s="115" t="s">
        <v>342</v>
      </c>
      <c r="C875" s="115" t="s">
        <v>44</v>
      </c>
      <c r="D875" s="115" t="s">
        <v>150</v>
      </c>
      <c r="E875" s="115" t="s">
        <v>151</v>
      </c>
      <c r="F875" s="116">
        <v>2</v>
      </c>
      <c r="G875" s="116">
        <v>0</v>
      </c>
      <c r="H875" s="117">
        <f t="shared" si="26"/>
        <v>0</v>
      </c>
      <c r="I875" s="118" t="str">
        <f t="shared" si="27"/>
        <v>AR</v>
      </c>
    </row>
    <row r="876" spans="1:9" x14ac:dyDescent="0.3">
      <c r="A876" s="115" t="s">
        <v>295</v>
      </c>
      <c r="B876" s="115" t="s">
        <v>342</v>
      </c>
      <c r="C876" s="115" t="s">
        <v>44</v>
      </c>
      <c r="D876" s="115" t="s">
        <v>127</v>
      </c>
      <c r="E876" s="115" t="s">
        <v>137</v>
      </c>
      <c r="F876" s="116">
        <v>753</v>
      </c>
      <c r="G876" s="116">
        <v>6</v>
      </c>
      <c r="H876" s="117">
        <f t="shared" si="26"/>
        <v>7.9681274900398405E-3</v>
      </c>
      <c r="I876" s="118" t="str">
        <f t="shared" si="27"/>
        <v>AR</v>
      </c>
    </row>
    <row r="877" spans="1:9" x14ac:dyDescent="0.3">
      <c r="A877" s="115" t="s">
        <v>295</v>
      </c>
      <c r="B877" s="115" t="s">
        <v>342</v>
      </c>
      <c r="C877" s="115" t="s">
        <v>44</v>
      </c>
      <c r="D877" s="115" t="s">
        <v>127</v>
      </c>
      <c r="E877" s="115" t="s">
        <v>137</v>
      </c>
      <c r="F877" s="116">
        <v>4193</v>
      </c>
      <c r="G877" s="116">
        <v>8</v>
      </c>
      <c r="H877" s="117">
        <f t="shared" si="26"/>
        <v>1.9079418077748629E-3</v>
      </c>
      <c r="I877" s="118" t="str">
        <f t="shared" si="27"/>
        <v>AR</v>
      </c>
    </row>
    <row r="878" spans="1:9" x14ac:dyDescent="0.3">
      <c r="A878" s="115" t="s">
        <v>295</v>
      </c>
      <c r="B878" s="115" t="s">
        <v>342</v>
      </c>
      <c r="C878" s="115" t="s">
        <v>44</v>
      </c>
      <c r="D878" s="115" t="s">
        <v>127</v>
      </c>
      <c r="E878" s="115" t="s">
        <v>137</v>
      </c>
      <c r="F878" s="116">
        <v>3607</v>
      </c>
      <c r="G878" s="116">
        <v>3</v>
      </c>
      <c r="H878" s="117">
        <f t="shared" si="26"/>
        <v>8.3171610756861659E-4</v>
      </c>
      <c r="I878" s="118" t="str">
        <f t="shared" si="27"/>
        <v>AR</v>
      </c>
    </row>
    <row r="879" spans="1:9" x14ac:dyDescent="0.3">
      <c r="A879" s="115" t="s">
        <v>295</v>
      </c>
      <c r="B879" s="115" t="s">
        <v>342</v>
      </c>
      <c r="C879" s="115" t="s">
        <v>44</v>
      </c>
      <c r="D879" s="115" t="s">
        <v>127</v>
      </c>
      <c r="E879" s="115" t="s">
        <v>137</v>
      </c>
      <c r="F879" s="116">
        <v>3000</v>
      </c>
      <c r="G879" s="116">
        <v>4</v>
      </c>
      <c r="H879" s="117">
        <f t="shared" si="26"/>
        <v>1.3333333333333333E-3</v>
      </c>
      <c r="I879" s="118" t="str">
        <f t="shared" si="27"/>
        <v>AR</v>
      </c>
    </row>
    <row r="880" spans="1:9" x14ac:dyDescent="0.3">
      <c r="A880" s="115" t="s">
        <v>295</v>
      </c>
      <c r="B880" s="115" t="s">
        <v>342</v>
      </c>
      <c r="C880" s="115" t="s">
        <v>44</v>
      </c>
      <c r="D880" s="115" t="s">
        <v>127</v>
      </c>
      <c r="E880" s="115" t="s">
        <v>137</v>
      </c>
      <c r="F880" s="116">
        <v>1139</v>
      </c>
      <c r="G880" s="116">
        <v>0</v>
      </c>
      <c r="H880" s="117">
        <f t="shared" si="26"/>
        <v>0</v>
      </c>
      <c r="I880" s="118" t="str">
        <f t="shared" si="27"/>
        <v>AR</v>
      </c>
    </row>
    <row r="881" spans="1:9" x14ac:dyDescent="0.3">
      <c r="A881" s="115" t="s">
        <v>295</v>
      </c>
      <c r="B881" s="115" t="s">
        <v>343</v>
      </c>
      <c r="C881" s="115" t="s">
        <v>44</v>
      </c>
      <c r="D881" s="115" t="s">
        <v>150</v>
      </c>
      <c r="E881" s="115" t="s">
        <v>151</v>
      </c>
      <c r="F881" s="116">
        <v>1</v>
      </c>
      <c r="G881" s="116">
        <v>0</v>
      </c>
      <c r="H881" s="117">
        <f t="shared" si="26"/>
        <v>0</v>
      </c>
      <c r="I881" s="118" t="str">
        <f t="shared" si="27"/>
        <v>EN</v>
      </c>
    </row>
    <row r="882" spans="1:9" x14ac:dyDescent="0.3">
      <c r="A882" s="115" t="s">
        <v>295</v>
      </c>
      <c r="B882" s="115" t="s">
        <v>343</v>
      </c>
      <c r="C882" s="115" t="s">
        <v>44</v>
      </c>
      <c r="D882" s="115" t="s">
        <v>150</v>
      </c>
      <c r="E882" s="115" t="s">
        <v>151</v>
      </c>
      <c r="F882" s="116">
        <v>1</v>
      </c>
      <c r="G882" s="116">
        <v>0</v>
      </c>
      <c r="H882" s="117">
        <f t="shared" si="26"/>
        <v>0</v>
      </c>
      <c r="I882" s="118" t="str">
        <f t="shared" si="27"/>
        <v>EN</v>
      </c>
    </row>
    <row r="883" spans="1:9" x14ac:dyDescent="0.3">
      <c r="A883" s="115" t="s">
        <v>295</v>
      </c>
      <c r="B883" s="115" t="s">
        <v>343</v>
      </c>
      <c r="C883" s="115" t="s">
        <v>44</v>
      </c>
      <c r="D883" s="115" t="s">
        <v>150</v>
      </c>
      <c r="E883" s="115" t="s">
        <v>151</v>
      </c>
      <c r="F883" s="116">
        <v>2</v>
      </c>
      <c r="G883" s="116">
        <v>0</v>
      </c>
      <c r="H883" s="117">
        <f t="shared" si="26"/>
        <v>0</v>
      </c>
      <c r="I883" s="118" t="str">
        <f t="shared" si="27"/>
        <v>EN</v>
      </c>
    </row>
    <row r="884" spans="1:9" x14ac:dyDescent="0.3">
      <c r="A884" s="115" t="s">
        <v>295</v>
      </c>
      <c r="B884" s="115" t="s">
        <v>343</v>
      </c>
      <c r="C884" s="115" t="s">
        <v>44</v>
      </c>
      <c r="D884" s="115" t="s">
        <v>127</v>
      </c>
      <c r="E884" s="115" t="s">
        <v>137</v>
      </c>
      <c r="F884" s="116">
        <v>706</v>
      </c>
      <c r="G884" s="116">
        <v>5</v>
      </c>
      <c r="H884" s="117">
        <f t="shared" si="26"/>
        <v>7.0821529745042494E-3</v>
      </c>
      <c r="I884" s="118" t="str">
        <f t="shared" si="27"/>
        <v>EN</v>
      </c>
    </row>
    <row r="885" spans="1:9" x14ac:dyDescent="0.3">
      <c r="A885" s="115" t="s">
        <v>295</v>
      </c>
      <c r="B885" s="115" t="s">
        <v>343</v>
      </c>
      <c r="C885" s="115" t="s">
        <v>44</v>
      </c>
      <c r="D885" s="115" t="s">
        <v>127</v>
      </c>
      <c r="E885" s="115" t="s">
        <v>137</v>
      </c>
      <c r="F885" s="116">
        <v>1719</v>
      </c>
      <c r="G885" s="116">
        <v>13</v>
      </c>
      <c r="H885" s="117">
        <f t="shared" si="26"/>
        <v>7.5625363583478765E-3</v>
      </c>
      <c r="I885" s="118" t="str">
        <f t="shared" si="27"/>
        <v>EN</v>
      </c>
    </row>
    <row r="886" spans="1:9" x14ac:dyDescent="0.3">
      <c r="A886" s="115" t="s">
        <v>295</v>
      </c>
      <c r="B886" s="115" t="s">
        <v>343</v>
      </c>
      <c r="C886" s="115" t="s">
        <v>44</v>
      </c>
      <c r="D886" s="115" t="s">
        <v>127</v>
      </c>
      <c r="E886" s="115" t="s">
        <v>137</v>
      </c>
      <c r="F886" s="116">
        <v>1611</v>
      </c>
      <c r="G886" s="116">
        <v>3</v>
      </c>
      <c r="H886" s="117">
        <f t="shared" si="26"/>
        <v>1.8621973929236499E-3</v>
      </c>
      <c r="I886" s="118" t="str">
        <f t="shared" si="27"/>
        <v>EN</v>
      </c>
    </row>
    <row r="887" spans="1:9" x14ac:dyDescent="0.3">
      <c r="A887" s="115" t="s">
        <v>295</v>
      </c>
      <c r="B887" s="115" t="s">
        <v>343</v>
      </c>
      <c r="C887" s="115" t="s">
        <v>44</v>
      </c>
      <c r="D887" s="115" t="s">
        <v>127</v>
      </c>
      <c r="E887" s="115" t="s">
        <v>137</v>
      </c>
      <c r="F887" s="116">
        <v>1550</v>
      </c>
      <c r="G887" s="116">
        <v>18</v>
      </c>
      <c r="H887" s="117">
        <f t="shared" si="26"/>
        <v>1.1612903225806452E-2</v>
      </c>
      <c r="I887" s="118" t="str">
        <f t="shared" si="27"/>
        <v>EN</v>
      </c>
    </row>
    <row r="888" spans="1:9" x14ac:dyDescent="0.3">
      <c r="A888" s="115" t="s">
        <v>295</v>
      </c>
      <c r="B888" s="115" t="s">
        <v>343</v>
      </c>
      <c r="C888" s="115" t="s">
        <v>44</v>
      </c>
      <c r="D888" s="115" t="s">
        <v>127</v>
      </c>
      <c r="E888" s="115" t="s">
        <v>137</v>
      </c>
      <c r="F888" s="116">
        <v>1679</v>
      </c>
      <c r="G888" s="116">
        <v>11</v>
      </c>
      <c r="H888" s="117">
        <f t="shared" si="26"/>
        <v>6.5515187611673619E-3</v>
      </c>
      <c r="I888" s="118" t="str">
        <f t="shared" si="27"/>
        <v>EN</v>
      </c>
    </row>
    <row r="889" spans="1:9" x14ac:dyDescent="0.3">
      <c r="A889" s="115" t="s">
        <v>295</v>
      </c>
      <c r="B889" s="115" t="s">
        <v>343</v>
      </c>
      <c r="C889" s="115" t="s">
        <v>44</v>
      </c>
      <c r="D889" s="115" t="s">
        <v>127</v>
      </c>
      <c r="E889" s="115" t="s">
        <v>137</v>
      </c>
      <c r="F889" s="116">
        <v>671</v>
      </c>
      <c r="G889" s="116">
        <v>3</v>
      </c>
      <c r="H889" s="117">
        <f t="shared" si="26"/>
        <v>4.4709388971684054E-3</v>
      </c>
      <c r="I889" s="118" t="str">
        <f t="shared" si="27"/>
        <v>EN</v>
      </c>
    </row>
    <row r="890" spans="1:9" x14ac:dyDescent="0.3">
      <c r="A890" s="115" t="s">
        <v>295</v>
      </c>
      <c r="B890" s="115" t="s">
        <v>343</v>
      </c>
      <c r="C890" s="115" t="s">
        <v>44</v>
      </c>
      <c r="D890" s="115" t="s">
        <v>127</v>
      </c>
      <c r="E890" s="115" t="s">
        <v>137</v>
      </c>
      <c r="F890" s="116">
        <v>1708</v>
      </c>
      <c r="G890" s="116">
        <v>7</v>
      </c>
      <c r="H890" s="117">
        <f t="shared" si="26"/>
        <v>4.0983606557377051E-3</v>
      </c>
      <c r="I890" s="118" t="str">
        <f t="shared" si="27"/>
        <v>EN</v>
      </c>
    </row>
    <row r="891" spans="1:9" x14ac:dyDescent="0.3">
      <c r="A891" s="115" t="s">
        <v>295</v>
      </c>
      <c r="B891" s="115" t="s">
        <v>343</v>
      </c>
      <c r="C891" s="115" t="s">
        <v>44</v>
      </c>
      <c r="D891" s="115" t="s">
        <v>127</v>
      </c>
      <c r="E891" s="115" t="s">
        <v>137</v>
      </c>
      <c r="F891" s="116">
        <v>1591</v>
      </c>
      <c r="G891" s="116">
        <v>16</v>
      </c>
      <c r="H891" s="117">
        <f t="shared" si="26"/>
        <v>1.005656819610308E-2</v>
      </c>
      <c r="I891" s="118" t="str">
        <f t="shared" si="27"/>
        <v>EN</v>
      </c>
    </row>
    <row r="892" spans="1:9" x14ac:dyDescent="0.3">
      <c r="A892" s="115" t="s">
        <v>295</v>
      </c>
      <c r="B892" s="115" t="s">
        <v>343</v>
      </c>
      <c r="C892" s="115" t="s">
        <v>44</v>
      </c>
      <c r="D892" s="115" t="s">
        <v>127</v>
      </c>
      <c r="E892" s="115" t="s">
        <v>137</v>
      </c>
      <c r="F892" s="116">
        <v>1559</v>
      </c>
      <c r="G892" s="116">
        <v>14</v>
      </c>
      <c r="H892" s="117">
        <f t="shared" si="26"/>
        <v>8.9801154586273257E-3</v>
      </c>
      <c r="I892" s="118" t="str">
        <f t="shared" si="27"/>
        <v>EN</v>
      </c>
    </row>
    <row r="893" spans="1:9" x14ac:dyDescent="0.3">
      <c r="A893" s="115" t="s">
        <v>295</v>
      </c>
      <c r="B893" s="115" t="s">
        <v>343</v>
      </c>
      <c r="C893" s="115" t="s">
        <v>44</v>
      </c>
      <c r="D893" s="115" t="s">
        <v>127</v>
      </c>
      <c r="E893" s="115" t="s">
        <v>137</v>
      </c>
      <c r="F893" s="116">
        <v>1673</v>
      </c>
      <c r="G893" s="116">
        <v>8</v>
      </c>
      <c r="H893" s="117">
        <f t="shared" si="26"/>
        <v>4.781829049611476E-3</v>
      </c>
      <c r="I893" s="118" t="str">
        <f t="shared" si="27"/>
        <v>EN</v>
      </c>
    </row>
    <row r="894" spans="1:9" x14ac:dyDescent="0.3">
      <c r="A894" s="115" t="s">
        <v>295</v>
      </c>
      <c r="B894" s="115" t="s">
        <v>344</v>
      </c>
      <c r="C894" s="115" t="s">
        <v>44</v>
      </c>
      <c r="D894" s="115" t="s">
        <v>150</v>
      </c>
      <c r="E894" s="115" t="s">
        <v>151</v>
      </c>
      <c r="F894" s="116">
        <v>2</v>
      </c>
      <c r="G894" s="116">
        <v>0</v>
      </c>
      <c r="H894" s="117">
        <f t="shared" si="26"/>
        <v>0</v>
      </c>
      <c r="I894" s="118" t="str">
        <f t="shared" si="27"/>
        <v>AR</v>
      </c>
    </row>
    <row r="895" spans="1:9" x14ac:dyDescent="0.3">
      <c r="A895" s="115" t="s">
        <v>295</v>
      </c>
      <c r="B895" s="115" t="s">
        <v>344</v>
      </c>
      <c r="C895" s="115" t="s">
        <v>44</v>
      </c>
      <c r="D895" s="115" t="s">
        <v>150</v>
      </c>
      <c r="E895" s="115" t="s">
        <v>151</v>
      </c>
      <c r="F895" s="116">
        <v>3</v>
      </c>
      <c r="G895" s="116">
        <v>0</v>
      </c>
      <c r="H895" s="117">
        <f t="shared" si="26"/>
        <v>0</v>
      </c>
      <c r="I895" s="118" t="str">
        <f t="shared" si="27"/>
        <v>AR</v>
      </c>
    </row>
    <row r="896" spans="1:9" x14ac:dyDescent="0.3">
      <c r="A896" s="115" t="s">
        <v>295</v>
      </c>
      <c r="B896" s="115" t="s">
        <v>344</v>
      </c>
      <c r="C896" s="115" t="s">
        <v>44</v>
      </c>
      <c r="D896" s="115" t="s">
        <v>150</v>
      </c>
      <c r="E896" s="115" t="s">
        <v>151</v>
      </c>
      <c r="F896" s="116">
        <v>1</v>
      </c>
      <c r="G896" s="116">
        <v>0</v>
      </c>
      <c r="H896" s="117">
        <f t="shared" si="26"/>
        <v>0</v>
      </c>
      <c r="I896" s="118" t="str">
        <f t="shared" si="27"/>
        <v>AR</v>
      </c>
    </row>
    <row r="897" spans="1:9" x14ac:dyDescent="0.3">
      <c r="A897" s="115" t="s">
        <v>295</v>
      </c>
      <c r="B897" s="115" t="s">
        <v>344</v>
      </c>
      <c r="C897" s="115" t="s">
        <v>44</v>
      </c>
      <c r="D897" s="115" t="s">
        <v>127</v>
      </c>
      <c r="E897" s="115" t="s">
        <v>137</v>
      </c>
      <c r="F897" s="116">
        <v>1258</v>
      </c>
      <c r="G897" s="116">
        <v>6</v>
      </c>
      <c r="H897" s="117">
        <f t="shared" si="26"/>
        <v>4.7694753577106515E-3</v>
      </c>
      <c r="I897" s="118" t="str">
        <f t="shared" si="27"/>
        <v>AR</v>
      </c>
    </row>
    <row r="898" spans="1:9" x14ac:dyDescent="0.3">
      <c r="A898" s="115" t="s">
        <v>295</v>
      </c>
      <c r="B898" s="115" t="s">
        <v>344</v>
      </c>
      <c r="C898" s="115" t="s">
        <v>44</v>
      </c>
      <c r="D898" s="115" t="s">
        <v>127</v>
      </c>
      <c r="E898" s="115" t="s">
        <v>137</v>
      </c>
      <c r="F898" s="116">
        <v>2521</v>
      </c>
      <c r="G898" s="116">
        <v>9</v>
      </c>
      <c r="H898" s="117">
        <f t="shared" si="26"/>
        <v>3.5700119000396666E-3</v>
      </c>
      <c r="I898" s="118" t="str">
        <f t="shared" si="27"/>
        <v>AR</v>
      </c>
    </row>
    <row r="899" spans="1:9" x14ac:dyDescent="0.3">
      <c r="A899" s="115" t="s">
        <v>295</v>
      </c>
      <c r="B899" s="115" t="s">
        <v>344</v>
      </c>
      <c r="C899" s="115" t="s">
        <v>44</v>
      </c>
      <c r="D899" s="115" t="s">
        <v>127</v>
      </c>
      <c r="E899" s="115" t="s">
        <v>137</v>
      </c>
      <c r="F899" s="116">
        <v>2959</v>
      </c>
      <c r="G899" s="116">
        <v>6</v>
      </c>
      <c r="H899" s="117">
        <f t="shared" ref="H899:H962" si="28">G899/F899</f>
        <v>2.0277120648867861E-3</v>
      </c>
      <c r="I899" s="118" t="str">
        <f t="shared" ref="I899:I962" si="29">RIGHT(B899,2)</f>
        <v>AR</v>
      </c>
    </row>
    <row r="900" spans="1:9" x14ac:dyDescent="0.3">
      <c r="A900" s="115" t="s">
        <v>295</v>
      </c>
      <c r="B900" s="115" t="s">
        <v>344</v>
      </c>
      <c r="C900" s="115" t="s">
        <v>44</v>
      </c>
      <c r="D900" s="115" t="s">
        <v>127</v>
      </c>
      <c r="E900" s="115" t="s">
        <v>137</v>
      </c>
      <c r="F900" s="116">
        <v>1794</v>
      </c>
      <c r="G900" s="116">
        <v>6</v>
      </c>
      <c r="H900" s="117">
        <f t="shared" si="28"/>
        <v>3.3444816053511705E-3</v>
      </c>
      <c r="I900" s="118" t="str">
        <f t="shared" si="29"/>
        <v>AR</v>
      </c>
    </row>
    <row r="901" spans="1:9" x14ac:dyDescent="0.3">
      <c r="A901" s="115" t="s">
        <v>295</v>
      </c>
      <c r="B901" s="115" t="s">
        <v>344</v>
      </c>
      <c r="C901" s="115" t="s">
        <v>44</v>
      </c>
      <c r="D901" s="115" t="s">
        <v>127</v>
      </c>
      <c r="E901" s="115" t="s">
        <v>137</v>
      </c>
      <c r="F901" s="116">
        <v>1093</v>
      </c>
      <c r="G901" s="116">
        <v>0</v>
      </c>
      <c r="H901" s="117">
        <f t="shared" si="28"/>
        <v>0</v>
      </c>
      <c r="I901" s="118" t="str">
        <f t="shared" si="29"/>
        <v>AR</v>
      </c>
    </row>
    <row r="902" spans="1:9" x14ac:dyDescent="0.3">
      <c r="A902" s="115" t="s">
        <v>295</v>
      </c>
      <c r="B902" s="115" t="s">
        <v>345</v>
      </c>
      <c r="C902" s="115" t="s">
        <v>44</v>
      </c>
      <c r="D902" s="115" t="s">
        <v>150</v>
      </c>
      <c r="E902" s="115" t="s">
        <v>151</v>
      </c>
      <c r="F902" s="116">
        <v>1</v>
      </c>
      <c r="G902" s="116">
        <v>0</v>
      </c>
      <c r="H902" s="117">
        <f t="shared" si="28"/>
        <v>0</v>
      </c>
      <c r="I902" s="118" t="str">
        <f t="shared" si="29"/>
        <v>EN</v>
      </c>
    </row>
    <row r="903" spans="1:9" x14ac:dyDescent="0.3">
      <c r="A903" s="115" t="s">
        <v>295</v>
      </c>
      <c r="B903" s="115" t="s">
        <v>345</v>
      </c>
      <c r="C903" s="115" t="s">
        <v>44</v>
      </c>
      <c r="D903" s="115" t="s">
        <v>150</v>
      </c>
      <c r="E903" s="115" t="s">
        <v>151</v>
      </c>
      <c r="F903" s="116">
        <v>2</v>
      </c>
      <c r="G903" s="116">
        <v>0</v>
      </c>
      <c r="H903" s="117">
        <f t="shared" si="28"/>
        <v>0</v>
      </c>
      <c r="I903" s="118" t="str">
        <f t="shared" si="29"/>
        <v>EN</v>
      </c>
    </row>
    <row r="904" spans="1:9" x14ac:dyDescent="0.3">
      <c r="A904" s="115" t="s">
        <v>295</v>
      </c>
      <c r="B904" s="115" t="s">
        <v>345</v>
      </c>
      <c r="C904" s="115" t="s">
        <v>44</v>
      </c>
      <c r="D904" s="115" t="s">
        <v>150</v>
      </c>
      <c r="E904" s="115" t="s">
        <v>151</v>
      </c>
      <c r="F904" s="116">
        <v>2</v>
      </c>
      <c r="G904" s="116">
        <v>0</v>
      </c>
      <c r="H904" s="117">
        <f t="shared" si="28"/>
        <v>0</v>
      </c>
      <c r="I904" s="118" t="str">
        <f t="shared" si="29"/>
        <v>EN</v>
      </c>
    </row>
    <row r="905" spans="1:9" x14ac:dyDescent="0.3">
      <c r="A905" s="115" t="s">
        <v>295</v>
      </c>
      <c r="B905" s="115" t="s">
        <v>345</v>
      </c>
      <c r="C905" s="115" t="s">
        <v>44</v>
      </c>
      <c r="D905" s="115" t="s">
        <v>127</v>
      </c>
      <c r="E905" s="115" t="s">
        <v>137</v>
      </c>
      <c r="F905" s="116">
        <v>1673</v>
      </c>
      <c r="G905" s="116">
        <v>12</v>
      </c>
      <c r="H905" s="117">
        <f t="shared" si="28"/>
        <v>7.1727435744172148E-3</v>
      </c>
      <c r="I905" s="118" t="str">
        <f t="shared" si="29"/>
        <v>EN</v>
      </c>
    </row>
    <row r="906" spans="1:9" x14ac:dyDescent="0.3">
      <c r="A906" s="115" t="s">
        <v>295</v>
      </c>
      <c r="B906" s="115" t="s">
        <v>345</v>
      </c>
      <c r="C906" s="115" t="s">
        <v>44</v>
      </c>
      <c r="D906" s="115" t="s">
        <v>127</v>
      </c>
      <c r="E906" s="115" t="s">
        <v>137</v>
      </c>
      <c r="F906" s="116">
        <v>2555</v>
      </c>
      <c r="G906" s="116">
        <v>13</v>
      </c>
      <c r="H906" s="117">
        <f t="shared" si="28"/>
        <v>5.0880626223091981E-3</v>
      </c>
      <c r="I906" s="118" t="str">
        <f t="shared" si="29"/>
        <v>EN</v>
      </c>
    </row>
    <row r="907" spans="1:9" x14ac:dyDescent="0.3">
      <c r="A907" s="115" t="s">
        <v>295</v>
      </c>
      <c r="B907" s="115" t="s">
        <v>345</v>
      </c>
      <c r="C907" s="115" t="s">
        <v>44</v>
      </c>
      <c r="D907" s="115" t="s">
        <v>127</v>
      </c>
      <c r="E907" s="115" t="s">
        <v>137</v>
      </c>
      <c r="F907" s="116">
        <v>2488</v>
      </c>
      <c r="G907" s="116">
        <v>22</v>
      </c>
      <c r="H907" s="117">
        <f t="shared" si="28"/>
        <v>8.8424437299035371E-3</v>
      </c>
      <c r="I907" s="118" t="str">
        <f t="shared" si="29"/>
        <v>EN</v>
      </c>
    </row>
    <row r="908" spans="1:9" x14ac:dyDescent="0.3">
      <c r="A908" s="115" t="s">
        <v>295</v>
      </c>
      <c r="B908" s="115" t="s">
        <v>345</v>
      </c>
      <c r="C908" s="115" t="s">
        <v>44</v>
      </c>
      <c r="D908" s="115" t="s">
        <v>127</v>
      </c>
      <c r="E908" s="115" t="s">
        <v>137</v>
      </c>
      <c r="F908" s="116">
        <v>3039</v>
      </c>
      <c r="G908" s="116">
        <v>9</v>
      </c>
      <c r="H908" s="117">
        <f t="shared" si="28"/>
        <v>2.9615004935834156E-3</v>
      </c>
      <c r="I908" s="118" t="str">
        <f t="shared" si="29"/>
        <v>EN</v>
      </c>
    </row>
    <row r="909" spans="1:9" x14ac:dyDescent="0.3">
      <c r="A909" s="115" t="s">
        <v>295</v>
      </c>
      <c r="B909" s="115" t="s">
        <v>345</v>
      </c>
      <c r="C909" s="115" t="s">
        <v>44</v>
      </c>
      <c r="D909" s="115" t="s">
        <v>127</v>
      </c>
      <c r="E909" s="115" t="s">
        <v>137</v>
      </c>
      <c r="F909" s="116">
        <v>1589</v>
      </c>
      <c r="G909" s="116">
        <v>6</v>
      </c>
      <c r="H909" s="117">
        <f t="shared" si="28"/>
        <v>3.775959723096287E-3</v>
      </c>
      <c r="I909" s="118" t="str">
        <f t="shared" si="29"/>
        <v>EN</v>
      </c>
    </row>
    <row r="910" spans="1:9" x14ac:dyDescent="0.3">
      <c r="A910" s="115" t="s">
        <v>295</v>
      </c>
      <c r="B910" s="115" t="s">
        <v>346</v>
      </c>
      <c r="C910" s="115" t="s">
        <v>44</v>
      </c>
      <c r="D910" s="115" t="s">
        <v>150</v>
      </c>
      <c r="E910" s="115" t="s">
        <v>151</v>
      </c>
      <c r="F910" s="116">
        <v>1</v>
      </c>
      <c r="G910" s="116">
        <v>0</v>
      </c>
      <c r="H910" s="117">
        <f t="shared" si="28"/>
        <v>0</v>
      </c>
      <c r="I910" s="118" t="str">
        <f t="shared" si="29"/>
        <v>AR</v>
      </c>
    </row>
    <row r="911" spans="1:9" x14ac:dyDescent="0.3">
      <c r="A911" s="115" t="s">
        <v>295</v>
      </c>
      <c r="B911" s="115" t="s">
        <v>346</v>
      </c>
      <c r="C911" s="115" t="s">
        <v>44</v>
      </c>
      <c r="D911" s="115" t="s">
        <v>127</v>
      </c>
      <c r="E911" s="115" t="s">
        <v>137</v>
      </c>
      <c r="F911" s="116">
        <v>2994</v>
      </c>
      <c r="G911" s="116">
        <v>6</v>
      </c>
      <c r="H911" s="117">
        <f t="shared" si="28"/>
        <v>2.004008016032064E-3</v>
      </c>
      <c r="I911" s="118" t="str">
        <f t="shared" si="29"/>
        <v>AR</v>
      </c>
    </row>
    <row r="912" spans="1:9" x14ac:dyDescent="0.3">
      <c r="A912" s="115" t="s">
        <v>295</v>
      </c>
      <c r="B912" s="115" t="s">
        <v>346</v>
      </c>
      <c r="C912" s="115" t="s">
        <v>44</v>
      </c>
      <c r="D912" s="115" t="s">
        <v>127</v>
      </c>
      <c r="E912" s="115" t="s">
        <v>137</v>
      </c>
      <c r="F912" s="116">
        <v>4698</v>
      </c>
      <c r="G912" s="116">
        <v>12</v>
      </c>
      <c r="H912" s="117">
        <f t="shared" si="28"/>
        <v>2.554278416347382E-3</v>
      </c>
      <c r="I912" s="118" t="str">
        <f t="shared" si="29"/>
        <v>AR</v>
      </c>
    </row>
    <row r="913" spans="1:9" x14ac:dyDescent="0.3">
      <c r="A913" s="115" t="s">
        <v>295</v>
      </c>
      <c r="B913" s="115" t="s">
        <v>346</v>
      </c>
      <c r="C913" s="115" t="s">
        <v>44</v>
      </c>
      <c r="D913" s="115" t="s">
        <v>127</v>
      </c>
      <c r="E913" s="115" t="s">
        <v>137</v>
      </c>
      <c r="F913" s="116">
        <v>3815</v>
      </c>
      <c r="G913" s="116">
        <v>8</v>
      </c>
      <c r="H913" s="117">
        <f t="shared" si="28"/>
        <v>2.0969855832241153E-3</v>
      </c>
      <c r="I913" s="118" t="str">
        <f t="shared" si="29"/>
        <v>AR</v>
      </c>
    </row>
    <row r="914" spans="1:9" x14ac:dyDescent="0.3">
      <c r="A914" s="115" t="s">
        <v>295</v>
      </c>
      <c r="B914" s="115" t="s">
        <v>346</v>
      </c>
      <c r="C914" s="115" t="s">
        <v>44</v>
      </c>
      <c r="D914" s="115" t="s">
        <v>127</v>
      </c>
      <c r="E914" s="115" t="s">
        <v>137</v>
      </c>
      <c r="F914" s="116">
        <v>2573</v>
      </c>
      <c r="G914" s="116">
        <v>5</v>
      </c>
      <c r="H914" s="117">
        <f t="shared" si="28"/>
        <v>1.94325689856199E-3</v>
      </c>
      <c r="I914" s="118" t="str">
        <f t="shared" si="29"/>
        <v>AR</v>
      </c>
    </row>
    <row r="915" spans="1:9" x14ac:dyDescent="0.3">
      <c r="A915" s="115" t="s">
        <v>295</v>
      </c>
      <c r="B915" s="115" t="s">
        <v>346</v>
      </c>
      <c r="C915" s="115" t="s">
        <v>44</v>
      </c>
      <c r="D915" s="115" t="s">
        <v>127</v>
      </c>
      <c r="E915" s="115" t="s">
        <v>137</v>
      </c>
      <c r="F915" s="116">
        <v>3369</v>
      </c>
      <c r="G915" s="116">
        <v>3</v>
      </c>
      <c r="H915" s="117">
        <f t="shared" si="28"/>
        <v>8.9047195013357077E-4</v>
      </c>
      <c r="I915" s="118" t="str">
        <f t="shared" si="29"/>
        <v>AR</v>
      </c>
    </row>
    <row r="916" spans="1:9" x14ac:dyDescent="0.3">
      <c r="A916" s="115" t="s">
        <v>295</v>
      </c>
      <c r="B916" s="115" t="s">
        <v>347</v>
      </c>
      <c r="C916" s="115" t="s">
        <v>44</v>
      </c>
      <c r="D916" s="115" t="s">
        <v>150</v>
      </c>
      <c r="E916" s="115" t="s">
        <v>151</v>
      </c>
      <c r="F916" s="116">
        <v>9</v>
      </c>
      <c r="G916" s="116">
        <v>0</v>
      </c>
      <c r="H916" s="117">
        <f t="shared" si="28"/>
        <v>0</v>
      </c>
      <c r="I916" s="118" t="str">
        <f t="shared" si="29"/>
        <v>EN</v>
      </c>
    </row>
    <row r="917" spans="1:9" x14ac:dyDescent="0.3">
      <c r="A917" s="115" t="s">
        <v>295</v>
      </c>
      <c r="B917" s="115" t="s">
        <v>347</v>
      </c>
      <c r="C917" s="115" t="s">
        <v>44</v>
      </c>
      <c r="D917" s="115" t="s">
        <v>150</v>
      </c>
      <c r="E917" s="115" t="s">
        <v>151</v>
      </c>
      <c r="F917" s="116">
        <v>15</v>
      </c>
      <c r="G917" s="116">
        <v>0</v>
      </c>
      <c r="H917" s="117">
        <f t="shared" si="28"/>
        <v>0</v>
      </c>
      <c r="I917" s="118" t="str">
        <f t="shared" si="29"/>
        <v>EN</v>
      </c>
    </row>
    <row r="918" spans="1:9" x14ac:dyDescent="0.3">
      <c r="A918" s="115" t="s">
        <v>295</v>
      </c>
      <c r="B918" s="115" t="s">
        <v>347</v>
      </c>
      <c r="C918" s="115" t="s">
        <v>44</v>
      </c>
      <c r="D918" s="115" t="s">
        <v>150</v>
      </c>
      <c r="E918" s="115" t="s">
        <v>151</v>
      </c>
      <c r="F918" s="116">
        <v>11</v>
      </c>
      <c r="G918" s="116">
        <v>0</v>
      </c>
      <c r="H918" s="117">
        <f t="shared" si="28"/>
        <v>0</v>
      </c>
      <c r="I918" s="118" t="str">
        <f t="shared" si="29"/>
        <v>EN</v>
      </c>
    </row>
    <row r="919" spans="1:9" x14ac:dyDescent="0.3">
      <c r="A919" s="115" t="s">
        <v>295</v>
      </c>
      <c r="B919" s="115" t="s">
        <v>347</v>
      </c>
      <c r="C919" s="115" t="s">
        <v>44</v>
      </c>
      <c r="D919" s="115" t="s">
        <v>150</v>
      </c>
      <c r="E919" s="115" t="s">
        <v>151</v>
      </c>
      <c r="F919" s="116">
        <v>14</v>
      </c>
      <c r="G919" s="116">
        <v>0</v>
      </c>
      <c r="H919" s="117">
        <f t="shared" si="28"/>
        <v>0</v>
      </c>
      <c r="I919" s="118" t="str">
        <f t="shared" si="29"/>
        <v>EN</v>
      </c>
    </row>
    <row r="920" spans="1:9" x14ac:dyDescent="0.3">
      <c r="A920" s="115" t="s">
        <v>295</v>
      </c>
      <c r="B920" s="115" t="s">
        <v>347</v>
      </c>
      <c r="C920" s="115" t="s">
        <v>44</v>
      </c>
      <c r="D920" s="115" t="s">
        <v>150</v>
      </c>
      <c r="E920" s="115" t="s">
        <v>151</v>
      </c>
      <c r="F920" s="116">
        <v>4</v>
      </c>
      <c r="G920" s="116">
        <v>0</v>
      </c>
      <c r="H920" s="117">
        <f t="shared" si="28"/>
        <v>0</v>
      </c>
      <c r="I920" s="118" t="str">
        <f t="shared" si="29"/>
        <v>EN</v>
      </c>
    </row>
    <row r="921" spans="1:9" x14ac:dyDescent="0.3">
      <c r="A921" s="115" t="s">
        <v>295</v>
      </c>
      <c r="B921" s="115" t="s">
        <v>347</v>
      </c>
      <c r="C921" s="115" t="s">
        <v>44</v>
      </c>
      <c r="D921" s="115" t="s">
        <v>127</v>
      </c>
      <c r="E921" s="115" t="s">
        <v>137</v>
      </c>
      <c r="F921" s="116">
        <v>10693</v>
      </c>
      <c r="G921" s="116">
        <v>26</v>
      </c>
      <c r="H921" s="117">
        <f t="shared" si="28"/>
        <v>2.4314972411858225E-3</v>
      </c>
      <c r="I921" s="118" t="str">
        <f t="shared" si="29"/>
        <v>EN</v>
      </c>
    </row>
    <row r="922" spans="1:9" x14ac:dyDescent="0.3">
      <c r="A922" s="115" t="s">
        <v>295</v>
      </c>
      <c r="B922" s="115" t="s">
        <v>347</v>
      </c>
      <c r="C922" s="115" t="s">
        <v>44</v>
      </c>
      <c r="D922" s="115" t="s">
        <v>127</v>
      </c>
      <c r="E922" s="115" t="s">
        <v>137</v>
      </c>
      <c r="F922" s="116">
        <v>21766</v>
      </c>
      <c r="G922" s="116">
        <v>74</v>
      </c>
      <c r="H922" s="117">
        <f t="shared" si="28"/>
        <v>3.3997978498575762E-3</v>
      </c>
      <c r="I922" s="118" t="str">
        <f t="shared" si="29"/>
        <v>EN</v>
      </c>
    </row>
    <row r="923" spans="1:9" x14ac:dyDescent="0.3">
      <c r="A923" s="115" t="s">
        <v>295</v>
      </c>
      <c r="B923" s="115" t="s">
        <v>347</v>
      </c>
      <c r="C923" s="115" t="s">
        <v>44</v>
      </c>
      <c r="D923" s="115" t="s">
        <v>127</v>
      </c>
      <c r="E923" s="115" t="s">
        <v>137</v>
      </c>
      <c r="F923" s="116">
        <v>14709</v>
      </c>
      <c r="G923" s="116">
        <v>55</v>
      </c>
      <c r="H923" s="117">
        <f t="shared" si="28"/>
        <v>3.7392072880549324E-3</v>
      </c>
      <c r="I923" s="118" t="str">
        <f t="shared" si="29"/>
        <v>EN</v>
      </c>
    </row>
    <row r="924" spans="1:9" x14ac:dyDescent="0.3">
      <c r="A924" s="115" t="s">
        <v>295</v>
      </c>
      <c r="B924" s="115" t="s">
        <v>347</v>
      </c>
      <c r="C924" s="115" t="s">
        <v>44</v>
      </c>
      <c r="D924" s="115" t="s">
        <v>127</v>
      </c>
      <c r="E924" s="115" t="s">
        <v>137</v>
      </c>
      <c r="F924" s="116">
        <v>9865</v>
      </c>
      <c r="G924" s="116">
        <v>42</v>
      </c>
      <c r="H924" s="117">
        <f t="shared" si="28"/>
        <v>4.2574759249873291E-3</v>
      </c>
      <c r="I924" s="118" t="str">
        <f t="shared" si="29"/>
        <v>EN</v>
      </c>
    </row>
    <row r="925" spans="1:9" x14ac:dyDescent="0.3">
      <c r="A925" s="115" t="s">
        <v>295</v>
      </c>
      <c r="B925" s="115" t="s">
        <v>347</v>
      </c>
      <c r="C925" s="115" t="s">
        <v>44</v>
      </c>
      <c r="D925" s="115" t="s">
        <v>127</v>
      </c>
      <c r="E925" s="115" t="s">
        <v>137</v>
      </c>
      <c r="F925" s="116">
        <v>4415</v>
      </c>
      <c r="G925" s="116">
        <v>19</v>
      </c>
      <c r="H925" s="117">
        <f t="shared" si="28"/>
        <v>4.3035107587768972E-3</v>
      </c>
      <c r="I925" s="118" t="str">
        <f t="shared" si="29"/>
        <v>EN</v>
      </c>
    </row>
    <row r="926" spans="1:9" x14ac:dyDescent="0.3">
      <c r="A926" s="115" t="s">
        <v>295</v>
      </c>
      <c r="B926" s="115" t="s">
        <v>348</v>
      </c>
      <c r="C926" s="115" t="s">
        <v>45</v>
      </c>
      <c r="D926" s="115" t="s">
        <v>150</v>
      </c>
      <c r="E926" s="115" t="s">
        <v>151</v>
      </c>
      <c r="F926" s="116">
        <v>3</v>
      </c>
      <c r="G926" s="116">
        <v>0</v>
      </c>
      <c r="H926" s="117">
        <f t="shared" si="28"/>
        <v>0</v>
      </c>
      <c r="I926" s="118" t="str">
        <f t="shared" si="29"/>
        <v>AR</v>
      </c>
    </row>
    <row r="927" spans="1:9" x14ac:dyDescent="0.3">
      <c r="A927" s="115" t="s">
        <v>295</v>
      </c>
      <c r="B927" s="115" t="s">
        <v>348</v>
      </c>
      <c r="C927" s="115" t="s">
        <v>45</v>
      </c>
      <c r="D927" s="115" t="s">
        <v>150</v>
      </c>
      <c r="E927" s="115" t="s">
        <v>151</v>
      </c>
      <c r="F927" s="116">
        <v>1</v>
      </c>
      <c r="G927" s="116">
        <v>0</v>
      </c>
      <c r="H927" s="117">
        <f t="shared" si="28"/>
        <v>0</v>
      </c>
      <c r="I927" s="118" t="str">
        <f t="shared" si="29"/>
        <v>AR</v>
      </c>
    </row>
    <row r="928" spans="1:9" x14ac:dyDescent="0.3">
      <c r="A928" s="115" t="s">
        <v>295</v>
      </c>
      <c r="B928" s="115" t="s">
        <v>348</v>
      </c>
      <c r="C928" s="115" t="s">
        <v>45</v>
      </c>
      <c r="D928" s="115" t="s">
        <v>150</v>
      </c>
      <c r="E928" s="115" t="s">
        <v>151</v>
      </c>
      <c r="F928" s="116">
        <v>6</v>
      </c>
      <c r="G928" s="116">
        <v>0</v>
      </c>
      <c r="H928" s="117">
        <f t="shared" si="28"/>
        <v>0</v>
      </c>
      <c r="I928" s="118" t="str">
        <f t="shared" si="29"/>
        <v>AR</v>
      </c>
    </row>
    <row r="929" spans="1:9" x14ac:dyDescent="0.3">
      <c r="A929" s="115" t="s">
        <v>295</v>
      </c>
      <c r="B929" s="115" t="s">
        <v>348</v>
      </c>
      <c r="C929" s="115" t="s">
        <v>45</v>
      </c>
      <c r="D929" s="115" t="s">
        <v>150</v>
      </c>
      <c r="E929" s="115" t="s">
        <v>151</v>
      </c>
      <c r="F929" s="116">
        <v>8</v>
      </c>
      <c r="G929" s="116">
        <v>0</v>
      </c>
      <c r="H929" s="117">
        <f t="shared" si="28"/>
        <v>0</v>
      </c>
      <c r="I929" s="118" t="str">
        <f t="shared" si="29"/>
        <v>AR</v>
      </c>
    </row>
    <row r="930" spans="1:9" x14ac:dyDescent="0.3">
      <c r="A930" s="115" t="s">
        <v>295</v>
      </c>
      <c r="B930" s="115" t="s">
        <v>348</v>
      </c>
      <c r="C930" s="115" t="s">
        <v>45</v>
      </c>
      <c r="D930" s="115" t="s">
        <v>150</v>
      </c>
      <c r="E930" s="115" t="s">
        <v>151</v>
      </c>
      <c r="F930" s="116">
        <v>8</v>
      </c>
      <c r="G930" s="116">
        <v>0</v>
      </c>
      <c r="H930" s="117">
        <f t="shared" si="28"/>
        <v>0</v>
      </c>
      <c r="I930" s="118" t="str">
        <f t="shared" si="29"/>
        <v>AR</v>
      </c>
    </row>
    <row r="931" spans="1:9" x14ac:dyDescent="0.3">
      <c r="A931" s="115" t="s">
        <v>295</v>
      </c>
      <c r="B931" s="115" t="s">
        <v>348</v>
      </c>
      <c r="C931" s="115" t="s">
        <v>45</v>
      </c>
      <c r="D931" s="115" t="s">
        <v>127</v>
      </c>
      <c r="E931" s="115" t="s">
        <v>134</v>
      </c>
      <c r="F931" s="116">
        <v>1665</v>
      </c>
      <c r="G931" s="116">
        <v>1</v>
      </c>
      <c r="H931" s="117">
        <f t="shared" si="28"/>
        <v>6.0060060060060057E-4</v>
      </c>
      <c r="I931" s="118" t="str">
        <f t="shared" si="29"/>
        <v>AR</v>
      </c>
    </row>
    <row r="932" spans="1:9" x14ac:dyDescent="0.3">
      <c r="A932" s="115" t="s">
        <v>295</v>
      </c>
      <c r="B932" s="115" t="s">
        <v>348</v>
      </c>
      <c r="C932" s="115" t="s">
        <v>45</v>
      </c>
      <c r="D932" s="115" t="s">
        <v>127</v>
      </c>
      <c r="E932" s="115" t="s">
        <v>134</v>
      </c>
      <c r="F932" s="116">
        <v>2949</v>
      </c>
      <c r="G932" s="116">
        <v>0</v>
      </c>
      <c r="H932" s="117">
        <f t="shared" si="28"/>
        <v>0</v>
      </c>
      <c r="I932" s="118" t="str">
        <f t="shared" si="29"/>
        <v>AR</v>
      </c>
    </row>
    <row r="933" spans="1:9" x14ac:dyDescent="0.3">
      <c r="A933" s="115" t="s">
        <v>295</v>
      </c>
      <c r="B933" s="115" t="s">
        <v>348</v>
      </c>
      <c r="C933" s="115" t="s">
        <v>45</v>
      </c>
      <c r="D933" s="115" t="s">
        <v>127</v>
      </c>
      <c r="E933" s="115" t="s">
        <v>134</v>
      </c>
      <c r="F933" s="116">
        <v>3808</v>
      </c>
      <c r="G933" s="116">
        <v>4</v>
      </c>
      <c r="H933" s="117">
        <f t="shared" si="28"/>
        <v>1.0504201680672268E-3</v>
      </c>
      <c r="I933" s="118" t="str">
        <f t="shared" si="29"/>
        <v>AR</v>
      </c>
    </row>
    <row r="934" spans="1:9" x14ac:dyDescent="0.3">
      <c r="A934" s="115" t="s">
        <v>295</v>
      </c>
      <c r="B934" s="115" t="s">
        <v>348</v>
      </c>
      <c r="C934" s="115" t="s">
        <v>45</v>
      </c>
      <c r="D934" s="115" t="s">
        <v>127</v>
      </c>
      <c r="E934" s="115" t="s">
        <v>134</v>
      </c>
      <c r="F934" s="116">
        <v>6129</v>
      </c>
      <c r="G934" s="116">
        <v>1</v>
      </c>
      <c r="H934" s="117">
        <f t="shared" si="28"/>
        <v>1.6315875346712352E-4</v>
      </c>
      <c r="I934" s="118" t="str">
        <f t="shared" si="29"/>
        <v>AR</v>
      </c>
    </row>
    <row r="935" spans="1:9" x14ac:dyDescent="0.3">
      <c r="A935" s="115" t="s">
        <v>295</v>
      </c>
      <c r="B935" s="115" t="s">
        <v>348</v>
      </c>
      <c r="C935" s="115" t="s">
        <v>45</v>
      </c>
      <c r="D935" s="115" t="s">
        <v>127</v>
      </c>
      <c r="E935" s="115" t="s">
        <v>134</v>
      </c>
      <c r="F935" s="116">
        <v>2552</v>
      </c>
      <c r="G935" s="116">
        <v>0</v>
      </c>
      <c r="H935" s="117">
        <f t="shared" si="28"/>
        <v>0</v>
      </c>
      <c r="I935" s="118" t="str">
        <f t="shared" si="29"/>
        <v>AR</v>
      </c>
    </row>
    <row r="936" spans="1:9" x14ac:dyDescent="0.3">
      <c r="A936" s="115" t="s">
        <v>295</v>
      </c>
      <c r="B936" s="115" t="s">
        <v>349</v>
      </c>
      <c r="C936" s="115" t="s">
        <v>45</v>
      </c>
      <c r="D936" s="115" t="s">
        <v>150</v>
      </c>
      <c r="E936" s="115" t="s">
        <v>151</v>
      </c>
      <c r="F936" s="116">
        <v>1</v>
      </c>
      <c r="G936" s="116">
        <v>0</v>
      </c>
      <c r="H936" s="117">
        <f t="shared" si="28"/>
        <v>0</v>
      </c>
      <c r="I936" s="118" t="str">
        <f t="shared" si="29"/>
        <v>EN</v>
      </c>
    </row>
    <row r="937" spans="1:9" x14ac:dyDescent="0.3">
      <c r="A937" s="115" t="s">
        <v>295</v>
      </c>
      <c r="B937" s="115" t="s">
        <v>349</v>
      </c>
      <c r="C937" s="115" t="s">
        <v>45</v>
      </c>
      <c r="D937" s="115" t="s">
        <v>150</v>
      </c>
      <c r="E937" s="115" t="s">
        <v>151</v>
      </c>
      <c r="F937" s="116">
        <v>1</v>
      </c>
      <c r="G937" s="116">
        <v>0</v>
      </c>
      <c r="H937" s="117">
        <f t="shared" si="28"/>
        <v>0</v>
      </c>
      <c r="I937" s="118" t="str">
        <f t="shared" si="29"/>
        <v>EN</v>
      </c>
    </row>
    <row r="938" spans="1:9" x14ac:dyDescent="0.3">
      <c r="A938" s="115" t="s">
        <v>295</v>
      </c>
      <c r="B938" s="115" t="s">
        <v>349</v>
      </c>
      <c r="C938" s="115" t="s">
        <v>45</v>
      </c>
      <c r="D938" s="115" t="s">
        <v>150</v>
      </c>
      <c r="E938" s="115" t="s">
        <v>151</v>
      </c>
      <c r="F938" s="116">
        <v>3</v>
      </c>
      <c r="G938" s="116">
        <v>0</v>
      </c>
      <c r="H938" s="117">
        <f t="shared" si="28"/>
        <v>0</v>
      </c>
      <c r="I938" s="118" t="str">
        <f t="shared" si="29"/>
        <v>EN</v>
      </c>
    </row>
    <row r="939" spans="1:9" x14ac:dyDescent="0.3">
      <c r="A939" s="115" t="s">
        <v>295</v>
      </c>
      <c r="B939" s="115" t="s">
        <v>349</v>
      </c>
      <c r="C939" s="115" t="s">
        <v>45</v>
      </c>
      <c r="D939" s="115" t="s">
        <v>150</v>
      </c>
      <c r="E939" s="115" t="s">
        <v>151</v>
      </c>
      <c r="F939" s="116">
        <v>8</v>
      </c>
      <c r="G939" s="116">
        <v>0</v>
      </c>
      <c r="H939" s="117">
        <f t="shared" si="28"/>
        <v>0</v>
      </c>
      <c r="I939" s="118" t="str">
        <f t="shared" si="29"/>
        <v>EN</v>
      </c>
    </row>
    <row r="940" spans="1:9" x14ac:dyDescent="0.3">
      <c r="A940" s="115" t="s">
        <v>295</v>
      </c>
      <c r="B940" s="115" t="s">
        <v>349</v>
      </c>
      <c r="C940" s="115" t="s">
        <v>45</v>
      </c>
      <c r="D940" s="115" t="s">
        <v>150</v>
      </c>
      <c r="E940" s="115" t="s">
        <v>151</v>
      </c>
      <c r="F940" s="116">
        <v>18</v>
      </c>
      <c r="G940" s="116">
        <v>0</v>
      </c>
      <c r="H940" s="117">
        <f t="shared" si="28"/>
        <v>0</v>
      </c>
      <c r="I940" s="118" t="str">
        <f t="shared" si="29"/>
        <v>EN</v>
      </c>
    </row>
    <row r="941" spans="1:9" x14ac:dyDescent="0.3">
      <c r="A941" s="115" t="s">
        <v>295</v>
      </c>
      <c r="B941" s="115" t="s">
        <v>349</v>
      </c>
      <c r="C941" s="115" t="s">
        <v>45</v>
      </c>
      <c r="D941" s="115" t="s">
        <v>127</v>
      </c>
      <c r="E941" s="115" t="s">
        <v>134</v>
      </c>
      <c r="F941" s="116">
        <v>1362</v>
      </c>
      <c r="G941" s="116">
        <v>0</v>
      </c>
      <c r="H941" s="117">
        <f t="shared" si="28"/>
        <v>0</v>
      </c>
      <c r="I941" s="118" t="str">
        <f t="shared" si="29"/>
        <v>EN</v>
      </c>
    </row>
    <row r="942" spans="1:9" x14ac:dyDescent="0.3">
      <c r="A942" s="115" t="s">
        <v>295</v>
      </c>
      <c r="B942" s="115" t="s">
        <v>349</v>
      </c>
      <c r="C942" s="115" t="s">
        <v>45</v>
      </c>
      <c r="D942" s="115" t="s">
        <v>127</v>
      </c>
      <c r="E942" s="115" t="s">
        <v>134</v>
      </c>
      <c r="F942" s="116">
        <v>4192</v>
      </c>
      <c r="G942" s="116">
        <v>1</v>
      </c>
      <c r="H942" s="117">
        <f t="shared" si="28"/>
        <v>2.3854961832061068E-4</v>
      </c>
      <c r="I942" s="118" t="str">
        <f t="shared" si="29"/>
        <v>EN</v>
      </c>
    </row>
    <row r="943" spans="1:9" x14ac:dyDescent="0.3">
      <c r="A943" s="115" t="s">
        <v>295</v>
      </c>
      <c r="B943" s="115" t="s">
        <v>349</v>
      </c>
      <c r="C943" s="115" t="s">
        <v>45</v>
      </c>
      <c r="D943" s="115" t="s">
        <v>127</v>
      </c>
      <c r="E943" s="115" t="s">
        <v>134</v>
      </c>
      <c r="F943" s="116">
        <v>3956</v>
      </c>
      <c r="G943" s="116">
        <v>0</v>
      </c>
      <c r="H943" s="117">
        <f t="shared" si="28"/>
        <v>0</v>
      </c>
      <c r="I943" s="118" t="str">
        <f t="shared" si="29"/>
        <v>EN</v>
      </c>
    </row>
    <row r="944" spans="1:9" x14ac:dyDescent="0.3">
      <c r="A944" s="115" t="s">
        <v>295</v>
      </c>
      <c r="B944" s="115" t="s">
        <v>349</v>
      </c>
      <c r="C944" s="115" t="s">
        <v>45</v>
      </c>
      <c r="D944" s="115" t="s">
        <v>127</v>
      </c>
      <c r="E944" s="115" t="s">
        <v>134</v>
      </c>
      <c r="F944" s="116">
        <v>2835</v>
      </c>
      <c r="G944" s="116">
        <v>0</v>
      </c>
      <c r="H944" s="117">
        <f t="shared" si="28"/>
        <v>0</v>
      </c>
      <c r="I944" s="118" t="str">
        <f t="shared" si="29"/>
        <v>EN</v>
      </c>
    </row>
    <row r="945" spans="1:9" x14ac:dyDescent="0.3">
      <c r="A945" s="115" t="s">
        <v>295</v>
      </c>
      <c r="B945" s="115" t="s">
        <v>349</v>
      </c>
      <c r="C945" s="115" t="s">
        <v>45</v>
      </c>
      <c r="D945" s="115" t="s">
        <v>127</v>
      </c>
      <c r="E945" s="115" t="s">
        <v>134</v>
      </c>
      <c r="F945" s="116">
        <v>3224</v>
      </c>
      <c r="G945" s="116">
        <v>0</v>
      </c>
      <c r="H945" s="117">
        <f t="shared" si="28"/>
        <v>0</v>
      </c>
      <c r="I945" s="118" t="str">
        <f t="shared" si="29"/>
        <v>EN</v>
      </c>
    </row>
    <row r="946" spans="1:9" x14ac:dyDescent="0.3">
      <c r="A946" s="115" t="s">
        <v>295</v>
      </c>
      <c r="B946" s="115" t="s">
        <v>350</v>
      </c>
      <c r="C946" s="115" t="s">
        <v>45</v>
      </c>
      <c r="D946" s="115" t="s">
        <v>150</v>
      </c>
      <c r="E946" s="115" t="s">
        <v>151</v>
      </c>
      <c r="F946" s="116">
        <v>113</v>
      </c>
      <c r="G946" s="116">
        <v>0</v>
      </c>
      <c r="H946" s="117">
        <f t="shared" si="28"/>
        <v>0</v>
      </c>
      <c r="I946" s="118" t="str">
        <f t="shared" si="29"/>
        <v>AR</v>
      </c>
    </row>
    <row r="947" spans="1:9" x14ac:dyDescent="0.3">
      <c r="A947" s="115" t="s">
        <v>295</v>
      </c>
      <c r="B947" s="115" t="s">
        <v>350</v>
      </c>
      <c r="C947" s="115" t="s">
        <v>45</v>
      </c>
      <c r="D947" s="115" t="s">
        <v>150</v>
      </c>
      <c r="E947" s="115" t="s">
        <v>151</v>
      </c>
      <c r="F947" s="116">
        <v>205</v>
      </c>
      <c r="G947" s="116">
        <v>0</v>
      </c>
      <c r="H947" s="117">
        <f t="shared" si="28"/>
        <v>0</v>
      </c>
      <c r="I947" s="118" t="str">
        <f t="shared" si="29"/>
        <v>AR</v>
      </c>
    </row>
    <row r="948" spans="1:9" x14ac:dyDescent="0.3">
      <c r="A948" s="115" t="s">
        <v>295</v>
      </c>
      <c r="B948" s="115" t="s">
        <v>350</v>
      </c>
      <c r="C948" s="115" t="s">
        <v>45</v>
      </c>
      <c r="D948" s="115" t="s">
        <v>150</v>
      </c>
      <c r="E948" s="115" t="s">
        <v>151</v>
      </c>
      <c r="F948" s="116">
        <v>249</v>
      </c>
      <c r="G948" s="116">
        <v>0</v>
      </c>
      <c r="H948" s="117">
        <f t="shared" si="28"/>
        <v>0</v>
      </c>
      <c r="I948" s="118" t="str">
        <f t="shared" si="29"/>
        <v>AR</v>
      </c>
    </row>
    <row r="949" spans="1:9" x14ac:dyDescent="0.3">
      <c r="A949" s="115" t="s">
        <v>295</v>
      </c>
      <c r="B949" s="115" t="s">
        <v>350</v>
      </c>
      <c r="C949" s="115" t="s">
        <v>45</v>
      </c>
      <c r="D949" s="115" t="s">
        <v>150</v>
      </c>
      <c r="E949" s="115" t="s">
        <v>151</v>
      </c>
      <c r="F949" s="116">
        <v>211</v>
      </c>
      <c r="G949" s="116">
        <v>0</v>
      </c>
      <c r="H949" s="117">
        <f t="shared" si="28"/>
        <v>0</v>
      </c>
      <c r="I949" s="118" t="str">
        <f t="shared" si="29"/>
        <v>AR</v>
      </c>
    </row>
    <row r="950" spans="1:9" x14ac:dyDescent="0.3">
      <c r="A950" s="115" t="s">
        <v>295</v>
      </c>
      <c r="B950" s="115" t="s">
        <v>350</v>
      </c>
      <c r="C950" s="115" t="s">
        <v>45</v>
      </c>
      <c r="D950" s="115" t="s">
        <v>150</v>
      </c>
      <c r="E950" s="115" t="s">
        <v>151</v>
      </c>
      <c r="F950" s="116">
        <v>229</v>
      </c>
      <c r="G950" s="116">
        <v>0</v>
      </c>
      <c r="H950" s="117">
        <f t="shared" si="28"/>
        <v>0</v>
      </c>
      <c r="I950" s="118" t="str">
        <f t="shared" si="29"/>
        <v>AR</v>
      </c>
    </row>
    <row r="951" spans="1:9" x14ac:dyDescent="0.3">
      <c r="A951" s="115" t="s">
        <v>295</v>
      </c>
      <c r="B951" s="115" t="s">
        <v>350</v>
      </c>
      <c r="C951" s="115" t="s">
        <v>45</v>
      </c>
      <c r="D951" s="115" t="s">
        <v>127</v>
      </c>
      <c r="E951" s="115" t="s">
        <v>134</v>
      </c>
      <c r="F951" s="116">
        <v>9259</v>
      </c>
      <c r="G951" s="116">
        <v>0</v>
      </c>
      <c r="H951" s="117">
        <f t="shared" si="28"/>
        <v>0</v>
      </c>
      <c r="I951" s="118" t="str">
        <f t="shared" si="29"/>
        <v>AR</v>
      </c>
    </row>
    <row r="952" spans="1:9" x14ac:dyDescent="0.3">
      <c r="A952" s="115" t="s">
        <v>295</v>
      </c>
      <c r="B952" s="115" t="s">
        <v>350</v>
      </c>
      <c r="C952" s="115" t="s">
        <v>45</v>
      </c>
      <c r="D952" s="115" t="s">
        <v>127</v>
      </c>
      <c r="E952" s="115" t="s">
        <v>134</v>
      </c>
      <c r="F952" s="116">
        <v>18398</v>
      </c>
      <c r="G952" s="116">
        <v>9</v>
      </c>
      <c r="H952" s="117">
        <f t="shared" si="28"/>
        <v>4.8918360691379496E-4</v>
      </c>
      <c r="I952" s="118" t="str">
        <f t="shared" si="29"/>
        <v>AR</v>
      </c>
    </row>
    <row r="953" spans="1:9" x14ac:dyDescent="0.3">
      <c r="A953" s="115" t="s">
        <v>295</v>
      </c>
      <c r="B953" s="115" t="s">
        <v>350</v>
      </c>
      <c r="C953" s="115" t="s">
        <v>45</v>
      </c>
      <c r="D953" s="115" t="s">
        <v>127</v>
      </c>
      <c r="E953" s="115" t="s">
        <v>134</v>
      </c>
      <c r="F953" s="116">
        <v>22859</v>
      </c>
      <c r="G953" s="116">
        <v>4</v>
      </c>
      <c r="H953" s="117">
        <f t="shared" si="28"/>
        <v>1.7498578240517958E-4</v>
      </c>
      <c r="I953" s="118" t="str">
        <f t="shared" si="29"/>
        <v>AR</v>
      </c>
    </row>
    <row r="954" spans="1:9" x14ac:dyDescent="0.3">
      <c r="A954" s="115" t="s">
        <v>295</v>
      </c>
      <c r="B954" s="115" t="s">
        <v>350</v>
      </c>
      <c r="C954" s="115" t="s">
        <v>45</v>
      </c>
      <c r="D954" s="115" t="s">
        <v>127</v>
      </c>
      <c r="E954" s="115" t="s">
        <v>134</v>
      </c>
      <c r="F954" s="116">
        <v>18690</v>
      </c>
      <c r="G954" s="116">
        <v>3</v>
      </c>
      <c r="H954" s="117">
        <f t="shared" si="28"/>
        <v>1.6051364365971107E-4</v>
      </c>
      <c r="I954" s="118" t="str">
        <f t="shared" si="29"/>
        <v>AR</v>
      </c>
    </row>
    <row r="955" spans="1:9" x14ac:dyDescent="0.3">
      <c r="A955" s="115" t="s">
        <v>295</v>
      </c>
      <c r="B955" s="115" t="s">
        <v>350</v>
      </c>
      <c r="C955" s="115" t="s">
        <v>45</v>
      </c>
      <c r="D955" s="115" t="s">
        <v>127</v>
      </c>
      <c r="E955" s="115" t="s">
        <v>134</v>
      </c>
      <c r="F955" s="116">
        <v>19388</v>
      </c>
      <c r="G955" s="116">
        <v>3</v>
      </c>
      <c r="H955" s="117">
        <f t="shared" si="28"/>
        <v>1.5473488755931504E-4</v>
      </c>
      <c r="I955" s="118" t="str">
        <f t="shared" si="29"/>
        <v>AR</v>
      </c>
    </row>
    <row r="956" spans="1:9" x14ac:dyDescent="0.3">
      <c r="A956" s="115" t="s">
        <v>295</v>
      </c>
      <c r="B956" s="115" t="s">
        <v>351</v>
      </c>
      <c r="C956" s="115" t="s">
        <v>45</v>
      </c>
      <c r="D956" s="115" t="s">
        <v>150</v>
      </c>
      <c r="E956" s="115" t="s">
        <v>151</v>
      </c>
      <c r="F956" s="116">
        <v>39</v>
      </c>
      <c r="G956" s="116">
        <v>0</v>
      </c>
      <c r="H956" s="117">
        <f t="shared" si="28"/>
        <v>0</v>
      </c>
      <c r="I956" s="118" t="str">
        <f t="shared" si="29"/>
        <v>EN</v>
      </c>
    </row>
    <row r="957" spans="1:9" x14ac:dyDescent="0.3">
      <c r="A957" s="115" t="s">
        <v>295</v>
      </c>
      <c r="B957" s="115" t="s">
        <v>351</v>
      </c>
      <c r="C957" s="115" t="s">
        <v>45</v>
      </c>
      <c r="D957" s="115" t="s">
        <v>150</v>
      </c>
      <c r="E957" s="115" t="s">
        <v>151</v>
      </c>
      <c r="F957" s="116">
        <v>49</v>
      </c>
      <c r="G957" s="116">
        <v>0</v>
      </c>
      <c r="H957" s="117">
        <f t="shared" si="28"/>
        <v>0</v>
      </c>
      <c r="I957" s="118" t="str">
        <f t="shared" si="29"/>
        <v>EN</v>
      </c>
    </row>
    <row r="958" spans="1:9" x14ac:dyDescent="0.3">
      <c r="A958" s="115" t="s">
        <v>295</v>
      </c>
      <c r="B958" s="115" t="s">
        <v>351</v>
      </c>
      <c r="C958" s="115" t="s">
        <v>45</v>
      </c>
      <c r="D958" s="115" t="s">
        <v>150</v>
      </c>
      <c r="E958" s="115" t="s">
        <v>151</v>
      </c>
      <c r="F958" s="116">
        <v>64</v>
      </c>
      <c r="G958" s="116">
        <v>0</v>
      </c>
      <c r="H958" s="117">
        <f t="shared" si="28"/>
        <v>0</v>
      </c>
      <c r="I958" s="118" t="str">
        <f t="shared" si="29"/>
        <v>EN</v>
      </c>
    </row>
    <row r="959" spans="1:9" x14ac:dyDescent="0.3">
      <c r="A959" s="115" t="s">
        <v>295</v>
      </c>
      <c r="B959" s="115" t="s">
        <v>351</v>
      </c>
      <c r="C959" s="115" t="s">
        <v>45</v>
      </c>
      <c r="D959" s="115" t="s">
        <v>150</v>
      </c>
      <c r="E959" s="115" t="s">
        <v>151</v>
      </c>
      <c r="F959" s="116">
        <v>151</v>
      </c>
      <c r="G959" s="116">
        <v>0</v>
      </c>
      <c r="H959" s="117">
        <f t="shared" si="28"/>
        <v>0</v>
      </c>
      <c r="I959" s="118" t="str">
        <f t="shared" si="29"/>
        <v>EN</v>
      </c>
    </row>
    <row r="960" spans="1:9" x14ac:dyDescent="0.3">
      <c r="A960" s="115" t="s">
        <v>295</v>
      </c>
      <c r="B960" s="115" t="s">
        <v>351</v>
      </c>
      <c r="C960" s="115" t="s">
        <v>45</v>
      </c>
      <c r="D960" s="115" t="s">
        <v>150</v>
      </c>
      <c r="E960" s="115" t="s">
        <v>151</v>
      </c>
      <c r="F960" s="116">
        <v>105</v>
      </c>
      <c r="G960" s="116">
        <v>0</v>
      </c>
      <c r="H960" s="117">
        <f t="shared" si="28"/>
        <v>0</v>
      </c>
      <c r="I960" s="118" t="str">
        <f t="shared" si="29"/>
        <v>EN</v>
      </c>
    </row>
    <row r="961" spans="1:9" x14ac:dyDescent="0.3">
      <c r="A961" s="115" t="s">
        <v>295</v>
      </c>
      <c r="B961" s="115" t="s">
        <v>351</v>
      </c>
      <c r="C961" s="115" t="s">
        <v>45</v>
      </c>
      <c r="D961" s="115" t="s">
        <v>127</v>
      </c>
      <c r="E961" s="115" t="s">
        <v>134</v>
      </c>
      <c r="F961" s="116">
        <v>4561</v>
      </c>
      <c r="G961" s="116">
        <v>0</v>
      </c>
      <c r="H961" s="117">
        <f t="shared" si="28"/>
        <v>0</v>
      </c>
      <c r="I961" s="118" t="str">
        <f t="shared" si="29"/>
        <v>EN</v>
      </c>
    </row>
    <row r="962" spans="1:9" x14ac:dyDescent="0.3">
      <c r="A962" s="115" t="s">
        <v>295</v>
      </c>
      <c r="B962" s="115" t="s">
        <v>351</v>
      </c>
      <c r="C962" s="115" t="s">
        <v>45</v>
      </c>
      <c r="D962" s="115" t="s">
        <v>127</v>
      </c>
      <c r="E962" s="115" t="s">
        <v>134</v>
      </c>
      <c r="F962" s="116">
        <v>6552</v>
      </c>
      <c r="G962" s="116">
        <v>2</v>
      </c>
      <c r="H962" s="117">
        <f t="shared" si="28"/>
        <v>3.0525030525030525E-4</v>
      </c>
      <c r="I962" s="118" t="str">
        <f t="shared" si="29"/>
        <v>EN</v>
      </c>
    </row>
    <row r="963" spans="1:9" x14ac:dyDescent="0.3">
      <c r="A963" s="115" t="s">
        <v>295</v>
      </c>
      <c r="B963" s="115" t="s">
        <v>351</v>
      </c>
      <c r="C963" s="115" t="s">
        <v>45</v>
      </c>
      <c r="D963" s="115" t="s">
        <v>127</v>
      </c>
      <c r="E963" s="115" t="s">
        <v>134</v>
      </c>
      <c r="F963" s="116">
        <v>7222</v>
      </c>
      <c r="G963" s="116">
        <v>0</v>
      </c>
      <c r="H963" s="117">
        <f t="shared" ref="H963:H1026" si="30">G963/F963</f>
        <v>0</v>
      </c>
      <c r="I963" s="118" t="str">
        <f t="shared" ref="I963:I1026" si="31">RIGHT(B963,2)</f>
        <v>EN</v>
      </c>
    </row>
    <row r="964" spans="1:9" x14ac:dyDescent="0.3">
      <c r="A964" s="115" t="s">
        <v>295</v>
      </c>
      <c r="B964" s="115" t="s">
        <v>351</v>
      </c>
      <c r="C964" s="115" t="s">
        <v>45</v>
      </c>
      <c r="D964" s="115" t="s">
        <v>127</v>
      </c>
      <c r="E964" s="115" t="s">
        <v>134</v>
      </c>
      <c r="F964" s="116">
        <v>9622</v>
      </c>
      <c r="G964" s="116">
        <v>2</v>
      </c>
      <c r="H964" s="117">
        <f t="shared" si="30"/>
        <v>2.0785699438786114E-4</v>
      </c>
      <c r="I964" s="118" t="str">
        <f t="shared" si="31"/>
        <v>EN</v>
      </c>
    </row>
    <row r="965" spans="1:9" x14ac:dyDescent="0.3">
      <c r="A965" s="115" t="s">
        <v>295</v>
      </c>
      <c r="B965" s="115" t="s">
        <v>351</v>
      </c>
      <c r="C965" s="115" t="s">
        <v>45</v>
      </c>
      <c r="D965" s="115" t="s">
        <v>127</v>
      </c>
      <c r="E965" s="115" t="s">
        <v>134</v>
      </c>
      <c r="F965" s="116">
        <v>9260</v>
      </c>
      <c r="G965" s="116">
        <v>4</v>
      </c>
      <c r="H965" s="117">
        <f t="shared" si="30"/>
        <v>4.3196544276457883E-4</v>
      </c>
      <c r="I965" s="118" t="str">
        <f t="shared" si="31"/>
        <v>EN</v>
      </c>
    </row>
    <row r="966" spans="1:9" x14ac:dyDescent="0.3">
      <c r="A966" s="115" t="s">
        <v>295</v>
      </c>
      <c r="B966" s="115" t="s">
        <v>352</v>
      </c>
      <c r="C966" s="115" t="s">
        <v>45</v>
      </c>
      <c r="D966" s="115" t="s">
        <v>150</v>
      </c>
      <c r="E966" s="115" t="s">
        <v>151</v>
      </c>
      <c r="F966" s="116">
        <v>18</v>
      </c>
      <c r="G966" s="116">
        <v>0</v>
      </c>
      <c r="H966" s="117">
        <f t="shared" si="30"/>
        <v>0</v>
      </c>
      <c r="I966" s="118" t="str">
        <f t="shared" si="31"/>
        <v>AR</v>
      </c>
    </row>
    <row r="967" spans="1:9" x14ac:dyDescent="0.3">
      <c r="A967" s="115" t="s">
        <v>295</v>
      </c>
      <c r="B967" s="115" t="s">
        <v>352</v>
      </c>
      <c r="C967" s="115" t="s">
        <v>45</v>
      </c>
      <c r="D967" s="115" t="s">
        <v>150</v>
      </c>
      <c r="E967" s="115" t="s">
        <v>151</v>
      </c>
      <c r="F967" s="116">
        <v>9</v>
      </c>
      <c r="G967" s="116">
        <v>0</v>
      </c>
      <c r="H967" s="117">
        <f t="shared" si="30"/>
        <v>0</v>
      </c>
      <c r="I967" s="118" t="str">
        <f t="shared" si="31"/>
        <v>AR</v>
      </c>
    </row>
    <row r="968" spans="1:9" x14ac:dyDescent="0.3">
      <c r="A968" s="115" t="s">
        <v>295</v>
      </c>
      <c r="B968" s="115" t="s">
        <v>352</v>
      </c>
      <c r="C968" s="115" t="s">
        <v>45</v>
      </c>
      <c r="D968" s="115" t="s">
        <v>150</v>
      </c>
      <c r="E968" s="115" t="s">
        <v>151</v>
      </c>
      <c r="F968" s="116">
        <v>23</v>
      </c>
      <c r="G968" s="116">
        <v>0</v>
      </c>
      <c r="H968" s="117">
        <f t="shared" si="30"/>
        <v>0</v>
      </c>
      <c r="I968" s="118" t="str">
        <f t="shared" si="31"/>
        <v>AR</v>
      </c>
    </row>
    <row r="969" spans="1:9" x14ac:dyDescent="0.3">
      <c r="A969" s="115" t="s">
        <v>295</v>
      </c>
      <c r="B969" s="115" t="s">
        <v>352</v>
      </c>
      <c r="C969" s="115" t="s">
        <v>45</v>
      </c>
      <c r="D969" s="115" t="s">
        <v>150</v>
      </c>
      <c r="E969" s="115" t="s">
        <v>151</v>
      </c>
      <c r="F969" s="116">
        <v>30</v>
      </c>
      <c r="G969" s="116">
        <v>0</v>
      </c>
      <c r="H969" s="117">
        <f t="shared" si="30"/>
        <v>0</v>
      </c>
      <c r="I969" s="118" t="str">
        <f t="shared" si="31"/>
        <v>AR</v>
      </c>
    </row>
    <row r="970" spans="1:9" x14ac:dyDescent="0.3">
      <c r="A970" s="115" t="s">
        <v>295</v>
      </c>
      <c r="B970" s="115" t="s">
        <v>352</v>
      </c>
      <c r="C970" s="115" t="s">
        <v>45</v>
      </c>
      <c r="D970" s="115" t="s">
        <v>150</v>
      </c>
      <c r="E970" s="115" t="s">
        <v>151</v>
      </c>
      <c r="F970" s="116">
        <v>18</v>
      </c>
      <c r="G970" s="116">
        <v>0</v>
      </c>
      <c r="H970" s="117">
        <f t="shared" si="30"/>
        <v>0</v>
      </c>
      <c r="I970" s="118" t="str">
        <f t="shared" si="31"/>
        <v>AR</v>
      </c>
    </row>
    <row r="971" spans="1:9" x14ac:dyDescent="0.3">
      <c r="A971" s="115" t="s">
        <v>295</v>
      </c>
      <c r="B971" s="115" t="s">
        <v>352</v>
      </c>
      <c r="C971" s="115" t="s">
        <v>45</v>
      </c>
      <c r="D971" s="115" t="s">
        <v>127</v>
      </c>
      <c r="E971" s="115" t="s">
        <v>134</v>
      </c>
      <c r="F971" s="116">
        <v>1397</v>
      </c>
      <c r="G971" s="116">
        <v>0</v>
      </c>
      <c r="H971" s="117">
        <f t="shared" si="30"/>
        <v>0</v>
      </c>
      <c r="I971" s="118" t="str">
        <f t="shared" si="31"/>
        <v>AR</v>
      </c>
    </row>
    <row r="972" spans="1:9" x14ac:dyDescent="0.3">
      <c r="A972" s="115" t="s">
        <v>295</v>
      </c>
      <c r="B972" s="115" t="s">
        <v>352</v>
      </c>
      <c r="C972" s="115" t="s">
        <v>45</v>
      </c>
      <c r="D972" s="115" t="s">
        <v>127</v>
      </c>
      <c r="E972" s="115" t="s">
        <v>134</v>
      </c>
      <c r="F972" s="116">
        <v>2052</v>
      </c>
      <c r="G972" s="116">
        <v>0</v>
      </c>
      <c r="H972" s="117">
        <f t="shared" si="30"/>
        <v>0</v>
      </c>
      <c r="I972" s="118" t="str">
        <f t="shared" si="31"/>
        <v>AR</v>
      </c>
    </row>
    <row r="973" spans="1:9" x14ac:dyDescent="0.3">
      <c r="A973" s="115" t="s">
        <v>295</v>
      </c>
      <c r="B973" s="115" t="s">
        <v>352</v>
      </c>
      <c r="C973" s="115" t="s">
        <v>45</v>
      </c>
      <c r="D973" s="115" t="s">
        <v>127</v>
      </c>
      <c r="E973" s="115" t="s">
        <v>134</v>
      </c>
      <c r="F973" s="116">
        <v>3532</v>
      </c>
      <c r="G973" s="116">
        <v>0</v>
      </c>
      <c r="H973" s="117">
        <f t="shared" si="30"/>
        <v>0</v>
      </c>
      <c r="I973" s="118" t="str">
        <f t="shared" si="31"/>
        <v>AR</v>
      </c>
    </row>
    <row r="974" spans="1:9" x14ac:dyDescent="0.3">
      <c r="A974" s="115" t="s">
        <v>295</v>
      </c>
      <c r="B974" s="115" t="s">
        <v>352</v>
      </c>
      <c r="C974" s="115" t="s">
        <v>45</v>
      </c>
      <c r="D974" s="115" t="s">
        <v>127</v>
      </c>
      <c r="E974" s="115" t="s">
        <v>134</v>
      </c>
      <c r="F974" s="116">
        <v>4114</v>
      </c>
      <c r="G974" s="116">
        <v>1</v>
      </c>
      <c r="H974" s="117">
        <f t="shared" si="30"/>
        <v>2.4307243558580456E-4</v>
      </c>
      <c r="I974" s="118" t="str">
        <f t="shared" si="31"/>
        <v>AR</v>
      </c>
    </row>
    <row r="975" spans="1:9" x14ac:dyDescent="0.3">
      <c r="A975" s="115" t="s">
        <v>295</v>
      </c>
      <c r="B975" s="115" t="s">
        <v>352</v>
      </c>
      <c r="C975" s="115" t="s">
        <v>45</v>
      </c>
      <c r="D975" s="115" t="s">
        <v>127</v>
      </c>
      <c r="E975" s="115" t="s">
        <v>134</v>
      </c>
      <c r="F975" s="116">
        <v>3918</v>
      </c>
      <c r="G975" s="116">
        <v>0</v>
      </c>
      <c r="H975" s="117">
        <f t="shared" si="30"/>
        <v>0</v>
      </c>
      <c r="I975" s="118" t="str">
        <f t="shared" si="31"/>
        <v>AR</v>
      </c>
    </row>
    <row r="976" spans="1:9" x14ac:dyDescent="0.3">
      <c r="A976" s="115" t="s">
        <v>295</v>
      </c>
      <c r="B976" s="115" t="s">
        <v>353</v>
      </c>
      <c r="C976" s="115" t="s">
        <v>45</v>
      </c>
      <c r="D976" s="115" t="s">
        <v>150</v>
      </c>
      <c r="E976" s="115" t="s">
        <v>151</v>
      </c>
      <c r="F976" s="116">
        <v>8</v>
      </c>
      <c r="G976" s="116">
        <v>0</v>
      </c>
      <c r="H976" s="117">
        <f t="shared" si="30"/>
        <v>0</v>
      </c>
      <c r="I976" s="118" t="str">
        <f t="shared" si="31"/>
        <v>EN</v>
      </c>
    </row>
    <row r="977" spans="1:9" x14ac:dyDescent="0.3">
      <c r="A977" s="115" t="s">
        <v>295</v>
      </c>
      <c r="B977" s="115" t="s">
        <v>353</v>
      </c>
      <c r="C977" s="115" t="s">
        <v>45</v>
      </c>
      <c r="D977" s="115" t="s">
        <v>150</v>
      </c>
      <c r="E977" s="115" t="s">
        <v>151</v>
      </c>
      <c r="F977" s="116">
        <v>9</v>
      </c>
      <c r="G977" s="116">
        <v>0</v>
      </c>
      <c r="H977" s="117">
        <f t="shared" si="30"/>
        <v>0</v>
      </c>
      <c r="I977" s="118" t="str">
        <f t="shared" si="31"/>
        <v>EN</v>
      </c>
    </row>
    <row r="978" spans="1:9" x14ac:dyDescent="0.3">
      <c r="A978" s="115" t="s">
        <v>295</v>
      </c>
      <c r="B978" s="115" t="s">
        <v>353</v>
      </c>
      <c r="C978" s="115" t="s">
        <v>45</v>
      </c>
      <c r="D978" s="115" t="s">
        <v>150</v>
      </c>
      <c r="E978" s="115" t="s">
        <v>151</v>
      </c>
      <c r="F978" s="116">
        <v>2</v>
      </c>
      <c r="G978" s="116">
        <v>0</v>
      </c>
      <c r="H978" s="117">
        <f t="shared" si="30"/>
        <v>0</v>
      </c>
      <c r="I978" s="118" t="str">
        <f t="shared" si="31"/>
        <v>EN</v>
      </c>
    </row>
    <row r="979" spans="1:9" x14ac:dyDescent="0.3">
      <c r="A979" s="115" t="s">
        <v>295</v>
      </c>
      <c r="B979" s="115" t="s">
        <v>353</v>
      </c>
      <c r="C979" s="115" t="s">
        <v>45</v>
      </c>
      <c r="D979" s="115" t="s">
        <v>150</v>
      </c>
      <c r="E979" s="115" t="s">
        <v>151</v>
      </c>
      <c r="F979" s="116">
        <v>28</v>
      </c>
      <c r="G979" s="116">
        <v>0</v>
      </c>
      <c r="H979" s="117">
        <f t="shared" si="30"/>
        <v>0</v>
      </c>
      <c r="I979" s="118" t="str">
        <f t="shared" si="31"/>
        <v>EN</v>
      </c>
    </row>
    <row r="980" spans="1:9" x14ac:dyDescent="0.3">
      <c r="A980" s="115" t="s">
        <v>295</v>
      </c>
      <c r="B980" s="115" t="s">
        <v>353</v>
      </c>
      <c r="C980" s="115" t="s">
        <v>45</v>
      </c>
      <c r="D980" s="115" t="s">
        <v>150</v>
      </c>
      <c r="E980" s="115" t="s">
        <v>151</v>
      </c>
      <c r="F980" s="116">
        <v>20</v>
      </c>
      <c r="G980" s="116">
        <v>0</v>
      </c>
      <c r="H980" s="117">
        <f t="shared" si="30"/>
        <v>0</v>
      </c>
      <c r="I980" s="118" t="str">
        <f t="shared" si="31"/>
        <v>EN</v>
      </c>
    </row>
    <row r="981" spans="1:9" x14ac:dyDescent="0.3">
      <c r="A981" s="115" t="s">
        <v>295</v>
      </c>
      <c r="B981" s="115" t="s">
        <v>353</v>
      </c>
      <c r="C981" s="115" t="s">
        <v>45</v>
      </c>
      <c r="D981" s="115" t="s">
        <v>127</v>
      </c>
      <c r="E981" s="115" t="s">
        <v>134</v>
      </c>
      <c r="F981" s="116">
        <v>969</v>
      </c>
      <c r="G981" s="116">
        <v>0</v>
      </c>
      <c r="H981" s="117">
        <f t="shared" si="30"/>
        <v>0</v>
      </c>
      <c r="I981" s="118" t="str">
        <f t="shared" si="31"/>
        <v>EN</v>
      </c>
    </row>
    <row r="982" spans="1:9" x14ac:dyDescent="0.3">
      <c r="A982" s="115" t="s">
        <v>295</v>
      </c>
      <c r="B982" s="115" t="s">
        <v>353</v>
      </c>
      <c r="C982" s="115" t="s">
        <v>45</v>
      </c>
      <c r="D982" s="115" t="s">
        <v>127</v>
      </c>
      <c r="E982" s="115" t="s">
        <v>134</v>
      </c>
      <c r="F982" s="116">
        <v>1224</v>
      </c>
      <c r="G982" s="116">
        <v>0</v>
      </c>
      <c r="H982" s="117">
        <f t="shared" si="30"/>
        <v>0</v>
      </c>
      <c r="I982" s="118" t="str">
        <f t="shared" si="31"/>
        <v>EN</v>
      </c>
    </row>
    <row r="983" spans="1:9" x14ac:dyDescent="0.3">
      <c r="A983" s="115" t="s">
        <v>295</v>
      </c>
      <c r="B983" s="115" t="s">
        <v>353</v>
      </c>
      <c r="C983" s="115" t="s">
        <v>45</v>
      </c>
      <c r="D983" s="115" t="s">
        <v>127</v>
      </c>
      <c r="E983" s="115" t="s">
        <v>134</v>
      </c>
      <c r="F983" s="116">
        <v>1815</v>
      </c>
      <c r="G983" s="116">
        <v>0</v>
      </c>
      <c r="H983" s="117">
        <f t="shared" si="30"/>
        <v>0</v>
      </c>
      <c r="I983" s="118" t="str">
        <f t="shared" si="31"/>
        <v>EN</v>
      </c>
    </row>
    <row r="984" spans="1:9" x14ac:dyDescent="0.3">
      <c r="A984" s="115" t="s">
        <v>295</v>
      </c>
      <c r="B984" s="115" t="s">
        <v>353</v>
      </c>
      <c r="C984" s="115" t="s">
        <v>45</v>
      </c>
      <c r="D984" s="115" t="s">
        <v>127</v>
      </c>
      <c r="E984" s="115" t="s">
        <v>134</v>
      </c>
      <c r="F984" s="116">
        <v>4556</v>
      </c>
      <c r="G984" s="116">
        <v>0</v>
      </c>
      <c r="H984" s="117">
        <f t="shared" si="30"/>
        <v>0</v>
      </c>
      <c r="I984" s="118" t="str">
        <f t="shared" si="31"/>
        <v>EN</v>
      </c>
    </row>
    <row r="985" spans="1:9" x14ac:dyDescent="0.3">
      <c r="A985" s="115" t="s">
        <v>295</v>
      </c>
      <c r="B985" s="115" t="s">
        <v>353</v>
      </c>
      <c r="C985" s="115" t="s">
        <v>45</v>
      </c>
      <c r="D985" s="115" t="s">
        <v>127</v>
      </c>
      <c r="E985" s="115" t="s">
        <v>134</v>
      </c>
      <c r="F985" s="116">
        <v>2491</v>
      </c>
      <c r="G985" s="116">
        <v>0</v>
      </c>
      <c r="H985" s="117">
        <f t="shared" si="30"/>
        <v>0</v>
      </c>
      <c r="I985" s="118" t="str">
        <f t="shared" si="31"/>
        <v>EN</v>
      </c>
    </row>
    <row r="986" spans="1:9" x14ac:dyDescent="0.3">
      <c r="A986" s="115" t="s">
        <v>295</v>
      </c>
      <c r="B986" s="115" t="s">
        <v>354</v>
      </c>
      <c r="C986" s="115" t="s">
        <v>45</v>
      </c>
      <c r="D986" s="115" t="s">
        <v>150</v>
      </c>
      <c r="E986" s="115" t="s">
        <v>151</v>
      </c>
      <c r="F986" s="116">
        <v>12</v>
      </c>
      <c r="G986" s="116">
        <v>0</v>
      </c>
      <c r="H986" s="117">
        <f t="shared" si="30"/>
        <v>0</v>
      </c>
      <c r="I986" s="118" t="str">
        <f t="shared" si="31"/>
        <v>AR</v>
      </c>
    </row>
    <row r="987" spans="1:9" x14ac:dyDescent="0.3">
      <c r="A987" s="115" t="s">
        <v>295</v>
      </c>
      <c r="B987" s="115" t="s">
        <v>354</v>
      </c>
      <c r="C987" s="115" t="s">
        <v>45</v>
      </c>
      <c r="D987" s="115" t="s">
        <v>150</v>
      </c>
      <c r="E987" s="115" t="s">
        <v>151</v>
      </c>
      <c r="F987" s="116">
        <v>14</v>
      </c>
      <c r="G987" s="116">
        <v>0</v>
      </c>
      <c r="H987" s="117">
        <f t="shared" si="30"/>
        <v>0</v>
      </c>
      <c r="I987" s="118" t="str">
        <f t="shared" si="31"/>
        <v>AR</v>
      </c>
    </row>
    <row r="988" spans="1:9" x14ac:dyDescent="0.3">
      <c r="A988" s="115" t="s">
        <v>295</v>
      </c>
      <c r="B988" s="115" t="s">
        <v>354</v>
      </c>
      <c r="C988" s="115" t="s">
        <v>45</v>
      </c>
      <c r="D988" s="115" t="s">
        <v>150</v>
      </c>
      <c r="E988" s="115" t="s">
        <v>151</v>
      </c>
      <c r="F988" s="116">
        <v>5</v>
      </c>
      <c r="G988" s="116">
        <v>0</v>
      </c>
      <c r="H988" s="117">
        <f t="shared" si="30"/>
        <v>0</v>
      </c>
      <c r="I988" s="118" t="str">
        <f t="shared" si="31"/>
        <v>AR</v>
      </c>
    </row>
    <row r="989" spans="1:9" x14ac:dyDescent="0.3">
      <c r="A989" s="115" t="s">
        <v>295</v>
      </c>
      <c r="B989" s="115" t="s">
        <v>354</v>
      </c>
      <c r="C989" s="115" t="s">
        <v>45</v>
      </c>
      <c r="D989" s="115" t="s">
        <v>150</v>
      </c>
      <c r="E989" s="115" t="s">
        <v>151</v>
      </c>
      <c r="F989" s="116">
        <v>5</v>
      </c>
      <c r="G989" s="116">
        <v>0</v>
      </c>
      <c r="H989" s="117">
        <f t="shared" si="30"/>
        <v>0</v>
      </c>
      <c r="I989" s="118" t="str">
        <f t="shared" si="31"/>
        <v>AR</v>
      </c>
    </row>
    <row r="990" spans="1:9" x14ac:dyDescent="0.3">
      <c r="A990" s="115" t="s">
        <v>295</v>
      </c>
      <c r="B990" s="115" t="s">
        <v>354</v>
      </c>
      <c r="C990" s="115" t="s">
        <v>45</v>
      </c>
      <c r="D990" s="115" t="s">
        <v>127</v>
      </c>
      <c r="E990" s="115" t="s">
        <v>134</v>
      </c>
      <c r="F990" s="116">
        <v>1152</v>
      </c>
      <c r="G990" s="116">
        <v>0</v>
      </c>
      <c r="H990" s="117">
        <f t="shared" si="30"/>
        <v>0</v>
      </c>
      <c r="I990" s="118" t="str">
        <f t="shared" si="31"/>
        <v>AR</v>
      </c>
    </row>
    <row r="991" spans="1:9" x14ac:dyDescent="0.3">
      <c r="A991" s="115" t="s">
        <v>295</v>
      </c>
      <c r="B991" s="115" t="s">
        <v>354</v>
      </c>
      <c r="C991" s="115" t="s">
        <v>45</v>
      </c>
      <c r="D991" s="115" t="s">
        <v>127</v>
      </c>
      <c r="E991" s="115" t="s">
        <v>134</v>
      </c>
      <c r="F991" s="116">
        <v>6002</v>
      </c>
      <c r="G991" s="116">
        <v>1</v>
      </c>
      <c r="H991" s="117">
        <f t="shared" si="30"/>
        <v>1.6661112962345885E-4</v>
      </c>
      <c r="I991" s="118" t="str">
        <f t="shared" si="31"/>
        <v>AR</v>
      </c>
    </row>
    <row r="992" spans="1:9" x14ac:dyDescent="0.3">
      <c r="A992" s="115" t="s">
        <v>295</v>
      </c>
      <c r="B992" s="115" t="s">
        <v>354</v>
      </c>
      <c r="C992" s="115" t="s">
        <v>45</v>
      </c>
      <c r="D992" s="115" t="s">
        <v>127</v>
      </c>
      <c r="E992" s="115" t="s">
        <v>134</v>
      </c>
      <c r="F992" s="116">
        <v>2836</v>
      </c>
      <c r="G992" s="116">
        <v>2</v>
      </c>
      <c r="H992" s="117">
        <f t="shared" si="30"/>
        <v>7.0521861777150916E-4</v>
      </c>
      <c r="I992" s="118" t="str">
        <f t="shared" si="31"/>
        <v>AR</v>
      </c>
    </row>
    <row r="993" spans="1:9" x14ac:dyDescent="0.3">
      <c r="A993" s="115" t="s">
        <v>295</v>
      </c>
      <c r="B993" s="115" t="s">
        <v>354</v>
      </c>
      <c r="C993" s="115" t="s">
        <v>45</v>
      </c>
      <c r="D993" s="115" t="s">
        <v>127</v>
      </c>
      <c r="E993" s="115" t="s">
        <v>134</v>
      </c>
      <c r="F993" s="116">
        <v>2801</v>
      </c>
      <c r="G993" s="116">
        <v>0</v>
      </c>
      <c r="H993" s="117">
        <f t="shared" si="30"/>
        <v>0</v>
      </c>
      <c r="I993" s="118" t="str">
        <f t="shared" si="31"/>
        <v>AR</v>
      </c>
    </row>
    <row r="994" spans="1:9" x14ac:dyDescent="0.3">
      <c r="A994" s="115" t="s">
        <v>295</v>
      </c>
      <c r="B994" s="115" t="s">
        <v>354</v>
      </c>
      <c r="C994" s="115" t="s">
        <v>45</v>
      </c>
      <c r="D994" s="115" t="s">
        <v>127</v>
      </c>
      <c r="E994" s="115" t="s">
        <v>134</v>
      </c>
      <c r="F994" s="116">
        <v>4230</v>
      </c>
      <c r="G994" s="116">
        <v>1</v>
      </c>
      <c r="H994" s="117">
        <f t="shared" si="30"/>
        <v>2.3640661938534278E-4</v>
      </c>
      <c r="I994" s="118" t="str">
        <f t="shared" si="31"/>
        <v>AR</v>
      </c>
    </row>
    <row r="995" spans="1:9" x14ac:dyDescent="0.3">
      <c r="A995" s="115" t="s">
        <v>295</v>
      </c>
      <c r="B995" s="115" t="s">
        <v>355</v>
      </c>
      <c r="C995" s="115" t="s">
        <v>45</v>
      </c>
      <c r="D995" s="115" t="s">
        <v>150</v>
      </c>
      <c r="E995" s="115" t="s">
        <v>151</v>
      </c>
      <c r="F995" s="116">
        <v>1</v>
      </c>
      <c r="G995" s="116">
        <v>0</v>
      </c>
      <c r="H995" s="117">
        <f t="shared" si="30"/>
        <v>0</v>
      </c>
      <c r="I995" s="118" t="str">
        <f t="shared" si="31"/>
        <v>EN</v>
      </c>
    </row>
    <row r="996" spans="1:9" x14ac:dyDescent="0.3">
      <c r="A996" s="115" t="s">
        <v>295</v>
      </c>
      <c r="B996" s="115" t="s">
        <v>355</v>
      </c>
      <c r="C996" s="115" t="s">
        <v>45</v>
      </c>
      <c r="D996" s="115" t="s">
        <v>150</v>
      </c>
      <c r="E996" s="115" t="s">
        <v>151</v>
      </c>
      <c r="F996" s="116">
        <v>8</v>
      </c>
      <c r="G996" s="116">
        <v>0</v>
      </c>
      <c r="H996" s="117">
        <f t="shared" si="30"/>
        <v>0</v>
      </c>
      <c r="I996" s="118" t="str">
        <f t="shared" si="31"/>
        <v>EN</v>
      </c>
    </row>
    <row r="997" spans="1:9" x14ac:dyDescent="0.3">
      <c r="A997" s="115" t="s">
        <v>295</v>
      </c>
      <c r="B997" s="115" t="s">
        <v>355</v>
      </c>
      <c r="C997" s="115" t="s">
        <v>45</v>
      </c>
      <c r="D997" s="115" t="s">
        <v>127</v>
      </c>
      <c r="E997" s="115" t="s">
        <v>134</v>
      </c>
      <c r="F997" s="116">
        <v>501</v>
      </c>
      <c r="G997" s="116">
        <v>0</v>
      </c>
      <c r="H997" s="117">
        <f t="shared" si="30"/>
        <v>0</v>
      </c>
      <c r="I997" s="118" t="str">
        <f t="shared" si="31"/>
        <v>EN</v>
      </c>
    </row>
    <row r="998" spans="1:9" x14ac:dyDescent="0.3">
      <c r="A998" s="115" t="s">
        <v>295</v>
      </c>
      <c r="B998" s="115" t="s">
        <v>355</v>
      </c>
      <c r="C998" s="115" t="s">
        <v>45</v>
      </c>
      <c r="D998" s="115" t="s">
        <v>127</v>
      </c>
      <c r="E998" s="115" t="s">
        <v>134</v>
      </c>
      <c r="F998" s="116">
        <v>3266</v>
      </c>
      <c r="G998" s="116">
        <v>1</v>
      </c>
      <c r="H998" s="117">
        <f t="shared" si="30"/>
        <v>3.061849357011635E-4</v>
      </c>
      <c r="I998" s="118" t="str">
        <f t="shared" si="31"/>
        <v>EN</v>
      </c>
    </row>
    <row r="999" spans="1:9" x14ac:dyDescent="0.3">
      <c r="A999" s="115" t="s">
        <v>295</v>
      </c>
      <c r="B999" s="115" t="s">
        <v>355</v>
      </c>
      <c r="C999" s="115" t="s">
        <v>45</v>
      </c>
      <c r="D999" s="115" t="s">
        <v>127</v>
      </c>
      <c r="E999" s="115" t="s">
        <v>134</v>
      </c>
      <c r="F999" s="116">
        <v>3081</v>
      </c>
      <c r="G999" s="116">
        <v>0</v>
      </c>
      <c r="H999" s="117">
        <f t="shared" si="30"/>
        <v>0</v>
      </c>
      <c r="I999" s="118" t="str">
        <f t="shared" si="31"/>
        <v>EN</v>
      </c>
    </row>
    <row r="1000" spans="1:9" x14ac:dyDescent="0.3">
      <c r="A1000" s="115" t="s">
        <v>295</v>
      </c>
      <c r="B1000" s="115" t="s">
        <v>355</v>
      </c>
      <c r="C1000" s="115" t="s">
        <v>45</v>
      </c>
      <c r="D1000" s="115" t="s">
        <v>127</v>
      </c>
      <c r="E1000" s="115" t="s">
        <v>134</v>
      </c>
      <c r="F1000" s="116">
        <v>2919</v>
      </c>
      <c r="G1000" s="116">
        <v>0</v>
      </c>
      <c r="H1000" s="117">
        <f t="shared" si="30"/>
        <v>0</v>
      </c>
      <c r="I1000" s="118" t="str">
        <f t="shared" si="31"/>
        <v>EN</v>
      </c>
    </row>
    <row r="1001" spans="1:9" x14ac:dyDescent="0.3">
      <c r="A1001" s="115" t="s">
        <v>295</v>
      </c>
      <c r="B1001" s="115" t="s">
        <v>355</v>
      </c>
      <c r="C1001" s="115" t="s">
        <v>45</v>
      </c>
      <c r="D1001" s="115" t="s">
        <v>127</v>
      </c>
      <c r="E1001" s="115" t="s">
        <v>134</v>
      </c>
      <c r="F1001" s="116">
        <v>4139</v>
      </c>
      <c r="G1001" s="116">
        <v>0</v>
      </c>
      <c r="H1001" s="117">
        <f t="shared" si="30"/>
        <v>0</v>
      </c>
      <c r="I1001" s="118" t="str">
        <f t="shared" si="31"/>
        <v>EN</v>
      </c>
    </row>
    <row r="1002" spans="1:9" x14ac:dyDescent="0.3">
      <c r="A1002" s="115" t="s">
        <v>295</v>
      </c>
      <c r="B1002" s="115" t="s">
        <v>356</v>
      </c>
      <c r="C1002" s="115" t="s">
        <v>45</v>
      </c>
      <c r="D1002" s="115" t="s">
        <v>150</v>
      </c>
      <c r="E1002" s="115" t="s">
        <v>151</v>
      </c>
      <c r="F1002" s="116">
        <v>3</v>
      </c>
      <c r="G1002" s="116">
        <v>0</v>
      </c>
      <c r="H1002" s="117">
        <f t="shared" si="30"/>
        <v>0</v>
      </c>
      <c r="I1002" s="118" t="str">
        <f t="shared" si="31"/>
        <v>AR</v>
      </c>
    </row>
    <row r="1003" spans="1:9" x14ac:dyDescent="0.3">
      <c r="A1003" s="115" t="s">
        <v>295</v>
      </c>
      <c r="B1003" s="115" t="s">
        <v>356</v>
      </c>
      <c r="C1003" s="115" t="s">
        <v>45</v>
      </c>
      <c r="D1003" s="115" t="s">
        <v>150</v>
      </c>
      <c r="E1003" s="115" t="s">
        <v>151</v>
      </c>
      <c r="F1003" s="116">
        <v>6</v>
      </c>
      <c r="G1003" s="116">
        <v>0</v>
      </c>
      <c r="H1003" s="117">
        <f t="shared" si="30"/>
        <v>0</v>
      </c>
      <c r="I1003" s="118" t="str">
        <f t="shared" si="31"/>
        <v>AR</v>
      </c>
    </row>
    <row r="1004" spans="1:9" x14ac:dyDescent="0.3">
      <c r="A1004" s="115" t="s">
        <v>295</v>
      </c>
      <c r="B1004" s="115" t="s">
        <v>356</v>
      </c>
      <c r="C1004" s="115" t="s">
        <v>45</v>
      </c>
      <c r="D1004" s="115" t="s">
        <v>150</v>
      </c>
      <c r="E1004" s="115" t="s">
        <v>151</v>
      </c>
      <c r="F1004" s="116">
        <v>9</v>
      </c>
      <c r="G1004" s="116">
        <v>0</v>
      </c>
      <c r="H1004" s="117">
        <f t="shared" si="30"/>
        <v>0</v>
      </c>
      <c r="I1004" s="118" t="str">
        <f t="shared" si="31"/>
        <v>AR</v>
      </c>
    </row>
    <row r="1005" spans="1:9" x14ac:dyDescent="0.3">
      <c r="A1005" s="115" t="s">
        <v>295</v>
      </c>
      <c r="B1005" s="115" t="s">
        <v>356</v>
      </c>
      <c r="C1005" s="115" t="s">
        <v>45</v>
      </c>
      <c r="D1005" s="115" t="s">
        <v>150</v>
      </c>
      <c r="E1005" s="115" t="s">
        <v>151</v>
      </c>
      <c r="F1005" s="116">
        <v>10</v>
      </c>
      <c r="G1005" s="116">
        <v>0</v>
      </c>
      <c r="H1005" s="117">
        <f t="shared" si="30"/>
        <v>0</v>
      </c>
      <c r="I1005" s="118" t="str">
        <f t="shared" si="31"/>
        <v>AR</v>
      </c>
    </row>
    <row r="1006" spans="1:9" x14ac:dyDescent="0.3">
      <c r="A1006" s="115" t="s">
        <v>295</v>
      </c>
      <c r="B1006" s="115" t="s">
        <v>356</v>
      </c>
      <c r="C1006" s="115" t="s">
        <v>45</v>
      </c>
      <c r="D1006" s="115" t="s">
        <v>150</v>
      </c>
      <c r="E1006" s="115" t="s">
        <v>151</v>
      </c>
      <c r="F1006" s="116">
        <v>13</v>
      </c>
      <c r="G1006" s="116">
        <v>0</v>
      </c>
      <c r="H1006" s="117">
        <f t="shared" si="30"/>
        <v>0</v>
      </c>
      <c r="I1006" s="118" t="str">
        <f t="shared" si="31"/>
        <v>AR</v>
      </c>
    </row>
    <row r="1007" spans="1:9" x14ac:dyDescent="0.3">
      <c r="A1007" s="115" t="s">
        <v>295</v>
      </c>
      <c r="B1007" s="115" t="s">
        <v>356</v>
      </c>
      <c r="C1007" s="115" t="s">
        <v>45</v>
      </c>
      <c r="D1007" s="115" t="s">
        <v>127</v>
      </c>
      <c r="E1007" s="115" t="s">
        <v>134</v>
      </c>
      <c r="F1007" s="116">
        <v>1180</v>
      </c>
      <c r="G1007" s="116">
        <v>0</v>
      </c>
      <c r="H1007" s="117">
        <f t="shared" si="30"/>
        <v>0</v>
      </c>
      <c r="I1007" s="118" t="str">
        <f t="shared" si="31"/>
        <v>AR</v>
      </c>
    </row>
    <row r="1008" spans="1:9" x14ac:dyDescent="0.3">
      <c r="A1008" s="115" t="s">
        <v>295</v>
      </c>
      <c r="B1008" s="115" t="s">
        <v>356</v>
      </c>
      <c r="C1008" s="115" t="s">
        <v>45</v>
      </c>
      <c r="D1008" s="115" t="s">
        <v>127</v>
      </c>
      <c r="E1008" s="115" t="s">
        <v>134</v>
      </c>
      <c r="F1008" s="116">
        <v>2431</v>
      </c>
      <c r="G1008" s="116">
        <v>0</v>
      </c>
      <c r="H1008" s="117">
        <f t="shared" si="30"/>
        <v>0</v>
      </c>
      <c r="I1008" s="118" t="str">
        <f t="shared" si="31"/>
        <v>AR</v>
      </c>
    </row>
    <row r="1009" spans="1:9" x14ac:dyDescent="0.3">
      <c r="A1009" s="115" t="s">
        <v>295</v>
      </c>
      <c r="B1009" s="115" t="s">
        <v>356</v>
      </c>
      <c r="C1009" s="115" t="s">
        <v>45</v>
      </c>
      <c r="D1009" s="115" t="s">
        <v>127</v>
      </c>
      <c r="E1009" s="115" t="s">
        <v>134</v>
      </c>
      <c r="F1009" s="116">
        <v>3421</v>
      </c>
      <c r="G1009" s="116">
        <v>0</v>
      </c>
      <c r="H1009" s="117">
        <f t="shared" si="30"/>
        <v>0</v>
      </c>
      <c r="I1009" s="118" t="str">
        <f t="shared" si="31"/>
        <v>AR</v>
      </c>
    </row>
    <row r="1010" spans="1:9" x14ac:dyDescent="0.3">
      <c r="A1010" s="115" t="s">
        <v>295</v>
      </c>
      <c r="B1010" s="115" t="s">
        <v>356</v>
      </c>
      <c r="C1010" s="115" t="s">
        <v>45</v>
      </c>
      <c r="D1010" s="115" t="s">
        <v>127</v>
      </c>
      <c r="E1010" s="115" t="s">
        <v>134</v>
      </c>
      <c r="F1010" s="116">
        <v>2480</v>
      </c>
      <c r="G1010" s="116">
        <v>0</v>
      </c>
      <c r="H1010" s="117">
        <f t="shared" si="30"/>
        <v>0</v>
      </c>
      <c r="I1010" s="118" t="str">
        <f t="shared" si="31"/>
        <v>AR</v>
      </c>
    </row>
    <row r="1011" spans="1:9" x14ac:dyDescent="0.3">
      <c r="A1011" s="115" t="s">
        <v>295</v>
      </c>
      <c r="B1011" s="115" t="s">
        <v>356</v>
      </c>
      <c r="C1011" s="115" t="s">
        <v>45</v>
      </c>
      <c r="D1011" s="115" t="s">
        <v>127</v>
      </c>
      <c r="E1011" s="115" t="s">
        <v>134</v>
      </c>
      <c r="F1011" s="116">
        <v>2976</v>
      </c>
      <c r="G1011" s="116">
        <v>0</v>
      </c>
      <c r="H1011" s="117">
        <f t="shared" si="30"/>
        <v>0</v>
      </c>
      <c r="I1011" s="118" t="str">
        <f t="shared" si="31"/>
        <v>AR</v>
      </c>
    </row>
    <row r="1012" spans="1:9" x14ac:dyDescent="0.3">
      <c r="A1012" s="115" t="s">
        <v>295</v>
      </c>
      <c r="B1012" s="115" t="s">
        <v>357</v>
      </c>
      <c r="C1012" s="115" t="s">
        <v>45</v>
      </c>
      <c r="D1012" s="115" t="s">
        <v>150</v>
      </c>
      <c r="E1012" s="115" t="s">
        <v>151</v>
      </c>
      <c r="F1012" s="116">
        <v>2</v>
      </c>
      <c r="G1012" s="116">
        <v>0</v>
      </c>
      <c r="H1012" s="117">
        <f t="shared" si="30"/>
        <v>0</v>
      </c>
      <c r="I1012" s="118" t="str">
        <f t="shared" si="31"/>
        <v>EN</v>
      </c>
    </row>
    <row r="1013" spans="1:9" x14ac:dyDescent="0.3">
      <c r="A1013" s="115" t="s">
        <v>295</v>
      </c>
      <c r="B1013" s="115" t="s">
        <v>357</v>
      </c>
      <c r="C1013" s="115" t="s">
        <v>45</v>
      </c>
      <c r="D1013" s="115" t="s">
        <v>150</v>
      </c>
      <c r="E1013" s="115" t="s">
        <v>151</v>
      </c>
      <c r="F1013" s="116">
        <v>6</v>
      </c>
      <c r="G1013" s="116">
        <v>0</v>
      </c>
      <c r="H1013" s="117">
        <f t="shared" si="30"/>
        <v>0</v>
      </c>
      <c r="I1013" s="118" t="str">
        <f t="shared" si="31"/>
        <v>EN</v>
      </c>
    </row>
    <row r="1014" spans="1:9" x14ac:dyDescent="0.3">
      <c r="A1014" s="115" t="s">
        <v>295</v>
      </c>
      <c r="B1014" s="115" t="s">
        <v>357</v>
      </c>
      <c r="C1014" s="115" t="s">
        <v>45</v>
      </c>
      <c r="D1014" s="115" t="s">
        <v>150</v>
      </c>
      <c r="E1014" s="115" t="s">
        <v>151</v>
      </c>
      <c r="F1014" s="116">
        <v>7</v>
      </c>
      <c r="G1014" s="116">
        <v>0</v>
      </c>
      <c r="H1014" s="117">
        <f t="shared" si="30"/>
        <v>0</v>
      </c>
      <c r="I1014" s="118" t="str">
        <f t="shared" si="31"/>
        <v>EN</v>
      </c>
    </row>
    <row r="1015" spans="1:9" x14ac:dyDescent="0.3">
      <c r="A1015" s="115" t="s">
        <v>295</v>
      </c>
      <c r="B1015" s="115" t="s">
        <v>357</v>
      </c>
      <c r="C1015" s="115" t="s">
        <v>45</v>
      </c>
      <c r="D1015" s="115" t="s">
        <v>150</v>
      </c>
      <c r="E1015" s="115" t="s">
        <v>151</v>
      </c>
      <c r="F1015" s="116">
        <v>4</v>
      </c>
      <c r="G1015" s="116">
        <v>0</v>
      </c>
      <c r="H1015" s="117">
        <f t="shared" si="30"/>
        <v>0</v>
      </c>
      <c r="I1015" s="118" t="str">
        <f t="shared" si="31"/>
        <v>EN</v>
      </c>
    </row>
    <row r="1016" spans="1:9" x14ac:dyDescent="0.3">
      <c r="A1016" s="115" t="s">
        <v>295</v>
      </c>
      <c r="B1016" s="115" t="s">
        <v>357</v>
      </c>
      <c r="C1016" s="115" t="s">
        <v>45</v>
      </c>
      <c r="D1016" s="115" t="s">
        <v>150</v>
      </c>
      <c r="E1016" s="115" t="s">
        <v>151</v>
      </c>
      <c r="F1016" s="116">
        <v>28</v>
      </c>
      <c r="G1016" s="116">
        <v>0</v>
      </c>
      <c r="H1016" s="117">
        <f t="shared" si="30"/>
        <v>0</v>
      </c>
      <c r="I1016" s="118" t="str">
        <f t="shared" si="31"/>
        <v>EN</v>
      </c>
    </row>
    <row r="1017" spans="1:9" x14ac:dyDescent="0.3">
      <c r="A1017" s="115" t="s">
        <v>295</v>
      </c>
      <c r="B1017" s="115" t="s">
        <v>357</v>
      </c>
      <c r="C1017" s="115" t="s">
        <v>45</v>
      </c>
      <c r="D1017" s="115" t="s">
        <v>127</v>
      </c>
      <c r="E1017" s="115" t="s">
        <v>134</v>
      </c>
      <c r="F1017" s="116">
        <v>1533</v>
      </c>
      <c r="G1017" s="116">
        <v>0</v>
      </c>
      <c r="H1017" s="117">
        <f t="shared" si="30"/>
        <v>0</v>
      </c>
      <c r="I1017" s="118" t="str">
        <f t="shared" si="31"/>
        <v>EN</v>
      </c>
    </row>
    <row r="1018" spans="1:9" x14ac:dyDescent="0.3">
      <c r="A1018" s="115" t="s">
        <v>295</v>
      </c>
      <c r="B1018" s="115" t="s">
        <v>357</v>
      </c>
      <c r="C1018" s="115" t="s">
        <v>45</v>
      </c>
      <c r="D1018" s="115" t="s">
        <v>127</v>
      </c>
      <c r="E1018" s="115" t="s">
        <v>134</v>
      </c>
      <c r="F1018" s="116">
        <v>2395</v>
      </c>
      <c r="G1018" s="116">
        <v>0</v>
      </c>
      <c r="H1018" s="117">
        <f t="shared" si="30"/>
        <v>0</v>
      </c>
      <c r="I1018" s="118" t="str">
        <f t="shared" si="31"/>
        <v>EN</v>
      </c>
    </row>
    <row r="1019" spans="1:9" x14ac:dyDescent="0.3">
      <c r="A1019" s="115" t="s">
        <v>295</v>
      </c>
      <c r="B1019" s="115" t="s">
        <v>357</v>
      </c>
      <c r="C1019" s="115" t="s">
        <v>45</v>
      </c>
      <c r="D1019" s="115" t="s">
        <v>127</v>
      </c>
      <c r="E1019" s="115" t="s">
        <v>134</v>
      </c>
      <c r="F1019" s="116">
        <v>2768</v>
      </c>
      <c r="G1019" s="116">
        <v>0</v>
      </c>
      <c r="H1019" s="117">
        <f t="shared" si="30"/>
        <v>0</v>
      </c>
      <c r="I1019" s="118" t="str">
        <f t="shared" si="31"/>
        <v>EN</v>
      </c>
    </row>
    <row r="1020" spans="1:9" x14ac:dyDescent="0.3">
      <c r="A1020" s="115" t="s">
        <v>295</v>
      </c>
      <c r="B1020" s="115" t="s">
        <v>357</v>
      </c>
      <c r="C1020" s="115" t="s">
        <v>45</v>
      </c>
      <c r="D1020" s="115" t="s">
        <v>127</v>
      </c>
      <c r="E1020" s="115" t="s">
        <v>134</v>
      </c>
      <c r="F1020" s="116">
        <v>2365</v>
      </c>
      <c r="G1020" s="116">
        <v>0</v>
      </c>
      <c r="H1020" s="117">
        <f t="shared" si="30"/>
        <v>0</v>
      </c>
      <c r="I1020" s="118" t="str">
        <f t="shared" si="31"/>
        <v>EN</v>
      </c>
    </row>
    <row r="1021" spans="1:9" x14ac:dyDescent="0.3">
      <c r="A1021" s="115" t="s">
        <v>295</v>
      </c>
      <c r="B1021" s="115" t="s">
        <v>357</v>
      </c>
      <c r="C1021" s="115" t="s">
        <v>45</v>
      </c>
      <c r="D1021" s="115" t="s">
        <v>127</v>
      </c>
      <c r="E1021" s="115" t="s">
        <v>134</v>
      </c>
      <c r="F1021" s="116">
        <v>4059</v>
      </c>
      <c r="G1021" s="116">
        <v>2</v>
      </c>
      <c r="H1021" s="117">
        <f t="shared" si="30"/>
        <v>4.9273220004927322E-4</v>
      </c>
      <c r="I1021" s="118" t="str">
        <f t="shared" si="31"/>
        <v>EN</v>
      </c>
    </row>
    <row r="1022" spans="1:9" x14ac:dyDescent="0.3">
      <c r="A1022" s="115" t="s">
        <v>295</v>
      </c>
      <c r="B1022" s="115" t="s">
        <v>358</v>
      </c>
      <c r="C1022" s="115" t="s">
        <v>45</v>
      </c>
      <c r="D1022" s="115" t="s">
        <v>150</v>
      </c>
      <c r="E1022" s="115" t="s">
        <v>151</v>
      </c>
      <c r="F1022" s="116">
        <v>41</v>
      </c>
      <c r="G1022" s="116">
        <v>0</v>
      </c>
      <c r="H1022" s="117">
        <f t="shared" si="30"/>
        <v>0</v>
      </c>
      <c r="I1022" s="118" t="str">
        <f t="shared" si="31"/>
        <v>AR</v>
      </c>
    </row>
    <row r="1023" spans="1:9" x14ac:dyDescent="0.3">
      <c r="A1023" s="115" t="s">
        <v>295</v>
      </c>
      <c r="B1023" s="115" t="s">
        <v>358</v>
      </c>
      <c r="C1023" s="115" t="s">
        <v>45</v>
      </c>
      <c r="D1023" s="115" t="s">
        <v>150</v>
      </c>
      <c r="E1023" s="115" t="s">
        <v>151</v>
      </c>
      <c r="F1023" s="116">
        <v>67</v>
      </c>
      <c r="G1023" s="116">
        <v>0</v>
      </c>
      <c r="H1023" s="117">
        <f t="shared" si="30"/>
        <v>0</v>
      </c>
      <c r="I1023" s="118" t="str">
        <f t="shared" si="31"/>
        <v>AR</v>
      </c>
    </row>
    <row r="1024" spans="1:9" x14ac:dyDescent="0.3">
      <c r="A1024" s="115" t="s">
        <v>295</v>
      </c>
      <c r="B1024" s="115" t="s">
        <v>358</v>
      </c>
      <c r="C1024" s="115" t="s">
        <v>45</v>
      </c>
      <c r="D1024" s="115" t="s">
        <v>150</v>
      </c>
      <c r="E1024" s="115" t="s">
        <v>151</v>
      </c>
      <c r="F1024" s="116">
        <v>76</v>
      </c>
      <c r="G1024" s="116">
        <v>0</v>
      </c>
      <c r="H1024" s="117">
        <f t="shared" si="30"/>
        <v>0</v>
      </c>
      <c r="I1024" s="118" t="str">
        <f t="shared" si="31"/>
        <v>AR</v>
      </c>
    </row>
    <row r="1025" spans="1:9" x14ac:dyDescent="0.3">
      <c r="A1025" s="115" t="s">
        <v>295</v>
      </c>
      <c r="B1025" s="115" t="s">
        <v>358</v>
      </c>
      <c r="C1025" s="115" t="s">
        <v>45</v>
      </c>
      <c r="D1025" s="115" t="s">
        <v>150</v>
      </c>
      <c r="E1025" s="115" t="s">
        <v>151</v>
      </c>
      <c r="F1025" s="116">
        <v>190</v>
      </c>
      <c r="G1025" s="116">
        <v>0</v>
      </c>
      <c r="H1025" s="117">
        <f t="shared" si="30"/>
        <v>0</v>
      </c>
      <c r="I1025" s="118" t="str">
        <f t="shared" si="31"/>
        <v>AR</v>
      </c>
    </row>
    <row r="1026" spans="1:9" x14ac:dyDescent="0.3">
      <c r="A1026" s="115" t="s">
        <v>295</v>
      </c>
      <c r="B1026" s="115" t="s">
        <v>358</v>
      </c>
      <c r="C1026" s="115" t="s">
        <v>45</v>
      </c>
      <c r="D1026" s="115" t="s">
        <v>150</v>
      </c>
      <c r="E1026" s="115" t="s">
        <v>151</v>
      </c>
      <c r="F1026" s="116">
        <v>195</v>
      </c>
      <c r="G1026" s="116">
        <v>0</v>
      </c>
      <c r="H1026" s="117">
        <f t="shared" si="30"/>
        <v>0</v>
      </c>
      <c r="I1026" s="118" t="str">
        <f t="shared" si="31"/>
        <v>AR</v>
      </c>
    </row>
    <row r="1027" spans="1:9" x14ac:dyDescent="0.3">
      <c r="A1027" s="115" t="s">
        <v>295</v>
      </c>
      <c r="B1027" s="115" t="s">
        <v>358</v>
      </c>
      <c r="C1027" s="115" t="s">
        <v>45</v>
      </c>
      <c r="D1027" s="115" t="s">
        <v>127</v>
      </c>
      <c r="E1027" s="115" t="s">
        <v>134</v>
      </c>
      <c r="F1027" s="116">
        <v>7597</v>
      </c>
      <c r="G1027" s="116">
        <v>0</v>
      </c>
      <c r="H1027" s="117">
        <f t="shared" ref="H1027:H1090" si="32">G1027/F1027</f>
        <v>0</v>
      </c>
      <c r="I1027" s="118" t="str">
        <f t="shared" ref="I1027:I1090" si="33">RIGHT(B1027,2)</f>
        <v>AR</v>
      </c>
    </row>
    <row r="1028" spans="1:9" x14ac:dyDescent="0.3">
      <c r="A1028" s="115" t="s">
        <v>295</v>
      </c>
      <c r="B1028" s="115" t="s">
        <v>358</v>
      </c>
      <c r="C1028" s="115" t="s">
        <v>45</v>
      </c>
      <c r="D1028" s="115" t="s">
        <v>127</v>
      </c>
      <c r="E1028" s="115" t="s">
        <v>134</v>
      </c>
      <c r="F1028" s="116">
        <v>11037</v>
      </c>
      <c r="G1028" s="116">
        <v>2</v>
      </c>
      <c r="H1028" s="117">
        <f t="shared" si="32"/>
        <v>1.8120866177403279E-4</v>
      </c>
      <c r="I1028" s="118" t="str">
        <f t="shared" si="33"/>
        <v>AR</v>
      </c>
    </row>
    <row r="1029" spans="1:9" x14ac:dyDescent="0.3">
      <c r="A1029" s="115" t="s">
        <v>295</v>
      </c>
      <c r="B1029" s="115" t="s">
        <v>358</v>
      </c>
      <c r="C1029" s="115" t="s">
        <v>45</v>
      </c>
      <c r="D1029" s="115" t="s">
        <v>127</v>
      </c>
      <c r="E1029" s="115" t="s">
        <v>134</v>
      </c>
      <c r="F1029" s="116">
        <v>11906</v>
      </c>
      <c r="G1029" s="116">
        <v>4</v>
      </c>
      <c r="H1029" s="117">
        <f t="shared" si="32"/>
        <v>3.3596505963379809E-4</v>
      </c>
      <c r="I1029" s="118" t="str">
        <f t="shared" si="33"/>
        <v>AR</v>
      </c>
    </row>
    <row r="1030" spans="1:9" x14ac:dyDescent="0.3">
      <c r="A1030" s="115" t="s">
        <v>295</v>
      </c>
      <c r="B1030" s="115" t="s">
        <v>358</v>
      </c>
      <c r="C1030" s="115" t="s">
        <v>45</v>
      </c>
      <c r="D1030" s="115" t="s">
        <v>127</v>
      </c>
      <c r="E1030" s="115" t="s">
        <v>134</v>
      </c>
      <c r="F1030" s="116">
        <v>23914</v>
      </c>
      <c r="G1030" s="116">
        <v>3</v>
      </c>
      <c r="H1030" s="117">
        <f t="shared" si="32"/>
        <v>1.2544952747344651E-4</v>
      </c>
      <c r="I1030" s="118" t="str">
        <f t="shared" si="33"/>
        <v>AR</v>
      </c>
    </row>
    <row r="1031" spans="1:9" x14ac:dyDescent="0.3">
      <c r="A1031" s="115" t="s">
        <v>295</v>
      </c>
      <c r="B1031" s="115" t="s">
        <v>358</v>
      </c>
      <c r="C1031" s="115" t="s">
        <v>45</v>
      </c>
      <c r="D1031" s="115" t="s">
        <v>127</v>
      </c>
      <c r="E1031" s="115" t="s">
        <v>134</v>
      </c>
      <c r="F1031" s="116">
        <v>19661</v>
      </c>
      <c r="G1031" s="116">
        <v>6</v>
      </c>
      <c r="H1031" s="117">
        <f t="shared" si="32"/>
        <v>3.0517267687299731E-4</v>
      </c>
      <c r="I1031" s="118" t="str">
        <f t="shared" si="33"/>
        <v>AR</v>
      </c>
    </row>
    <row r="1032" spans="1:9" x14ac:dyDescent="0.3">
      <c r="A1032" s="115" t="s">
        <v>295</v>
      </c>
      <c r="B1032" s="115" t="s">
        <v>359</v>
      </c>
      <c r="C1032" s="115" t="s">
        <v>45</v>
      </c>
      <c r="D1032" s="115" t="s">
        <v>150</v>
      </c>
      <c r="E1032" s="115" t="s">
        <v>151</v>
      </c>
      <c r="F1032" s="116">
        <v>34</v>
      </c>
      <c r="G1032" s="116">
        <v>0</v>
      </c>
      <c r="H1032" s="117">
        <f t="shared" si="32"/>
        <v>0</v>
      </c>
      <c r="I1032" s="118" t="str">
        <f t="shared" si="33"/>
        <v>EN</v>
      </c>
    </row>
    <row r="1033" spans="1:9" x14ac:dyDescent="0.3">
      <c r="A1033" s="115" t="s">
        <v>295</v>
      </c>
      <c r="B1033" s="115" t="s">
        <v>359</v>
      </c>
      <c r="C1033" s="115" t="s">
        <v>45</v>
      </c>
      <c r="D1033" s="115" t="s">
        <v>150</v>
      </c>
      <c r="E1033" s="115" t="s">
        <v>151</v>
      </c>
      <c r="F1033" s="116">
        <v>61</v>
      </c>
      <c r="G1033" s="116">
        <v>0</v>
      </c>
      <c r="H1033" s="117">
        <f t="shared" si="32"/>
        <v>0</v>
      </c>
      <c r="I1033" s="118" t="str">
        <f t="shared" si="33"/>
        <v>EN</v>
      </c>
    </row>
    <row r="1034" spans="1:9" x14ac:dyDescent="0.3">
      <c r="A1034" s="115" t="s">
        <v>295</v>
      </c>
      <c r="B1034" s="115" t="s">
        <v>359</v>
      </c>
      <c r="C1034" s="115" t="s">
        <v>45</v>
      </c>
      <c r="D1034" s="115" t="s">
        <v>150</v>
      </c>
      <c r="E1034" s="115" t="s">
        <v>151</v>
      </c>
      <c r="F1034" s="116">
        <v>49</v>
      </c>
      <c r="G1034" s="116">
        <v>0</v>
      </c>
      <c r="H1034" s="117">
        <f t="shared" si="32"/>
        <v>0</v>
      </c>
      <c r="I1034" s="118" t="str">
        <f t="shared" si="33"/>
        <v>EN</v>
      </c>
    </row>
    <row r="1035" spans="1:9" x14ac:dyDescent="0.3">
      <c r="A1035" s="115" t="s">
        <v>295</v>
      </c>
      <c r="B1035" s="115" t="s">
        <v>359</v>
      </c>
      <c r="C1035" s="115" t="s">
        <v>45</v>
      </c>
      <c r="D1035" s="115" t="s">
        <v>150</v>
      </c>
      <c r="E1035" s="115" t="s">
        <v>151</v>
      </c>
      <c r="F1035" s="116">
        <v>12</v>
      </c>
      <c r="G1035" s="116">
        <v>0</v>
      </c>
      <c r="H1035" s="117">
        <f t="shared" si="32"/>
        <v>0</v>
      </c>
      <c r="I1035" s="118" t="str">
        <f t="shared" si="33"/>
        <v>EN</v>
      </c>
    </row>
    <row r="1036" spans="1:9" x14ac:dyDescent="0.3">
      <c r="A1036" s="115" t="s">
        <v>295</v>
      </c>
      <c r="B1036" s="115" t="s">
        <v>359</v>
      </c>
      <c r="C1036" s="115" t="s">
        <v>45</v>
      </c>
      <c r="D1036" s="115" t="s">
        <v>150</v>
      </c>
      <c r="E1036" s="115" t="s">
        <v>151</v>
      </c>
      <c r="F1036" s="116">
        <v>37</v>
      </c>
      <c r="G1036" s="116">
        <v>0</v>
      </c>
      <c r="H1036" s="117">
        <f t="shared" si="32"/>
        <v>0</v>
      </c>
      <c r="I1036" s="118" t="str">
        <f t="shared" si="33"/>
        <v>EN</v>
      </c>
    </row>
    <row r="1037" spans="1:9" x14ac:dyDescent="0.3">
      <c r="A1037" s="115" t="s">
        <v>295</v>
      </c>
      <c r="B1037" s="115" t="s">
        <v>359</v>
      </c>
      <c r="C1037" s="115" t="s">
        <v>45</v>
      </c>
      <c r="D1037" s="115" t="s">
        <v>127</v>
      </c>
      <c r="E1037" s="115" t="s">
        <v>134</v>
      </c>
      <c r="F1037" s="116">
        <v>12178</v>
      </c>
      <c r="G1037" s="116">
        <v>1</v>
      </c>
      <c r="H1037" s="117">
        <f t="shared" si="32"/>
        <v>8.2115289866973234E-5</v>
      </c>
      <c r="I1037" s="118" t="str">
        <f t="shared" si="33"/>
        <v>EN</v>
      </c>
    </row>
    <row r="1038" spans="1:9" x14ac:dyDescent="0.3">
      <c r="A1038" s="115" t="s">
        <v>295</v>
      </c>
      <c r="B1038" s="115" t="s">
        <v>359</v>
      </c>
      <c r="C1038" s="115" t="s">
        <v>45</v>
      </c>
      <c r="D1038" s="115" t="s">
        <v>127</v>
      </c>
      <c r="E1038" s="115" t="s">
        <v>134</v>
      </c>
      <c r="F1038" s="116">
        <v>20527</v>
      </c>
      <c r="G1038" s="116">
        <v>3</v>
      </c>
      <c r="H1038" s="117">
        <f t="shared" si="32"/>
        <v>1.461489745213621E-4</v>
      </c>
      <c r="I1038" s="118" t="str">
        <f t="shared" si="33"/>
        <v>EN</v>
      </c>
    </row>
    <row r="1039" spans="1:9" x14ac:dyDescent="0.3">
      <c r="A1039" s="115" t="s">
        <v>295</v>
      </c>
      <c r="B1039" s="115" t="s">
        <v>359</v>
      </c>
      <c r="C1039" s="115" t="s">
        <v>45</v>
      </c>
      <c r="D1039" s="115" t="s">
        <v>127</v>
      </c>
      <c r="E1039" s="115" t="s">
        <v>134</v>
      </c>
      <c r="F1039" s="116">
        <v>13336</v>
      </c>
      <c r="G1039" s="116">
        <v>1</v>
      </c>
      <c r="H1039" s="117">
        <f t="shared" si="32"/>
        <v>7.4985002999400114E-5</v>
      </c>
      <c r="I1039" s="118" t="str">
        <f t="shared" si="33"/>
        <v>EN</v>
      </c>
    </row>
    <row r="1040" spans="1:9" x14ac:dyDescent="0.3">
      <c r="A1040" s="115" t="s">
        <v>295</v>
      </c>
      <c r="B1040" s="115" t="s">
        <v>359</v>
      </c>
      <c r="C1040" s="115" t="s">
        <v>45</v>
      </c>
      <c r="D1040" s="115" t="s">
        <v>127</v>
      </c>
      <c r="E1040" s="115" t="s">
        <v>134</v>
      </c>
      <c r="F1040" s="116">
        <v>10167</v>
      </c>
      <c r="G1040" s="116">
        <v>1</v>
      </c>
      <c r="H1040" s="117">
        <f t="shared" si="32"/>
        <v>9.8357430903904796E-5</v>
      </c>
      <c r="I1040" s="118" t="str">
        <f t="shared" si="33"/>
        <v>EN</v>
      </c>
    </row>
    <row r="1041" spans="1:9" x14ac:dyDescent="0.3">
      <c r="A1041" s="115" t="s">
        <v>295</v>
      </c>
      <c r="B1041" s="115" t="s">
        <v>359</v>
      </c>
      <c r="C1041" s="115" t="s">
        <v>45</v>
      </c>
      <c r="D1041" s="115" t="s">
        <v>127</v>
      </c>
      <c r="E1041" s="115" t="s">
        <v>134</v>
      </c>
      <c r="F1041" s="116">
        <v>14557</v>
      </c>
      <c r="G1041" s="116">
        <v>0</v>
      </c>
      <c r="H1041" s="117">
        <f t="shared" si="32"/>
        <v>0</v>
      </c>
      <c r="I1041" s="118" t="str">
        <f t="shared" si="33"/>
        <v>EN</v>
      </c>
    </row>
    <row r="1042" spans="1:9" x14ac:dyDescent="0.3">
      <c r="A1042" s="115" t="s">
        <v>360</v>
      </c>
      <c r="B1042" s="115" t="s">
        <v>361</v>
      </c>
      <c r="C1042" s="115" t="s">
        <v>44</v>
      </c>
      <c r="D1042" s="115" t="s">
        <v>127</v>
      </c>
      <c r="E1042" s="115" t="s">
        <v>128</v>
      </c>
      <c r="F1042" s="116">
        <v>2</v>
      </c>
      <c r="G1042" s="116">
        <v>0</v>
      </c>
      <c r="H1042" s="117">
        <f t="shared" si="32"/>
        <v>0</v>
      </c>
      <c r="I1042" s="118" t="str">
        <f t="shared" si="33"/>
        <v>AR</v>
      </c>
    </row>
    <row r="1043" spans="1:9" x14ac:dyDescent="0.3">
      <c r="A1043" s="115" t="s">
        <v>360</v>
      </c>
      <c r="B1043" s="115" t="s">
        <v>361</v>
      </c>
      <c r="C1043" s="115" t="s">
        <v>44</v>
      </c>
      <c r="D1043" s="115" t="s">
        <v>127</v>
      </c>
      <c r="E1043" s="115" t="s">
        <v>128</v>
      </c>
      <c r="F1043" s="116">
        <v>4</v>
      </c>
      <c r="G1043" s="116">
        <v>0</v>
      </c>
      <c r="H1043" s="117">
        <f t="shared" si="32"/>
        <v>0</v>
      </c>
      <c r="I1043" s="118" t="str">
        <f t="shared" si="33"/>
        <v>AR</v>
      </c>
    </row>
    <row r="1044" spans="1:9" x14ac:dyDescent="0.3">
      <c r="A1044" s="115" t="s">
        <v>360</v>
      </c>
      <c r="B1044" s="115" t="s">
        <v>362</v>
      </c>
      <c r="C1044" s="115" t="s">
        <v>44</v>
      </c>
      <c r="D1044" s="115" t="s">
        <v>127</v>
      </c>
      <c r="E1044" s="115" t="s">
        <v>128</v>
      </c>
      <c r="F1044" s="116">
        <v>1</v>
      </c>
      <c r="G1044" s="116">
        <v>0</v>
      </c>
      <c r="H1044" s="117">
        <f t="shared" si="32"/>
        <v>0</v>
      </c>
      <c r="I1044" s="118" t="str">
        <f t="shared" si="33"/>
        <v>EN</v>
      </c>
    </row>
    <row r="1045" spans="1:9" x14ac:dyDescent="0.3">
      <c r="A1045" s="115" t="s">
        <v>363</v>
      </c>
      <c r="B1045" s="115" t="s">
        <v>364</v>
      </c>
      <c r="C1045" s="115" t="s">
        <v>44</v>
      </c>
      <c r="D1045" s="115" t="s">
        <v>150</v>
      </c>
      <c r="E1045" s="115" t="s">
        <v>151</v>
      </c>
      <c r="F1045" s="116">
        <v>21</v>
      </c>
      <c r="G1045" s="116">
        <v>0</v>
      </c>
      <c r="H1045" s="117">
        <f t="shared" si="32"/>
        <v>0</v>
      </c>
      <c r="I1045" s="118" t="str">
        <f t="shared" si="33"/>
        <v>AR</v>
      </c>
    </row>
    <row r="1046" spans="1:9" x14ac:dyDescent="0.3">
      <c r="A1046" s="115" t="s">
        <v>363</v>
      </c>
      <c r="B1046" s="115" t="s">
        <v>364</v>
      </c>
      <c r="C1046" s="115" t="s">
        <v>44</v>
      </c>
      <c r="D1046" s="115" t="s">
        <v>150</v>
      </c>
      <c r="E1046" s="115" t="s">
        <v>151</v>
      </c>
      <c r="F1046" s="116">
        <v>16</v>
      </c>
      <c r="G1046" s="116">
        <v>0</v>
      </c>
      <c r="H1046" s="117">
        <f t="shared" si="32"/>
        <v>0</v>
      </c>
      <c r="I1046" s="118" t="str">
        <f t="shared" si="33"/>
        <v>AR</v>
      </c>
    </row>
    <row r="1047" spans="1:9" x14ac:dyDescent="0.3">
      <c r="A1047" s="115" t="s">
        <v>363</v>
      </c>
      <c r="B1047" s="115" t="s">
        <v>364</v>
      </c>
      <c r="C1047" s="115" t="s">
        <v>44</v>
      </c>
      <c r="D1047" s="115" t="s">
        <v>150</v>
      </c>
      <c r="E1047" s="115" t="s">
        <v>151</v>
      </c>
      <c r="F1047" s="116">
        <v>19</v>
      </c>
      <c r="G1047" s="116">
        <v>0</v>
      </c>
      <c r="H1047" s="117">
        <f t="shared" si="32"/>
        <v>0</v>
      </c>
      <c r="I1047" s="118" t="str">
        <f t="shared" si="33"/>
        <v>AR</v>
      </c>
    </row>
    <row r="1048" spans="1:9" x14ac:dyDescent="0.3">
      <c r="A1048" s="115" t="s">
        <v>363</v>
      </c>
      <c r="B1048" s="115" t="s">
        <v>364</v>
      </c>
      <c r="C1048" s="115" t="s">
        <v>44</v>
      </c>
      <c r="D1048" s="115" t="s">
        <v>150</v>
      </c>
      <c r="E1048" s="115" t="s">
        <v>151</v>
      </c>
      <c r="F1048" s="116">
        <v>12</v>
      </c>
      <c r="G1048" s="116">
        <v>0</v>
      </c>
      <c r="H1048" s="117">
        <f t="shared" si="32"/>
        <v>0</v>
      </c>
      <c r="I1048" s="118" t="str">
        <f t="shared" si="33"/>
        <v>AR</v>
      </c>
    </row>
    <row r="1049" spans="1:9" x14ac:dyDescent="0.3">
      <c r="A1049" s="115" t="s">
        <v>363</v>
      </c>
      <c r="B1049" s="115" t="s">
        <v>364</v>
      </c>
      <c r="C1049" s="115" t="s">
        <v>44</v>
      </c>
      <c r="D1049" s="115" t="s">
        <v>150</v>
      </c>
      <c r="E1049" s="115" t="s">
        <v>151</v>
      </c>
      <c r="F1049" s="116">
        <v>10</v>
      </c>
      <c r="G1049" s="116">
        <v>0</v>
      </c>
      <c r="H1049" s="117">
        <f t="shared" si="32"/>
        <v>0</v>
      </c>
      <c r="I1049" s="118" t="str">
        <f t="shared" si="33"/>
        <v>AR</v>
      </c>
    </row>
    <row r="1050" spans="1:9" x14ac:dyDescent="0.3">
      <c r="A1050" s="115" t="s">
        <v>363</v>
      </c>
      <c r="B1050" s="115" t="s">
        <v>364</v>
      </c>
      <c r="C1050" s="115" t="s">
        <v>44</v>
      </c>
      <c r="D1050" s="115" t="s">
        <v>127</v>
      </c>
      <c r="E1050" s="115" t="s">
        <v>137</v>
      </c>
      <c r="F1050" s="116">
        <v>23816</v>
      </c>
      <c r="G1050" s="116">
        <v>65</v>
      </c>
      <c r="H1050" s="117">
        <f t="shared" si="32"/>
        <v>2.7292576419213972E-3</v>
      </c>
      <c r="I1050" s="118" t="str">
        <f t="shared" si="33"/>
        <v>AR</v>
      </c>
    </row>
    <row r="1051" spans="1:9" x14ac:dyDescent="0.3">
      <c r="A1051" s="115" t="s">
        <v>363</v>
      </c>
      <c r="B1051" s="115" t="s">
        <v>364</v>
      </c>
      <c r="C1051" s="115" t="s">
        <v>44</v>
      </c>
      <c r="D1051" s="115" t="s">
        <v>127</v>
      </c>
      <c r="E1051" s="115" t="s">
        <v>137</v>
      </c>
      <c r="F1051" s="116">
        <v>26881</v>
      </c>
      <c r="G1051" s="116">
        <v>138</v>
      </c>
      <c r="H1051" s="117">
        <f t="shared" si="32"/>
        <v>5.1337375841672556E-3</v>
      </c>
      <c r="I1051" s="118" t="str">
        <f t="shared" si="33"/>
        <v>AR</v>
      </c>
    </row>
    <row r="1052" spans="1:9" x14ac:dyDescent="0.3">
      <c r="A1052" s="115" t="s">
        <v>363</v>
      </c>
      <c r="B1052" s="115" t="s">
        <v>364</v>
      </c>
      <c r="C1052" s="115" t="s">
        <v>44</v>
      </c>
      <c r="D1052" s="115" t="s">
        <v>127</v>
      </c>
      <c r="E1052" s="115" t="s">
        <v>137</v>
      </c>
      <c r="F1052" s="116">
        <v>35646</v>
      </c>
      <c r="G1052" s="116">
        <v>225</v>
      </c>
      <c r="H1052" s="117">
        <f t="shared" si="32"/>
        <v>6.3120686753071874E-3</v>
      </c>
      <c r="I1052" s="118" t="str">
        <f t="shared" si="33"/>
        <v>AR</v>
      </c>
    </row>
    <row r="1053" spans="1:9" x14ac:dyDescent="0.3">
      <c r="A1053" s="115" t="s">
        <v>363</v>
      </c>
      <c r="B1053" s="115" t="s">
        <v>364</v>
      </c>
      <c r="C1053" s="115" t="s">
        <v>44</v>
      </c>
      <c r="D1053" s="115" t="s">
        <v>127</v>
      </c>
      <c r="E1053" s="115" t="s">
        <v>137</v>
      </c>
      <c r="F1053" s="116">
        <v>31497</v>
      </c>
      <c r="G1053" s="116">
        <v>103</v>
      </c>
      <c r="H1053" s="117">
        <f t="shared" si="32"/>
        <v>3.2701527129567897E-3</v>
      </c>
      <c r="I1053" s="118" t="str">
        <f t="shared" si="33"/>
        <v>AR</v>
      </c>
    </row>
    <row r="1054" spans="1:9" x14ac:dyDescent="0.3">
      <c r="A1054" s="115" t="s">
        <v>363</v>
      </c>
      <c r="B1054" s="115" t="s">
        <v>364</v>
      </c>
      <c r="C1054" s="115" t="s">
        <v>44</v>
      </c>
      <c r="D1054" s="115" t="s">
        <v>127</v>
      </c>
      <c r="E1054" s="115" t="s">
        <v>137</v>
      </c>
      <c r="F1054" s="116">
        <v>26717</v>
      </c>
      <c r="G1054" s="116">
        <v>76</v>
      </c>
      <c r="H1054" s="117">
        <f t="shared" si="32"/>
        <v>2.8446307594415542E-3</v>
      </c>
      <c r="I1054" s="118" t="str">
        <f t="shared" si="33"/>
        <v>AR</v>
      </c>
    </row>
    <row r="1055" spans="1:9" x14ac:dyDescent="0.3">
      <c r="A1055" s="115" t="s">
        <v>363</v>
      </c>
      <c r="B1055" s="115" t="s">
        <v>365</v>
      </c>
      <c r="C1055" s="115" t="s">
        <v>44</v>
      </c>
      <c r="D1055" s="115" t="s">
        <v>150</v>
      </c>
      <c r="E1055" s="115" t="s">
        <v>151</v>
      </c>
      <c r="F1055" s="116">
        <v>7</v>
      </c>
      <c r="G1055" s="116">
        <v>0</v>
      </c>
      <c r="H1055" s="117">
        <f t="shared" si="32"/>
        <v>0</v>
      </c>
      <c r="I1055" s="118" t="str">
        <f t="shared" si="33"/>
        <v>AR</v>
      </c>
    </row>
    <row r="1056" spans="1:9" x14ac:dyDescent="0.3">
      <c r="A1056" s="115" t="s">
        <v>363</v>
      </c>
      <c r="B1056" s="115" t="s">
        <v>365</v>
      </c>
      <c r="C1056" s="115" t="s">
        <v>44</v>
      </c>
      <c r="D1056" s="115" t="s">
        <v>150</v>
      </c>
      <c r="E1056" s="115" t="s">
        <v>151</v>
      </c>
      <c r="F1056" s="116">
        <v>5</v>
      </c>
      <c r="G1056" s="116">
        <v>0</v>
      </c>
      <c r="H1056" s="117">
        <f t="shared" si="32"/>
        <v>0</v>
      </c>
      <c r="I1056" s="118" t="str">
        <f t="shared" si="33"/>
        <v>AR</v>
      </c>
    </row>
    <row r="1057" spans="1:9" x14ac:dyDescent="0.3">
      <c r="A1057" s="115" t="s">
        <v>363</v>
      </c>
      <c r="B1057" s="115" t="s">
        <v>365</v>
      </c>
      <c r="C1057" s="115" t="s">
        <v>44</v>
      </c>
      <c r="D1057" s="115" t="s">
        <v>150</v>
      </c>
      <c r="E1057" s="115" t="s">
        <v>151</v>
      </c>
      <c r="F1057" s="116">
        <v>19</v>
      </c>
      <c r="G1057" s="116">
        <v>0</v>
      </c>
      <c r="H1057" s="117">
        <f t="shared" si="32"/>
        <v>0</v>
      </c>
      <c r="I1057" s="118" t="str">
        <f t="shared" si="33"/>
        <v>AR</v>
      </c>
    </row>
    <row r="1058" spans="1:9" x14ac:dyDescent="0.3">
      <c r="A1058" s="115" t="s">
        <v>363</v>
      </c>
      <c r="B1058" s="115" t="s">
        <v>365</v>
      </c>
      <c r="C1058" s="115" t="s">
        <v>44</v>
      </c>
      <c r="D1058" s="115" t="s">
        <v>127</v>
      </c>
      <c r="E1058" s="115" t="s">
        <v>137</v>
      </c>
      <c r="F1058" s="116">
        <v>4</v>
      </c>
      <c r="G1058" s="116">
        <v>4</v>
      </c>
      <c r="H1058" s="117">
        <f t="shared" si="32"/>
        <v>1</v>
      </c>
      <c r="I1058" s="118" t="str">
        <f t="shared" si="33"/>
        <v>AR</v>
      </c>
    </row>
    <row r="1059" spans="1:9" x14ac:dyDescent="0.3">
      <c r="A1059" s="115" t="s">
        <v>363</v>
      </c>
      <c r="B1059" s="115" t="s">
        <v>365</v>
      </c>
      <c r="C1059" s="115" t="s">
        <v>44</v>
      </c>
      <c r="D1059" s="115" t="s">
        <v>127</v>
      </c>
      <c r="E1059" s="115" t="s">
        <v>137</v>
      </c>
      <c r="F1059" s="116">
        <v>6444</v>
      </c>
      <c r="G1059" s="116">
        <v>20</v>
      </c>
      <c r="H1059" s="117">
        <f t="shared" si="32"/>
        <v>3.1036623215394167E-3</v>
      </c>
      <c r="I1059" s="118" t="str">
        <f t="shared" si="33"/>
        <v>AR</v>
      </c>
    </row>
    <row r="1060" spans="1:9" x14ac:dyDescent="0.3">
      <c r="A1060" s="115" t="s">
        <v>363</v>
      </c>
      <c r="B1060" s="115" t="s">
        <v>365</v>
      </c>
      <c r="C1060" s="115" t="s">
        <v>44</v>
      </c>
      <c r="D1060" s="115" t="s">
        <v>127</v>
      </c>
      <c r="E1060" s="115" t="s">
        <v>137</v>
      </c>
      <c r="F1060" s="116">
        <v>19904</v>
      </c>
      <c r="G1060" s="116">
        <v>55</v>
      </c>
      <c r="H1060" s="117">
        <f t="shared" si="32"/>
        <v>2.7632636655948555E-3</v>
      </c>
      <c r="I1060" s="118" t="str">
        <f t="shared" si="33"/>
        <v>AR</v>
      </c>
    </row>
    <row r="1061" spans="1:9" x14ac:dyDescent="0.3">
      <c r="A1061" s="115" t="s">
        <v>363</v>
      </c>
      <c r="B1061" s="115" t="s">
        <v>365</v>
      </c>
      <c r="C1061" s="115" t="s">
        <v>44</v>
      </c>
      <c r="D1061" s="115" t="s">
        <v>127</v>
      </c>
      <c r="E1061" s="115" t="s">
        <v>137</v>
      </c>
      <c r="F1061" s="116">
        <v>22328</v>
      </c>
      <c r="G1061" s="116">
        <v>58</v>
      </c>
      <c r="H1061" s="117">
        <f t="shared" si="32"/>
        <v>2.5976352561805803E-3</v>
      </c>
      <c r="I1061" s="118" t="str">
        <f t="shared" si="33"/>
        <v>AR</v>
      </c>
    </row>
    <row r="1062" spans="1:9" x14ac:dyDescent="0.3">
      <c r="A1062" s="115" t="s">
        <v>363</v>
      </c>
      <c r="B1062" s="115" t="s">
        <v>365</v>
      </c>
      <c r="C1062" s="115" t="s">
        <v>44</v>
      </c>
      <c r="D1062" s="115" t="s">
        <v>127</v>
      </c>
      <c r="E1062" s="115" t="s">
        <v>137</v>
      </c>
      <c r="F1062" s="116">
        <v>85998</v>
      </c>
      <c r="G1062" s="116">
        <v>162</v>
      </c>
      <c r="H1062" s="117">
        <f t="shared" si="32"/>
        <v>1.8837647387148538E-3</v>
      </c>
      <c r="I1062" s="118" t="str">
        <f t="shared" si="33"/>
        <v>AR</v>
      </c>
    </row>
    <row r="1063" spans="1:9" x14ac:dyDescent="0.3">
      <c r="A1063" s="115" t="s">
        <v>363</v>
      </c>
      <c r="B1063" s="115" t="s">
        <v>365</v>
      </c>
      <c r="C1063" s="115" t="s">
        <v>44</v>
      </c>
      <c r="D1063" s="115" t="s">
        <v>127</v>
      </c>
      <c r="E1063" s="115" t="s">
        <v>137</v>
      </c>
      <c r="F1063" s="116">
        <v>5375</v>
      </c>
      <c r="G1063" s="116">
        <v>3</v>
      </c>
      <c r="H1063" s="117">
        <f t="shared" si="32"/>
        <v>5.581395348837209E-4</v>
      </c>
      <c r="I1063" s="118" t="str">
        <f t="shared" si="33"/>
        <v>AR</v>
      </c>
    </row>
    <row r="1064" spans="1:9" x14ac:dyDescent="0.3">
      <c r="A1064" s="115" t="s">
        <v>363</v>
      </c>
      <c r="B1064" s="115" t="s">
        <v>366</v>
      </c>
      <c r="C1064" s="115" t="s">
        <v>45</v>
      </c>
      <c r="D1064" s="115" t="s">
        <v>150</v>
      </c>
      <c r="E1064" s="115" t="s">
        <v>151</v>
      </c>
      <c r="F1064" s="116">
        <v>10</v>
      </c>
      <c r="G1064" s="116">
        <v>0</v>
      </c>
      <c r="H1064" s="117">
        <f t="shared" si="32"/>
        <v>0</v>
      </c>
      <c r="I1064" s="118" t="str">
        <f t="shared" si="33"/>
        <v>AR</v>
      </c>
    </row>
    <row r="1065" spans="1:9" x14ac:dyDescent="0.3">
      <c r="A1065" s="115" t="s">
        <v>363</v>
      </c>
      <c r="B1065" s="115" t="s">
        <v>366</v>
      </c>
      <c r="C1065" s="115" t="s">
        <v>45</v>
      </c>
      <c r="D1065" s="115" t="s">
        <v>150</v>
      </c>
      <c r="E1065" s="115" t="s">
        <v>151</v>
      </c>
      <c r="F1065" s="116">
        <v>22</v>
      </c>
      <c r="G1065" s="116">
        <v>0</v>
      </c>
      <c r="H1065" s="117">
        <f t="shared" si="32"/>
        <v>0</v>
      </c>
      <c r="I1065" s="118" t="str">
        <f t="shared" si="33"/>
        <v>AR</v>
      </c>
    </row>
    <row r="1066" spans="1:9" x14ac:dyDescent="0.3">
      <c r="A1066" s="115" t="s">
        <v>363</v>
      </c>
      <c r="B1066" s="115" t="s">
        <v>366</v>
      </c>
      <c r="C1066" s="115" t="s">
        <v>45</v>
      </c>
      <c r="D1066" s="115" t="s">
        <v>150</v>
      </c>
      <c r="E1066" s="115" t="s">
        <v>151</v>
      </c>
      <c r="F1066" s="116">
        <v>16</v>
      </c>
      <c r="G1066" s="116">
        <v>0</v>
      </c>
      <c r="H1066" s="117">
        <f t="shared" si="32"/>
        <v>0</v>
      </c>
      <c r="I1066" s="118" t="str">
        <f t="shared" si="33"/>
        <v>AR</v>
      </c>
    </row>
    <row r="1067" spans="1:9" x14ac:dyDescent="0.3">
      <c r="A1067" s="115" t="s">
        <v>363</v>
      </c>
      <c r="B1067" s="115" t="s">
        <v>366</v>
      </c>
      <c r="C1067" s="115" t="s">
        <v>45</v>
      </c>
      <c r="D1067" s="115" t="s">
        <v>150</v>
      </c>
      <c r="E1067" s="115" t="s">
        <v>151</v>
      </c>
      <c r="F1067" s="116">
        <v>22</v>
      </c>
      <c r="G1067" s="116">
        <v>0</v>
      </c>
      <c r="H1067" s="117">
        <f t="shared" si="32"/>
        <v>0</v>
      </c>
      <c r="I1067" s="118" t="str">
        <f t="shared" si="33"/>
        <v>AR</v>
      </c>
    </row>
    <row r="1068" spans="1:9" x14ac:dyDescent="0.3">
      <c r="A1068" s="115" t="s">
        <v>363</v>
      </c>
      <c r="B1068" s="115" t="s">
        <v>366</v>
      </c>
      <c r="C1068" s="115" t="s">
        <v>45</v>
      </c>
      <c r="D1068" s="115" t="s">
        <v>150</v>
      </c>
      <c r="E1068" s="115" t="s">
        <v>151</v>
      </c>
      <c r="F1068" s="116">
        <v>22</v>
      </c>
      <c r="G1068" s="116">
        <v>0</v>
      </c>
      <c r="H1068" s="117">
        <f t="shared" si="32"/>
        <v>0</v>
      </c>
      <c r="I1068" s="118" t="str">
        <f t="shared" si="33"/>
        <v>AR</v>
      </c>
    </row>
    <row r="1069" spans="1:9" x14ac:dyDescent="0.3">
      <c r="A1069" s="115" t="s">
        <v>363</v>
      </c>
      <c r="B1069" s="115" t="s">
        <v>366</v>
      </c>
      <c r="C1069" s="115" t="s">
        <v>45</v>
      </c>
      <c r="D1069" s="115" t="s">
        <v>127</v>
      </c>
      <c r="E1069" s="115" t="s">
        <v>137</v>
      </c>
      <c r="F1069" s="116">
        <v>17570</v>
      </c>
      <c r="G1069" s="116">
        <v>52</v>
      </c>
      <c r="H1069" s="117">
        <f t="shared" si="32"/>
        <v>2.9595902105862266E-3</v>
      </c>
      <c r="I1069" s="118" t="str">
        <f t="shared" si="33"/>
        <v>AR</v>
      </c>
    </row>
    <row r="1070" spans="1:9" x14ac:dyDescent="0.3">
      <c r="A1070" s="115" t="s">
        <v>363</v>
      </c>
      <c r="B1070" s="115" t="s">
        <v>366</v>
      </c>
      <c r="C1070" s="115" t="s">
        <v>45</v>
      </c>
      <c r="D1070" s="115" t="s">
        <v>127</v>
      </c>
      <c r="E1070" s="115" t="s">
        <v>137</v>
      </c>
      <c r="F1070" s="116">
        <v>32517</v>
      </c>
      <c r="G1070" s="116">
        <v>119</v>
      </c>
      <c r="H1070" s="117">
        <f t="shared" si="32"/>
        <v>3.6596241965740997E-3</v>
      </c>
      <c r="I1070" s="118" t="str">
        <f t="shared" si="33"/>
        <v>AR</v>
      </c>
    </row>
    <row r="1071" spans="1:9" x14ac:dyDescent="0.3">
      <c r="A1071" s="115" t="s">
        <v>363</v>
      </c>
      <c r="B1071" s="115" t="s">
        <v>366</v>
      </c>
      <c r="C1071" s="115" t="s">
        <v>45</v>
      </c>
      <c r="D1071" s="115" t="s">
        <v>127</v>
      </c>
      <c r="E1071" s="115" t="s">
        <v>137</v>
      </c>
      <c r="F1071" s="116">
        <v>36284</v>
      </c>
      <c r="G1071" s="116">
        <v>142</v>
      </c>
      <c r="H1071" s="117">
        <f t="shared" si="32"/>
        <v>3.9135707198765298E-3</v>
      </c>
      <c r="I1071" s="118" t="str">
        <f t="shared" si="33"/>
        <v>AR</v>
      </c>
    </row>
    <row r="1072" spans="1:9" x14ac:dyDescent="0.3">
      <c r="A1072" s="115" t="s">
        <v>363</v>
      </c>
      <c r="B1072" s="115" t="s">
        <v>366</v>
      </c>
      <c r="C1072" s="115" t="s">
        <v>45</v>
      </c>
      <c r="D1072" s="115" t="s">
        <v>127</v>
      </c>
      <c r="E1072" s="115" t="s">
        <v>137</v>
      </c>
      <c r="F1072" s="116">
        <v>26640</v>
      </c>
      <c r="G1072" s="116">
        <v>59</v>
      </c>
      <c r="H1072" s="117">
        <f t="shared" si="32"/>
        <v>2.2147147147147145E-3</v>
      </c>
      <c r="I1072" s="118" t="str">
        <f t="shared" si="33"/>
        <v>AR</v>
      </c>
    </row>
    <row r="1073" spans="1:9" x14ac:dyDescent="0.3">
      <c r="A1073" s="115" t="s">
        <v>363</v>
      </c>
      <c r="B1073" s="115" t="s">
        <v>366</v>
      </c>
      <c r="C1073" s="115" t="s">
        <v>45</v>
      </c>
      <c r="D1073" s="115" t="s">
        <v>127</v>
      </c>
      <c r="E1073" s="115" t="s">
        <v>137</v>
      </c>
      <c r="F1073" s="116">
        <v>33203</v>
      </c>
      <c r="G1073" s="116">
        <v>101</v>
      </c>
      <c r="H1073" s="117">
        <f t="shared" si="32"/>
        <v>3.0418938047766767E-3</v>
      </c>
      <c r="I1073" s="118" t="str">
        <f t="shared" si="33"/>
        <v>AR</v>
      </c>
    </row>
    <row r="1074" spans="1:9" x14ac:dyDescent="0.3">
      <c r="A1074" s="115" t="s">
        <v>363</v>
      </c>
      <c r="B1074" s="115" t="s">
        <v>367</v>
      </c>
      <c r="C1074" s="115" t="s">
        <v>45</v>
      </c>
      <c r="D1074" s="115" t="s">
        <v>150</v>
      </c>
      <c r="E1074" s="115" t="s">
        <v>151</v>
      </c>
      <c r="F1074" s="116">
        <v>10</v>
      </c>
      <c r="G1074" s="116">
        <v>0</v>
      </c>
      <c r="H1074" s="117">
        <f t="shared" si="32"/>
        <v>0</v>
      </c>
      <c r="I1074" s="118" t="str">
        <f t="shared" si="33"/>
        <v>AR</v>
      </c>
    </row>
    <row r="1075" spans="1:9" x14ac:dyDescent="0.3">
      <c r="A1075" s="115" t="s">
        <v>363</v>
      </c>
      <c r="B1075" s="115" t="s">
        <v>367</v>
      </c>
      <c r="C1075" s="115" t="s">
        <v>45</v>
      </c>
      <c r="D1075" s="115" t="s">
        <v>150</v>
      </c>
      <c r="E1075" s="115" t="s">
        <v>151</v>
      </c>
      <c r="F1075" s="116">
        <v>20</v>
      </c>
      <c r="G1075" s="116">
        <v>0</v>
      </c>
      <c r="H1075" s="117">
        <f t="shared" si="32"/>
        <v>0</v>
      </c>
      <c r="I1075" s="118" t="str">
        <f t="shared" si="33"/>
        <v>AR</v>
      </c>
    </row>
    <row r="1076" spans="1:9" x14ac:dyDescent="0.3">
      <c r="A1076" s="115" t="s">
        <v>363</v>
      </c>
      <c r="B1076" s="115" t="s">
        <v>367</v>
      </c>
      <c r="C1076" s="115" t="s">
        <v>45</v>
      </c>
      <c r="D1076" s="115" t="s">
        <v>150</v>
      </c>
      <c r="E1076" s="115" t="s">
        <v>151</v>
      </c>
      <c r="F1076" s="116">
        <v>5</v>
      </c>
      <c r="G1076" s="116">
        <v>0</v>
      </c>
      <c r="H1076" s="117">
        <f t="shared" si="32"/>
        <v>0</v>
      </c>
      <c r="I1076" s="118" t="str">
        <f t="shared" si="33"/>
        <v>AR</v>
      </c>
    </row>
    <row r="1077" spans="1:9" x14ac:dyDescent="0.3">
      <c r="A1077" s="115" t="s">
        <v>363</v>
      </c>
      <c r="B1077" s="115" t="s">
        <v>367</v>
      </c>
      <c r="C1077" s="115" t="s">
        <v>45</v>
      </c>
      <c r="D1077" s="115" t="s">
        <v>150</v>
      </c>
      <c r="E1077" s="115" t="s">
        <v>151</v>
      </c>
      <c r="F1077" s="116">
        <v>5</v>
      </c>
      <c r="G1077" s="116">
        <v>0</v>
      </c>
      <c r="H1077" s="117">
        <f t="shared" si="32"/>
        <v>0</v>
      </c>
      <c r="I1077" s="118" t="str">
        <f t="shared" si="33"/>
        <v>AR</v>
      </c>
    </row>
    <row r="1078" spans="1:9" x14ac:dyDescent="0.3">
      <c r="A1078" s="115" t="s">
        <v>363</v>
      </c>
      <c r="B1078" s="115" t="s">
        <v>367</v>
      </c>
      <c r="C1078" s="115" t="s">
        <v>45</v>
      </c>
      <c r="D1078" s="115" t="s">
        <v>150</v>
      </c>
      <c r="E1078" s="115" t="s">
        <v>151</v>
      </c>
      <c r="F1078" s="116">
        <v>9</v>
      </c>
      <c r="G1078" s="116">
        <v>0</v>
      </c>
      <c r="H1078" s="117">
        <f t="shared" si="32"/>
        <v>0</v>
      </c>
      <c r="I1078" s="118" t="str">
        <f t="shared" si="33"/>
        <v>AR</v>
      </c>
    </row>
    <row r="1079" spans="1:9" x14ac:dyDescent="0.3">
      <c r="A1079" s="115" t="s">
        <v>363</v>
      </c>
      <c r="B1079" s="115" t="s">
        <v>367</v>
      </c>
      <c r="C1079" s="115" t="s">
        <v>45</v>
      </c>
      <c r="D1079" s="115" t="s">
        <v>127</v>
      </c>
      <c r="E1079" s="115" t="s">
        <v>137</v>
      </c>
      <c r="F1079" s="116">
        <v>9535</v>
      </c>
      <c r="G1079" s="116">
        <v>47</v>
      </c>
      <c r="H1079" s="117">
        <f t="shared" si="32"/>
        <v>4.9292081803880439E-3</v>
      </c>
      <c r="I1079" s="118" t="str">
        <f t="shared" si="33"/>
        <v>AR</v>
      </c>
    </row>
    <row r="1080" spans="1:9" x14ac:dyDescent="0.3">
      <c r="A1080" s="115" t="s">
        <v>363</v>
      </c>
      <c r="B1080" s="115" t="s">
        <v>367</v>
      </c>
      <c r="C1080" s="115" t="s">
        <v>45</v>
      </c>
      <c r="D1080" s="115" t="s">
        <v>127</v>
      </c>
      <c r="E1080" s="115" t="s">
        <v>137</v>
      </c>
      <c r="F1080" s="116">
        <v>28873</v>
      </c>
      <c r="G1080" s="116">
        <v>66</v>
      </c>
      <c r="H1080" s="117">
        <f t="shared" si="32"/>
        <v>2.2858726145533891E-3</v>
      </c>
      <c r="I1080" s="118" t="str">
        <f t="shared" si="33"/>
        <v>AR</v>
      </c>
    </row>
    <row r="1081" spans="1:9" x14ac:dyDescent="0.3">
      <c r="A1081" s="115" t="s">
        <v>363</v>
      </c>
      <c r="B1081" s="115" t="s">
        <v>367</v>
      </c>
      <c r="C1081" s="115" t="s">
        <v>45</v>
      </c>
      <c r="D1081" s="115" t="s">
        <v>127</v>
      </c>
      <c r="E1081" s="115" t="s">
        <v>137</v>
      </c>
      <c r="F1081" s="116">
        <v>29658</v>
      </c>
      <c r="G1081" s="116">
        <v>70</v>
      </c>
      <c r="H1081" s="117">
        <f t="shared" si="32"/>
        <v>2.3602400701328479E-3</v>
      </c>
      <c r="I1081" s="118" t="str">
        <f t="shared" si="33"/>
        <v>AR</v>
      </c>
    </row>
    <row r="1082" spans="1:9" x14ac:dyDescent="0.3">
      <c r="A1082" s="115" t="s">
        <v>363</v>
      </c>
      <c r="B1082" s="115" t="s">
        <v>367</v>
      </c>
      <c r="C1082" s="115" t="s">
        <v>45</v>
      </c>
      <c r="D1082" s="115" t="s">
        <v>127</v>
      </c>
      <c r="E1082" s="115" t="s">
        <v>137</v>
      </c>
      <c r="F1082" s="116">
        <v>54702</v>
      </c>
      <c r="G1082" s="116">
        <v>69</v>
      </c>
      <c r="H1082" s="117">
        <f t="shared" si="32"/>
        <v>1.2613798398596028E-3</v>
      </c>
      <c r="I1082" s="118" t="str">
        <f t="shared" si="33"/>
        <v>AR</v>
      </c>
    </row>
    <row r="1083" spans="1:9" x14ac:dyDescent="0.3">
      <c r="A1083" s="115" t="s">
        <v>363</v>
      </c>
      <c r="B1083" s="115" t="s">
        <v>367</v>
      </c>
      <c r="C1083" s="115" t="s">
        <v>45</v>
      </c>
      <c r="D1083" s="115" t="s">
        <v>127</v>
      </c>
      <c r="E1083" s="115" t="s">
        <v>137</v>
      </c>
      <c r="F1083" s="116">
        <v>20946</v>
      </c>
      <c r="G1083" s="116">
        <v>16</v>
      </c>
      <c r="H1083" s="117">
        <f t="shared" si="32"/>
        <v>7.6386899646710589E-4</v>
      </c>
      <c r="I1083" s="118" t="str">
        <f t="shared" si="33"/>
        <v>AR</v>
      </c>
    </row>
    <row r="1084" spans="1:9" x14ac:dyDescent="0.3">
      <c r="A1084" s="115" t="s">
        <v>363</v>
      </c>
      <c r="B1084" s="115" t="s">
        <v>368</v>
      </c>
      <c r="C1084" s="115" t="s">
        <v>44</v>
      </c>
      <c r="D1084" s="115" t="s">
        <v>127</v>
      </c>
      <c r="E1084" s="115" t="s">
        <v>128</v>
      </c>
      <c r="F1084" s="116">
        <v>2</v>
      </c>
      <c r="G1084" s="116">
        <v>0</v>
      </c>
      <c r="H1084" s="117">
        <f t="shared" si="32"/>
        <v>0</v>
      </c>
      <c r="I1084" s="118" t="str">
        <f t="shared" si="33"/>
        <v>AR</v>
      </c>
    </row>
    <row r="1085" spans="1:9" x14ac:dyDescent="0.3">
      <c r="A1085" s="115" t="s">
        <v>369</v>
      </c>
      <c r="B1085" s="115" t="s">
        <v>370</v>
      </c>
      <c r="C1085" s="115" t="s">
        <v>44</v>
      </c>
      <c r="D1085" s="115" t="s">
        <v>150</v>
      </c>
      <c r="E1085" s="115" t="s">
        <v>151</v>
      </c>
      <c r="F1085" s="116">
        <v>4</v>
      </c>
      <c r="G1085" s="116">
        <v>0</v>
      </c>
      <c r="H1085" s="117">
        <f t="shared" si="32"/>
        <v>0</v>
      </c>
      <c r="I1085" s="118" t="str">
        <f t="shared" si="33"/>
        <v>AR</v>
      </c>
    </row>
    <row r="1086" spans="1:9" x14ac:dyDescent="0.3">
      <c r="A1086" s="115" t="s">
        <v>369</v>
      </c>
      <c r="B1086" s="115" t="s">
        <v>370</v>
      </c>
      <c r="C1086" s="115" t="s">
        <v>44</v>
      </c>
      <c r="D1086" s="115" t="s">
        <v>150</v>
      </c>
      <c r="E1086" s="115" t="s">
        <v>151</v>
      </c>
      <c r="F1086" s="116">
        <v>4</v>
      </c>
      <c r="G1086" s="116">
        <v>0</v>
      </c>
      <c r="H1086" s="117">
        <f t="shared" si="32"/>
        <v>0</v>
      </c>
      <c r="I1086" s="118" t="str">
        <f t="shared" si="33"/>
        <v>AR</v>
      </c>
    </row>
    <row r="1087" spans="1:9" x14ac:dyDescent="0.3">
      <c r="A1087" s="115" t="s">
        <v>369</v>
      </c>
      <c r="B1087" s="115" t="s">
        <v>370</v>
      </c>
      <c r="C1087" s="115" t="s">
        <v>44</v>
      </c>
      <c r="D1087" s="115" t="s">
        <v>150</v>
      </c>
      <c r="E1087" s="115" t="s">
        <v>151</v>
      </c>
      <c r="F1087" s="116">
        <v>5</v>
      </c>
      <c r="G1087" s="116">
        <v>0</v>
      </c>
      <c r="H1087" s="117">
        <f t="shared" si="32"/>
        <v>0</v>
      </c>
      <c r="I1087" s="118" t="str">
        <f t="shared" si="33"/>
        <v>AR</v>
      </c>
    </row>
    <row r="1088" spans="1:9" x14ac:dyDescent="0.3">
      <c r="A1088" s="115" t="s">
        <v>369</v>
      </c>
      <c r="B1088" s="115" t="s">
        <v>370</v>
      </c>
      <c r="C1088" s="115" t="s">
        <v>44</v>
      </c>
      <c r="D1088" s="115" t="s">
        <v>150</v>
      </c>
      <c r="E1088" s="115" t="s">
        <v>151</v>
      </c>
      <c r="F1088" s="116">
        <v>12</v>
      </c>
      <c r="G1088" s="116">
        <v>0</v>
      </c>
      <c r="H1088" s="117">
        <f t="shared" si="32"/>
        <v>0</v>
      </c>
      <c r="I1088" s="118" t="str">
        <f t="shared" si="33"/>
        <v>AR</v>
      </c>
    </row>
    <row r="1089" spans="1:9" x14ac:dyDescent="0.3">
      <c r="A1089" s="115" t="s">
        <v>369</v>
      </c>
      <c r="B1089" s="115" t="s">
        <v>370</v>
      </c>
      <c r="C1089" s="115" t="s">
        <v>44</v>
      </c>
      <c r="D1089" s="115" t="s">
        <v>150</v>
      </c>
      <c r="E1089" s="115" t="s">
        <v>151</v>
      </c>
      <c r="F1089" s="116">
        <v>6</v>
      </c>
      <c r="G1089" s="116">
        <v>0</v>
      </c>
      <c r="H1089" s="117">
        <f t="shared" si="32"/>
        <v>0</v>
      </c>
      <c r="I1089" s="118" t="str">
        <f t="shared" si="33"/>
        <v>AR</v>
      </c>
    </row>
    <row r="1090" spans="1:9" x14ac:dyDescent="0.3">
      <c r="A1090" s="115" t="s">
        <v>369</v>
      </c>
      <c r="B1090" s="115" t="s">
        <v>370</v>
      </c>
      <c r="C1090" s="115" t="s">
        <v>44</v>
      </c>
      <c r="D1090" s="115" t="s">
        <v>127</v>
      </c>
      <c r="E1090" s="115" t="s">
        <v>137</v>
      </c>
      <c r="F1090" s="116">
        <v>72026</v>
      </c>
      <c r="G1090" s="116">
        <v>162</v>
      </c>
      <c r="H1090" s="117">
        <f t="shared" si="32"/>
        <v>2.249187793296865E-3</v>
      </c>
      <c r="I1090" s="118" t="str">
        <f t="shared" si="33"/>
        <v>AR</v>
      </c>
    </row>
    <row r="1091" spans="1:9" x14ac:dyDescent="0.3">
      <c r="A1091" s="115" t="s">
        <v>369</v>
      </c>
      <c r="B1091" s="115" t="s">
        <v>370</v>
      </c>
      <c r="C1091" s="115" t="s">
        <v>44</v>
      </c>
      <c r="D1091" s="115" t="s">
        <v>127</v>
      </c>
      <c r="E1091" s="115" t="s">
        <v>137</v>
      </c>
      <c r="F1091" s="116">
        <v>113887</v>
      </c>
      <c r="G1091" s="116">
        <v>267</v>
      </c>
      <c r="H1091" s="117">
        <f t="shared" ref="H1091:H1103" si="34">G1091/F1091</f>
        <v>2.3444291271172302E-3</v>
      </c>
      <c r="I1091" s="118" t="str">
        <f t="shared" ref="I1091:I1103" si="35">RIGHT(B1091,2)</f>
        <v>AR</v>
      </c>
    </row>
    <row r="1092" spans="1:9" x14ac:dyDescent="0.3">
      <c r="A1092" s="115" t="s">
        <v>369</v>
      </c>
      <c r="B1092" s="115" t="s">
        <v>370</v>
      </c>
      <c r="C1092" s="115" t="s">
        <v>44</v>
      </c>
      <c r="D1092" s="115" t="s">
        <v>127</v>
      </c>
      <c r="E1092" s="115" t="s">
        <v>137</v>
      </c>
      <c r="F1092" s="116">
        <v>102425</v>
      </c>
      <c r="G1092" s="116">
        <v>212</v>
      </c>
      <c r="H1092" s="117">
        <f t="shared" si="34"/>
        <v>2.069807175982426E-3</v>
      </c>
      <c r="I1092" s="118" t="str">
        <f t="shared" si="35"/>
        <v>AR</v>
      </c>
    </row>
    <row r="1093" spans="1:9" x14ac:dyDescent="0.3">
      <c r="A1093" s="115" t="s">
        <v>369</v>
      </c>
      <c r="B1093" s="115" t="s">
        <v>370</v>
      </c>
      <c r="C1093" s="115" t="s">
        <v>44</v>
      </c>
      <c r="D1093" s="115" t="s">
        <v>127</v>
      </c>
      <c r="E1093" s="115" t="s">
        <v>137</v>
      </c>
      <c r="F1093" s="116">
        <v>72624</v>
      </c>
      <c r="G1093" s="116">
        <v>169</v>
      </c>
      <c r="H1093" s="117">
        <f t="shared" si="34"/>
        <v>2.3270544172725271E-3</v>
      </c>
      <c r="I1093" s="118" t="str">
        <f t="shared" si="35"/>
        <v>AR</v>
      </c>
    </row>
    <row r="1094" spans="1:9" x14ac:dyDescent="0.3">
      <c r="A1094" s="115" t="s">
        <v>369</v>
      </c>
      <c r="B1094" s="115" t="s">
        <v>370</v>
      </c>
      <c r="C1094" s="115" t="s">
        <v>44</v>
      </c>
      <c r="D1094" s="115" t="s">
        <v>127</v>
      </c>
      <c r="E1094" s="115" t="s">
        <v>137</v>
      </c>
      <c r="F1094" s="116">
        <v>39908</v>
      </c>
      <c r="G1094" s="116">
        <v>85</v>
      </c>
      <c r="H1094" s="117">
        <f t="shared" si="34"/>
        <v>2.1298987671644785E-3</v>
      </c>
      <c r="I1094" s="118" t="str">
        <f t="shared" si="35"/>
        <v>AR</v>
      </c>
    </row>
    <row r="1095" spans="1:9" x14ac:dyDescent="0.3">
      <c r="A1095" s="115" t="s">
        <v>369</v>
      </c>
      <c r="B1095" s="115" t="s">
        <v>371</v>
      </c>
      <c r="C1095" s="115" t="s">
        <v>45</v>
      </c>
      <c r="D1095" s="115" t="s">
        <v>150</v>
      </c>
      <c r="E1095" s="115" t="s">
        <v>151</v>
      </c>
      <c r="F1095" s="116">
        <v>4</v>
      </c>
      <c r="G1095" s="116">
        <v>0</v>
      </c>
      <c r="H1095" s="117">
        <f t="shared" si="34"/>
        <v>0</v>
      </c>
      <c r="I1095" s="118" t="str">
        <f t="shared" si="35"/>
        <v>AR</v>
      </c>
    </row>
    <row r="1096" spans="1:9" x14ac:dyDescent="0.3">
      <c r="A1096" s="115" t="s">
        <v>369</v>
      </c>
      <c r="B1096" s="115" t="s">
        <v>371</v>
      </c>
      <c r="C1096" s="115" t="s">
        <v>45</v>
      </c>
      <c r="D1096" s="115" t="s">
        <v>150</v>
      </c>
      <c r="E1096" s="115" t="s">
        <v>151</v>
      </c>
      <c r="F1096" s="116">
        <v>2</v>
      </c>
      <c r="G1096" s="116">
        <v>0</v>
      </c>
      <c r="H1096" s="117">
        <f t="shared" si="34"/>
        <v>0</v>
      </c>
      <c r="I1096" s="118" t="str">
        <f t="shared" si="35"/>
        <v>AR</v>
      </c>
    </row>
    <row r="1097" spans="1:9" x14ac:dyDescent="0.3">
      <c r="A1097" s="115" t="s">
        <v>369</v>
      </c>
      <c r="B1097" s="115" t="s">
        <v>371</v>
      </c>
      <c r="C1097" s="115" t="s">
        <v>45</v>
      </c>
      <c r="D1097" s="115" t="s">
        <v>150</v>
      </c>
      <c r="E1097" s="115" t="s">
        <v>151</v>
      </c>
      <c r="F1097" s="116">
        <v>7</v>
      </c>
      <c r="G1097" s="116">
        <v>0</v>
      </c>
      <c r="H1097" s="117">
        <f t="shared" si="34"/>
        <v>0</v>
      </c>
      <c r="I1097" s="118" t="str">
        <f t="shared" si="35"/>
        <v>AR</v>
      </c>
    </row>
    <row r="1098" spans="1:9" x14ac:dyDescent="0.3">
      <c r="A1098" s="115" t="s">
        <v>369</v>
      </c>
      <c r="B1098" s="115" t="s">
        <v>371</v>
      </c>
      <c r="C1098" s="115" t="s">
        <v>45</v>
      </c>
      <c r="D1098" s="115" t="s">
        <v>150</v>
      </c>
      <c r="E1098" s="115" t="s">
        <v>151</v>
      </c>
      <c r="F1098" s="116">
        <v>3</v>
      </c>
      <c r="G1098" s="116">
        <v>0</v>
      </c>
      <c r="H1098" s="117">
        <f t="shared" si="34"/>
        <v>0</v>
      </c>
      <c r="I1098" s="118" t="str">
        <f t="shared" si="35"/>
        <v>AR</v>
      </c>
    </row>
    <row r="1099" spans="1:9" x14ac:dyDescent="0.3">
      <c r="A1099" s="115" t="s">
        <v>369</v>
      </c>
      <c r="B1099" s="115" t="s">
        <v>371</v>
      </c>
      <c r="C1099" s="115" t="s">
        <v>45</v>
      </c>
      <c r="D1099" s="115" t="s">
        <v>127</v>
      </c>
      <c r="E1099" s="115" t="s">
        <v>134</v>
      </c>
      <c r="F1099" s="116">
        <v>76574</v>
      </c>
      <c r="G1099" s="116">
        <v>98</v>
      </c>
      <c r="H1099" s="117">
        <f t="shared" si="34"/>
        <v>1.2798077676495938E-3</v>
      </c>
      <c r="I1099" s="118" t="str">
        <f t="shared" si="35"/>
        <v>AR</v>
      </c>
    </row>
    <row r="1100" spans="1:9" x14ac:dyDescent="0.3">
      <c r="A1100" s="115" t="s">
        <v>369</v>
      </c>
      <c r="B1100" s="115" t="s">
        <v>371</v>
      </c>
      <c r="C1100" s="115" t="s">
        <v>45</v>
      </c>
      <c r="D1100" s="115" t="s">
        <v>127</v>
      </c>
      <c r="E1100" s="115" t="s">
        <v>134</v>
      </c>
      <c r="F1100" s="116">
        <v>127244</v>
      </c>
      <c r="G1100" s="116">
        <v>141</v>
      </c>
      <c r="H1100" s="117">
        <f t="shared" si="34"/>
        <v>1.108107258495489E-3</v>
      </c>
      <c r="I1100" s="118" t="str">
        <f t="shared" si="35"/>
        <v>AR</v>
      </c>
    </row>
    <row r="1101" spans="1:9" x14ac:dyDescent="0.3">
      <c r="A1101" s="115" t="s">
        <v>369</v>
      </c>
      <c r="B1101" s="115" t="s">
        <v>371</v>
      </c>
      <c r="C1101" s="115" t="s">
        <v>45</v>
      </c>
      <c r="D1101" s="115" t="s">
        <v>127</v>
      </c>
      <c r="E1101" s="115" t="s">
        <v>134</v>
      </c>
      <c r="F1101" s="116">
        <v>110523</v>
      </c>
      <c r="G1101" s="116">
        <v>135</v>
      </c>
      <c r="H1101" s="117">
        <f t="shared" si="34"/>
        <v>1.2214652153850331E-3</v>
      </c>
      <c r="I1101" s="118" t="str">
        <f t="shared" si="35"/>
        <v>AR</v>
      </c>
    </row>
    <row r="1102" spans="1:9" x14ac:dyDescent="0.3">
      <c r="A1102" s="115" t="s">
        <v>369</v>
      </c>
      <c r="B1102" s="115" t="s">
        <v>371</v>
      </c>
      <c r="C1102" s="115" t="s">
        <v>45</v>
      </c>
      <c r="D1102" s="115" t="s">
        <v>127</v>
      </c>
      <c r="E1102" s="115" t="s">
        <v>134</v>
      </c>
      <c r="F1102" s="116">
        <v>83154</v>
      </c>
      <c r="G1102" s="116">
        <v>92</v>
      </c>
      <c r="H1102" s="117">
        <f t="shared" si="34"/>
        <v>1.1063809317651586E-3</v>
      </c>
      <c r="I1102" s="118" t="str">
        <f t="shared" si="35"/>
        <v>AR</v>
      </c>
    </row>
    <row r="1103" spans="1:9" x14ac:dyDescent="0.3">
      <c r="A1103" s="115" t="s">
        <v>369</v>
      </c>
      <c r="B1103" s="115" t="s">
        <v>371</v>
      </c>
      <c r="C1103" s="115" t="s">
        <v>45</v>
      </c>
      <c r="D1103" s="115" t="s">
        <v>127</v>
      </c>
      <c r="E1103" s="115" t="s">
        <v>134</v>
      </c>
      <c r="F1103" s="116">
        <v>27847</v>
      </c>
      <c r="G1103" s="116">
        <v>43</v>
      </c>
      <c r="H1103" s="117">
        <f t="shared" si="34"/>
        <v>1.5441519732825799E-3</v>
      </c>
      <c r="I1103" s="118" t="str">
        <f t="shared" si="35"/>
        <v>AR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9"/>
  <sheetViews>
    <sheetView showGridLines="0" workbookViewId="0">
      <selection activeCell="E11" sqref="E11"/>
    </sheetView>
  </sheetViews>
  <sheetFormatPr defaultColWidth="9.109375" defaultRowHeight="13.8" x14ac:dyDescent="0.3"/>
  <cols>
    <col min="1" max="1" width="4.5546875" style="77" customWidth="1"/>
    <col min="2" max="2" width="20" style="72" customWidth="1"/>
    <col min="3" max="3" width="13" style="72" customWidth="1"/>
    <col min="4" max="4" width="11.44140625" style="72" customWidth="1"/>
    <col min="5" max="5" width="16.33203125" style="72" customWidth="1"/>
    <col min="6" max="6" width="9" style="72" customWidth="1"/>
    <col min="7" max="7" width="26.5546875" style="72" customWidth="1"/>
    <col min="8" max="8" width="22.6640625" style="72" bestFit="1" customWidth="1"/>
    <col min="9" max="9" width="17.33203125" style="72" customWidth="1"/>
    <col min="10" max="10" width="16.33203125" style="72" customWidth="1"/>
    <col min="11" max="11" width="14.6640625" style="72" customWidth="1"/>
    <col min="12" max="16384" width="9.109375" style="72"/>
  </cols>
  <sheetData>
    <row r="1" spans="1:11" ht="12.75" x14ac:dyDescent="0.2">
      <c r="A1" s="77">
        <f>COUNT(E:E)</f>
        <v>5</v>
      </c>
      <c r="B1" s="90"/>
      <c r="C1" s="77"/>
      <c r="D1" s="77"/>
    </row>
    <row r="2" spans="1:11" ht="12.75" x14ac:dyDescent="0.2">
      <c r="B2" s="90"/>
      <c r="C2" s="77"/>
      <c r="D2" s="77"/>
    </row>
    <row r="4" spans="1:11" ht="18" customHeight="1" x14ac:dyDescent="0.2">
      <c r="B4" s="31" t="s">
        <v>60</v>
      </c>
      <c r="C4" s="32"/>
      <c r="D4" s="32"/>
      <c r="E4" s="32"/>
      <c r="F4" s="32"/>
      <c r="G4" s="32"/>
      <c r="H4" s="32"/>
      <c r="I4" s="83" t="s">
        <v>25</v>
      </c>
      <c r="J4" s="84">
        <f>'Campaign Summary'!J4</f>
        <v>0</v>
      </c>
      <c r="K4" s="33"/>
    </row>
    <row r="5" spans="1:11" ht="18" customHeight="1" x14ac:dyDescent="0.2">
      <c r="B5" s="34" t="s">
        <v>61</v>
      </c>
      <c r="C5" s="35"/>
      <c r="D5" s="35"/>
      <c r="E5" s="35"/>
      <c r="F5" s="35"/>
      <c r="G5" s="35"/>
      <c r="H5" s="35"/>
      <c r="I5" s="85" t="s">
        <v>26</v>
      </c>
      <c r="J5" s="86">
        <f>'Campaign Summary'!J5</f>
        <v>0</v>
      </c>
      <c r="K5" s="36"/>
    </row>
    <row r="6" spans="1:11" ht="16.2" customHeight="1" x14ac:dyDescent="0.2"/>
    <row r="7" spans="1:11" ht="16.2" customHeight="1" x14ac:dyDescent="0.25">
      <c r="B7" s="80" t="s">
        <v>76</v>
      </c>
    </row>
    <row r="8" spans="1:11" ht="10.5" customHeight="1" x14ac:dyDescent="0.2"/>
    <row r="9" spans="1:11" ht="12.75" hidden="1" x14ac:dyDescent="0.2">
      <c r="B9" s="135"/>
      <c r="C9" s="136" t="s">
        <v>65</v>
      </c>
      <c r="D9" s="135"/>
      <c r="E9" s="135"/>
    </row>
    <row r="10" spans="1:11" ht="17.25" x14ac:dyDescent="0.3">
      <c r="A10" s="99"/>
      <c r="B10" s="140" t="s">
        <v>62</v>
      </c>
      <c r="C10" s="138" t="s">
        <v>69</v>
      </c>
      <c r="D10" s="138" t="s">
        <v>70</v>
      </c>
      <c r="E10" s="138" t="s">
        <v>66</v>
      </c>
      <c r="G10" s="81" t="s">
        <v>22</v>
      </c>
    </row>
    <row r="11" spans="1:11" ht="17.399999999999999" x14ac:dyDescent="0.35">
      <c r="A11" s="99"/>
      <c r="B11" s="107" t="s">
        <v>63</v>
      </c>
      <c r="C11" s="105">
        <v>75988</v>
      </c>
      <c r="D11" s="105">
        <v>114</v>
      </c>
      <c r="E11" s="106">
        <v>1.5002368795072906E-3</v>
      </c>
      <c r="G11" s="181">
        <f ca="1">MAX(OFFSET(E11,0,0,$A$1-1,1))</f>
        <v>1.6712468620417183E-3</v>
      </c>
    </row>
    <row r="12" spans="1:11" ht="17.399999999999999" x14ac:dyDescent="0.35">
      <c r="A12" s="99"/>
      <c r="B12" s="107" t="s">
        <v>553</v>
      </c>
      <c r="C12" s="105">
        <v>65254</v>
      </c>
      <c r="D12" s="105">
        <v>64</v>
      </c>
      <c r="E12" s="106">
        <v>9.8078278726208357E-4</v>
      </c>
      <c r="G12" s="182"/>
    </row>
    <row r="13" spans="1:11" ht="17.399999999999999" x14ac:dyDescent="0.35">
      <c r="A13" s="99"/>
      <c r="B13" s="107" t="s">
        <v>551</v>
      </c>
      <c r="C13" s="105">
        <v>1859091</v>
      </c>
      <c r="D13" s="105">
        <v>3107</v>
      </c>
      <c r="E13" s="106">
        <v>1.6712468620417183E-3</v>
      </c>
      <c r="G13" s="182"/>
    </row>
    <row r="14" spans="1:11" ht="17.399999999999999" x14ac:dyDescent="0.35">
      <c r="A14" s="99"/>
      <c r="B14" s="107" t="s">
        <v>552</v>
      </c>
      <c r="C14" s="105">
        <v>980507</v>
      </c>
      <c r="D14" s="105">
        <v>954</v>
      </c>
      <c r="E14" s="106">
        <v>9.7296602675962535E-4</v>
      </c>
      <c r="G14" s="182"/>
    </row>
    <row r="15" spans="1:11" ht="17.399999999999999" x14ac:dyDescent="0.35">
      <c r="A15" s="99"/>
      <c r="B15" s="107" t="s">
        <v>1</v>
      </c>
      <c r="C15" s="105">
        <v>2980840</v>
      </c>
      <c r="D15" s="105">
        <v>4239</v>
      </c>
      <c r="E15" s="106">
        <v>1.4220823660444706E-3</v>
      </c>
      <c r="G15" s="183" t="str">
        <f ca="1">INDEX(B:B,MATCH(MAX(OFFSET(E11,0,0,$A$1-1,1)),E:E,0),1) &amp;" Market has generated highest CTR%"</f>
        <v>Saudi Arabia Market has generated highest CTR%</v>
      </c>
    </row>
    <row r="16" spans="1:11" ht="17.100000000000001" customHeight="1" x14ac:dyDescent="0.35">
      <c r="A16" s="99"/>
      <c r="B16"/>
      <c r="C16"/>
      <c r="D16"/>
      <c r="E16"/>
      <c r="G16" s="183"/>
    </row>
    <row r="17" spans="1:7" ht="17.100000000000001" customHeight="1" x14ac:dyDescent="0.35">
      <c r="A17" s="99"/>
      <c r="B17"/>
      <c r="C17"/>
      <c r="D17"/>
      <c r="E17"/>
      <c r="G17" s="183"/>
    </row>
    <row r="18" spans="1:7" ht="17.100000000000001" customHeight="1" x14ac:dyDescent="0.3">
      <c r="A18" s="99"/>
      <c r="B18"/>
      <c r="C18"/>
      <c r="D18"/>
      <c r="E18"/>
    </row>
    <row r="19" spans="1:7" ht="17.100000000000001" customHeight="1" x14ac:dyDescent="0.3">
      <c r="A19" s="99"/>
      <c r="B19" s="88"/>
      <c r="C19" s="9"/>
      <c r="D19" s="9"/>
      <c r="E19" s="9"/>
    </row>
    <row r="20" spans="1:7" ht="17.100000000000001" customHeight="1" x14ac:dyDescent="0.3">
      <c r="A20" s="99"/>
      <c r="B20" s="89"/>
    </row>
    <row r="21" spans="1:7" ht="17.100000000000001" customHeight="1" x14ac:dyDescent="0.3">
      <c r="A21" s="99"/>
      <c r="B21" s="89"/>
    </row>
    <row r="22" spans="1:7" ht="17.100000000000001" customHeight="1" x14ac:dyDescent="0.3">
      <c r="A22" s="99"/>
    </row>
    <row r="23" spans="1:7" ht="17.100000000000001" customHeight="1" x14ac:dyDescent="0.3">
      <c r="A23" s="99"/>
    </row>
    <row r="24" spans="1:7" ht="17.100000000000001" customHeight="1" x14ac:dyDescent="0.3">
      <c r="A24" s="99"/>
    </row>
    <row r="25" spans="1:7" ht="17.100000000000001" customHeight="1" x14ac:dyDescent="0.3">
      <c r="A25" s="99"/>
    </row>
    <row r="26" spans="1:7" ht="17.100000000000001" customHeight="1" x14ac:dyDescent="0.3">
      <c r="A26" s="99"/>
    </row>
    <row r="27" spans="1:7" ht="17.100000000000001" customHeight="1" x14ac:dyDescent="0.3">
      <c r="A27" s="99"/>
    </row>
    <row r="28" spans="1:7" ht="17.100000000000001" customHeight="1" x14ac:dyDescent="0.3">
      <c r="A28" s="99"/>
    </row>
    <row r="29" spans="1:7" ht="17.25" x14ac:dyDescent="0.3">
      <c r="A29" s="99"/>
    </row>
    <row r="30" spans="1:7" ht="17.25" x14ac:dyDescent="0.3">
      <c r="A30" s="99"/>
    </row>
    <row r="31" spans="1:7" ht="17.399999999999999" x14ac:dyDescent="0.35">
      <c r="A31" s="99"/>
    </row>
    <row r="32" spans="1:7" ht="17.399999999999999" x14ac:dyDescent="0.35">
      <c r="A32" s="99"/>
    </row>
    <row r="33" spans="1:1" ht="17.399999999999999" x14ac:dyDescent="0.35">
      <c r="A33" s="99"/>
    </row>
    <row r="34" spans="1:1" ht="17.399999999999999" x14ac:dyDescent="0.35">
      <c r="A34" s="99"/>
    </row>
    <row r="35" spans="1:1" ht="17.399999999999999" x14ac:dyDescent="0.35">
      <c r="A35" s="99"/>
    </row>
    <row r="36" spans="1:1" ht="17.399999999999999" x14ac:dyDescent="0.35">
      <c r="A36" s="99"/>
    </row>
    <row r="37" spans="1:1" ht="17.399999999999999" x14ac:dyDescent="0.35">
      <c r="A37" s="99"/>
    </row>
    <row r="38" spans="1:1" ht="17.399999999999999" x14ac:dyDescent="0.35">
      <c r="A38" s="99"/>
    </row>
    <row r="39" spans="1:1" ht="17.399999999999999" x14ac:dyDescent="0.35">
      <c r="A39" s="99"/>
    </row>
  </sheetData>
  <mergeCells count="2">
    <mergeCell ref="G11:G14"/>
    <mergeCell ref="G15:G17"/>
  </mergeCells>
  <conditionalFormatting pivot="1" sqref="E11:E15">
    <cfRule type="iconSet" priority="1">
      <iconSet>
        <cfvo type="percent" val="0"/>
        <cfvo type="num" val="1.0499999999999999E-3"/>
        <cfvo type="num" val="1.0499999999999999E-3"/>
      </iconSet>
    </cfRule>
  </conditionalFormatting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showGridLines="0" workbookViewId="0">
      <selection sqref="A1:C11"/>
    </sheetView>
  </sheetViews>
  <sheetFormatPr defaultRowHeight="14.4" x14ac:dyDescent="0.3"/>
  <cols>
    <col min="1" max="1" width="28.44140625" customWidth="1"/>
    <col min="2" max="2" width="12.33203125" customWidth="1"/>
  </cols>
  <sheetData>
    <row r="1" spans="1:3" x14ac:dyDescent="0.25">
      <c r="A1" s="37" t="s">
        <v>62</v>
      </c>
      <c r="B1" s="37" t="s">
        <v>33</v>
      </c>
      <c r="C1" s="37" t="s">
        <v>0</v>
      </c>
    </row>
    <row r="2" spans="1:3" x14ac:dyDescent="0.25">
      <c r="A2" t="s">
        <v>551</v>
      </c>
      <c r="B2" s="38">
        <v>833891</v>
      </c>
      <c r="C2" s="38">
        <v>1354</v>
      </c>
    </row>
    <row r="3" spans="1:3" x14ac:dyDescent="0.25">
      <c r="A3" t="s">
        <v>552</v>
      </c>
      <c r="B3" s="38">
        <v>418377</v>
      </c>
      <c r="C3">
        <v>432</v>
      </c>
    </row>
    <row r="4" spans="1:3" x14ac:dyDescent="0.25">
      <c r="A4" t="s">
        <v>552</v>
      </c>
      <c r="B4" s="38">
        <v>381556</v>
      </c>
      <c r="C4">
        <v>230</v>
      </c>
    </row>
    <row r="5" spans="1:3" x14ac:dyDescent="0.25">
      <c r="A5" t="s">
        <v>551</v>
      </c>
      <c r="B5" s="38">
        <v>353442</v>
      </c>
      <c r="C5">
        <v>607</v>
      </c>
    </row>
    <row r="6" spans="1:3" x14ac:dyDescent="0.25">
      <c r="A6" t="s">
        <v>551</v>
      </c>
      <c r="B6" s="38">
        <v>327837</v>
      </c>
      <c r="C6">
        <v>408</v>
      </c>
    </row>
    <row r="7" spans="1:3" x14ac:dyDescent="0.25">
      <c r="A7" t="s">
        <v>552</v>
      </c>
      <c r="B7" s="38">
        <v>180574</v>
      </c>
      <c r="C7">
        <v>292</v>
      </c>
    </row>
    <row r="8" spans="1:3" x14ac:dyDescent="0.25">
      <c r="A8" t="s">
        <v>551</v>
      </c>
      <c r="B8" s="38">
        <v>177451</v>
      </c>
      <c r="C8">
        <v>332</v>
      </c>
    </row>
    <row r="9" spans="1:3" x14ac:dyDescent="0.25">
      <c r="A9" t="s">
        <v>551</v>
      </c>
      <c r="B9" s="38">
        <v>166470</v>
      </c>
      <c r="C9">
        <v>406</v>
      </c>
    </row>
    <row r="10" spans="1:3" x14ac:dyDescent="0.25">
      <c r="A10" t="s">
        <v>63</v>
      </c>
      <c r="B10" s="38">
        <v>75988</v>
      </c>
      <c r="C10">
        <v>114</v>
      </c>
    </row>
    <row r="11" spans="1:3" x14ac:dyDescent="0.25">
      <c r="A11" t="s">
        <v>553</v>
      </c>
      <c r="B11" s="38">
        <v>65254</v>
      </c>
      <c r="C11">
        <v>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80"/>
  <sheetViews>
    <sheetView showGridLines="0" zoomScaleNormal="100" workbookViewId="0"/>
  </sheetViews>
  <sheetFormatPr defaultRowHeight="14.4" x14ac:dyDescent="0.3"/>
  <cols>
    <col min="1" max="1" width="4.5546875" style="9" customWidth="1"/>
    <col min="2" max="2" width="21.6640625" style="9" customWidth="1"/>
    <col min="3" max="3" width="12.33203125" style="9" customWidth="1"/>
    <col min="4" max="4" width="22.5546875" style="9" bestFit="1" customWidth="1"/>
    <col min="5" max="5" width="14.44140625" style="9" bestFit="1" customWidth="1"/>
    <col min="6" max="6" width="27.33203125" style="9" customWidth="1"/>
    <col min="7" max="7" width="22.6640625" style="9" bestFit="1" customWidth="1"/>
    <col min="8" max="9" width="19.6640625" style="9" bestFit="1" customWidth="1"/>
    <col min="10" max="10" width="16.33203125" style="9" customWidth="1"/>
    <col min="11" max="11" width="16" style="9" customWidth="1"/>
    <col min="12" max="256" width="9.109375" style="9"/>
    <col min="257" max="257" width="4.5546875" style="9" customWidth="1"/>
    <col min="258" max="258" width="21.6640625" style="9" customWidth="1"/>
    <col min="259" max="259" width="12.33203125" style="9" customWidth="1"/>
    <col min="260" max="260" width="22.5546875" style="9" bestFit="1" customWidth="1"/>
    <col min="261" max="261" width="14.44140625" style="9" bestFit="1" customWidth="1"/>
    <col min="262" max="262" width="27.33203125" style="9" customWidth="1"/>
    <col min="263" max="263" width="22.6640625" style="9" bestFit="1" customWidth="1"/>
    <col min="264" max="265" width="19.6640625" style="9" bestFit="1" customWidth="1"/>
    <col min="266" max="266" width="16.33203125" style="9" customWidth="1"/>
    <col min="267" max="267" width="16" style="9" customWidth="1"/>
    <col min="268" max="512" width="9.109375" style="9"/>
    <col min="513" max="513" width="4.5546875" style="9" customWidth="1"/>
    <col min="514" max="514" width="21.6640625" style="9" customWidth="1"/>
    <col min="515" max="515" width="12.33203125" style="9" customWidth="1"/>
    <col min="516" max="516" width="22.5546875" style="9" bestFit="1" customWidth="1"/>
    <col min="517" max="517" width="14.44140625" style="9" bestFit="1" customWidth="1"/>
    <col min="518" max="518" width="27.33203125" style="9" customWidth="1"/>
    <col min="519" max="519" width="22.6640625" style="9" bestFit="1" customWidth="1"/>
    <col min="520" max="521" width="19.6640625" style="9" bestFit="1" customWidth="1"/>
    <col min="522" max="522" width="16.33203125" style="9" customWidth="1"/>
    <col min="523" max="523" width="16" style="9" customWidth="1"/>
    <col min="524" max="768" width="9.109375" style="9"/>
    <col min="769" max="769" width="4.5546875" style="9" customWidth="1"/>
    <col min="770" max="770" width="21.6640625" style="9" customWidth="1"/>
    <col min="771" max="771" width="12.33203125" style="9" customWidth="1"/>
    <col min="772" max="772" width="22.5546875" style="9" bestFit="1" customWidth="1"/>
    <col min="773" max="773" width="14.44140625" style="9" bestFit="1" customWidth="1"/>
    <col min="774" max="774" width="27.33203125" style="9" customWidth="1"/>
    <col min="775" max="775" width="22.6640625" style="9" bestFit="1" customWidth="1"/>
    <col min="776" max="777" width="19.6640625" style="9" bestFit="1" customWidth="1"/>
    <col min="778" max="778" width="16.33203125" style="9" customWidth="1"/>
    <col min="779" max="779" width="16" style="9" customWidth="1"/>
    <col min="780" max="1024" width="9.109375" style="9"/>
    <col min="1025" max="1025" width="4.5546875" style="9" customWidth="1"/>
    <col min="1026" max="1026" width="21.6640625" style="9" customWidth="1"/>
    <col min="1027" max="1027" width="12.33203125" style="9" customWidth="1"/>
    <col min="1028" max="1028" width="22.5546875" style="9" bestFit="1" customWidth="1"/>
    <col min="1029" max="1029" width="14.44140625" style="9" bestFit="1" customWidth="1"/>
    <col min="1030" max="1030" width="27.33203125" style="9" customWidth="1"/>
    <col min="1031" max="1031" width="22.6640625" style="9" bestFit="1" customWidth="1"/>
    <col min="1032" max="1033" width="19.6640625" style="9" bestFit="1" customWidth="1"/>
    <col min="1034" max="1034" width="16.33203125" style="9" customWidth="1"/>
    <col min="1035" max="1035" width="16" style="9" customWidth="1"/>
    <col min="1036" max="1280" width="9.109375" style="9"/>
    <col min="1281" max="1281" width="4.5546875" style="9" customWidth="1"/>
    <col min="1282" max="1282" width="21.6640625" style="9" customWidth="1"/>
    <col min="1283" max="1283" width="12.33203125" style="9" customWidth="1"/>
    <col min="1284" max="1284" width="22.5546875" style="9" bestFit="1" customWidth="1"/>
    <col min="1285" max="1285" width="14.44140625" style="9" bestFit="1" customWidth="1"/>
    <col min="1286" max="1286" width="27.33203125" style="9" customWidth="1"/>
    <col min="1287" max="1287" width="22.6640625" style="9" bestFit="1" customWidth="1"/>
    <col min="1288" max="1289" width="19.6640625" style="9" bestFit="1" customWidth="1"/>
    <col min="1290" max="1290" width="16.33203125" style="9" customWidth="1"/>
    <col min="1291" max="1291" width="16" style="9" customWidth="1"/>
    <col min="1292" max="1536" width="9.109375" style="9"/>
    <col min="1537" max="1537" width="4.5546875" style="9" customWidth="1"/>
    <col min="1538" max="1538" width="21.6640625" style="9" customWidth="1"/>
    <col min="1539" max="1539" width="12.33203125" style="9" customWidth="1"/>
    <col min="1540" max="1540" width="22.5546875" style="9" bestFit="1" customWidth="1"/>
    <col min="1541" max="1541" width="14.44140625" style="9" bestFit="1" customWidth="1"/>
    <col min="1542" max="1542" width="27.33203125" style="9" customWidth="1"/>
    <col min="1543" max="1543" width="22.6640625" style="9" bestFit="1" customWidth="1"/>
    <col min="1544" max="1545" width="19.6640625" style="9" bestFit="1" customWidth="1"/>
    <col min="1546" max="1546" width="16.33203125" style="9" customWidth="1"/>
    <col min="1547" max="1547" width="16" style="9" customWidth="1"/>
    <col min="1548" max="1792" width="9.109375" style="9"/>
    <col min="1793" max="1793" width="4.5546875" style="9" customWidth="1"/>
    <col min="1794" max="1794" width="21.6640625" style="9" customWidth="1"/>
    <col min="1795" max="1795" width="12.33203125" style="9" customWidth="1"/>
    <col min="1796" max="1796" width="22.5546875" style="9" bestFit="1" customWidth="1"/>
    <col min="1797" max="1797" width="14.44140625" style="9" bestFit="1" customWidth="1"/>
    <col min="1798" max="1798" width="27.33203125" style="9" customWidth="1"/>
    <col min="1799" max="1799" width="22.6640625" style="9" bestFit="1" customWidth="1"/>
    <col min="1800" max="1801" width="19.6640625" style="9" bestFit="1" customWidth="1"/>
    <col min="1802" max="1802" width="16.33203125" style="9" customWidth="1"/>
    <col min="1803" max="1803" width="16" style="9" customWidth="1"/>
    <col min="1804" max="2048" width="9.109375" style="9"/>
    <col min="2049" max="2049" width="4.5546875" style="9" customWidth="1"/>
    <col min="2050" max="2050" width="21.6640625" style="9" customWidth="1"/>
    <col min="2051" max="2051" width="12.33203125" style="9" customWidth="1"/>
    <col min="2052" max="2052" width="22.5546875" style="9" bestFit="1" customWidth="1"/>
    <col min="2053" max="2053" width="14.44140625" style="9" bestFit="1" customWidth="1"/>
    <col min="2054" max="2054" width="27.33203125" style="9" customWidth="1"/>
    <col min="2055" max="2055" width="22.6640625" style="9" bestFit="1" customWidth="1"/>
    <col min="2056" max="2057" width="19.6640625" style="9" bestFit="1" customWidth="1"/>
    <col min="2058" max="2058" width="16.33203125" style="9" customWidth="1"/>
    <col min="2059" max="2059" width="16" style="9" customWidth="1"/>
    <col min="2060" max="2304" width="9.109375" style="9"/>
    <col min="2305" max="2305" width="4.5546875" style="9" customWidth="1"/>
    <col min="2306" max="2306" width="21.6640625" style="9" customWidth="1"/>
    <col min="2307" max="2307" width="12.33203125" style="9" customWidth="1"/>
    <col min="2308" max="2308" width="22.5546875" style="9" bestFit="1" customWidth="1"/>
    <col min="2309" max="2309" width="14.44140625" style="9" bestFit="1" customWidth="1"/>
    <col min="2310" max="2310" width="27.33203125" style="9" customWidth="1"/>
    <col min="2311" max="2311" width="22.6640625" style="9" bestFit="1" customWidth="1"/>
    <col min="2312" max="2313" width="19.6640625" style="9" bestFit="1" customWidth="1"/>
    <col min="2314" max="2314" width="16.33203125" style="9" customWidth="1"/>
    <col min="2315" max="2315" width="16" style="9" customWidth="1"/>
    <col min="2316" max="2560" width="9.109375" style="9"/>
    <col min="2561" max="2561" width="4.5546875" style="9" customWidth="1"/>
    <col min="2562" max="2562" width="21.6640625" style="9" customWidth="1"/>
    <col min="2563" max="2563" width="12.33203125" style="9" customWidth="1"/>
    <col min="2564" max="2564" width="22.5546875" style="9" bestFit="1" customWidth="1"/>
    <col min="2565" max="2565" width="14.44140625" style="9" bestFit="1" customWidth="1"/>
    <col min="2566" max="2566" width="27.33203125" style="9" customWidth="1"/>
    <col min="2567" max="2567" width="22.6640625" style="9" bestFit="1" customWidth="1"/>
    <col min="2568" max="2569" width="19.6640625" style="9" bestFit="1" customWidth="1"/>
    <col min="2570" max="2570" width="16.33203125" style="9" customWidth="1"/>
    <col min="2571" max="2571" width="16" style="9" customWidth="1"/>
    <col min="2572" max="2816" width="9.109375" style="9"/>
    <col min="2817" max="2817" width="4.5546875" style="9" customWidth="1"/>
    <col min="2818" max="2818" width="21.6640625" style="9" customWidth="1"/>
    <col min="2819" max="2819" width="12.33203125" style="9" customWidth="1"/>
    <col min="2820" max="2820" width="22.5546875" style="9" bestFit="1" customWidth="1"/>
    <col min="2821" max="2821" width="14.44140625" style="9" bestFit="1" customWidth="1"/>
    <col min="2822" max="2822" width="27.33203125" style="9" customWidth="1"/>
    <col min="2823" max="2823" width="22.6640625" style="9" bestFit="1" customWidth="1"/>
    <col min="2824" max="2825" width="19.6640625" style="9" bestFit="1" customWidth="1"/>
    <col min="2826" max="2826" width="16.33203125" style="9" customWidth="1"/>
    <col min="2827" max="2827" width="16" style="9" customWidth="1"/>
    <col min="2828" max="3072" width="9.109375" style="9"/>
    <col min="3073" max="3073" width="4.5546875" style="9" customWidth="1"/>
    <col min="3074" max="3074" width="21.6640625" style="9" customWidth="1"/>
    <col min="3075" max="3075" width="12.33203125" style="9" customWidth="1"/>
    <col min="3076" max="3076" width="22.5546875" style="9" bestFit="1" customWidth="1"/>
    <col min="3077" max="3077" width="14.44140625" style="9" bestFit="1" customWidth="1"/>
    <col min="3078" max="3078" width="27.33203125" style="9" customWidth="1"/>
    <col min="3079" max="3079" width="22.6640625" style="9" bestFit="1" customWidth="1"/>
    <col min="3080" max="3081" width="19.6640625" style="9" bestFit="1" customWidth="1"/>
    <col min="3082" max="3082" width="16.33203125" style="9" customWidth="1"/>
    <col min="3083" max="3083" width="16" style="9" customWidth="1"/>
    <col min="3084" max="3328" width="9.109375" style="9"/>
    <col min="3329" max="3329" width="4.5546875" style="9" customWidth="1"/>
    <col min="3330" max="3330" width="21.6640625" style="9" customWidth="1"/>
    <col min="3331" max="3331" width="12.33203125" style="9" customWidth="1"/>
    <col min="3332" max="3332" width="22.5546875" style="9" bestFit="1" customWidth="1"/>
    <col min="3333" max="3333" width="14.44140625" style="9" bestFit="1" customWidth="1"/>
    <col min="3334" max="3334" width="27.33203125" style="9" customWidth="1"/>
    <col min="3335" max="3335" width="22.6640625" style="9" bestFit="1" customWidth="1"/>
    <col min="3336" max="3337" width="19.6640625" style="9" bestFit="1" customWidth="1"/>
    <col min="3338" max="3338" width="16.33203125" style="9" customWidth="1"/>
    <col min="3339" max="3339" width="16" style="9" customWidth="1"/>
    <col min="3340" max="3584" width="9.109375" style="9"/>
    <col min="3585" max="3585" width="4.5546875" style="9" customWidth="1"/>
    <col min="3586" max="3586" width="21.6640625" style="9" customWidth="1"/>
    <col min="3587" max="3587" width="12.33203125" style="9" customWidth="1"/>
    <col min="3588" max="3588" width="22.5546875" style="9" bestFit="1" customWidth="1"/>
    <col min="3589" max="3589" width="14.44140625" style="9" bestFit="1" customWidth="1"/>
    <col min="3590" max="3590" width="27.33203125" style="9" customWidth="1"/>
    <col min="3591" max="3591" width="22.6640625" style="9" bestFit="1" customWidth="1"/>
    <col min="3592" max="3593" width="19.6640625" style="9" bestFit="1" customWidth="1"/>
    <col min="3594" max="3594" width="16.33203125" style="9" customWidth="1"/>
    <col min="3595" max="3595" width="16" style="9" customWidth="1"/>
    <col min="3596" max="3840" width="9.109375" style="9"/>
    <col min="3841" max="3841" width="4.5546875" style="9" customWidth="1"/>
    <col min="3842" max="3842" width="21.6640625" style="9" customWidth="1"/>
    <col min="3843" max="3843" width="12.33203125" style="9" customWidth="1"/>
    <col min="3844" max="3844" width="22.5546875" style="9" bestFit="1" customWidth="1"/>
    <col min="3845" max="3845" width="14.44140625" style="9" bestFit="1" customWidth="1"/>
    <col min="3846" max="3846" width="27.33203125" style="9" customWidth="1"/>
    <col min="3847" max="3847" width="22.6640625" style="9" bestFit="1" customWidth="1"/>
    <col min="3848" max="3849" width="19.6640625" style="9" bestFit="1" customWidth="1"/>
    <col min="3850" max="3850" width="16.33203125" style="9" customWidth="1"/>
    <col min="3851" max="3851" width="16" style="9" customWidth="1"/>
    <col min="3852" max="4096" width="9.109375" style="9"/>
    <col min="4097" max="4097" width="4.5546875" style="9" customWidth="1"/>
    <col min="4098" max="4098" width="21.6640625" style="9" customWidth="1"/>
    <col min="4099" max="4099" width="12.33203125" style="9" customWidth="1"/>
    <col min="4100" max="4100" width="22.5546875" style="9" bestFit="1" customWidth="1"/>
    <col min="4101" max="4101" width="14.44140625" style="9" bestFit="1" customWidth="1"/>
    <col min="4102" max="4102" width="27.33203125" style="9" customWidth="1"/>
    <col min="4103" max="4103" width="22.6640625" style="9" bestFit="1" customWidth="1"/>
    <col min="4104" max="4105" width="19.6640625" style="9" bestFit="1" customWidth="1"/>
    <col min="4106" max="4106" width="16.33203125" style="9" customWidth="1"/>
    <col min="4107" max="4107" width="16" style="9" customWidth="1"/>
    <col min="4108" max="4352" width="9.109375" style="9"/>
    <col min="4353" max="4353" width="4.5546875" style="9" customWidth="1"/>
    <col min="4354" max="4354" width="21.6640625" style="9" customWidth="1"/>
    <col min="4355" max="4355" width="12.33203125" style="9" customWidth="1"/>
    <col min="4356" max="4356" width="22.5546875" style="9" bestFit="1" customWidth="1"/>
    <col min="4357" max="4357" width="14.44140625" style="9" bestFit="1" customWidth="1"/>
    <col min="4358" max="4358" width="27.33203125" style="9" customWidth="1"/>
    <col min="4359" max="4359" width="22.6640625" style="9" bestFit="1" customWidth="1"/>
    <col min="4360" max="4361" width="19.6640625" style="9" bestFit="1" customWidth="1"/>
    <col min="4362" max="4362" width="16.33203125" style="9" customWidth="1"/>
    <col min="4363" max="4363" width="16" style="9" customWidth="1"/>
    <col min="4364" max="4608" width="9.109375" style="9"/>
    <col min="4609" max="4609" width="4.5546875" style="9" customWidth="1"/>
    <col min="4610" max="4610" width="21.6640625" style="9" customWidth="1"/>
    <col min="4611" max="4611" width="12.33203125" style="9" customWidth="1"/>
    <col min="4612" max="4612" width="22.5546875" style="9" bestFit="1" customWidth="1"/>
    <col min="4613" max="4613" width="14.44140625" style="9" bestFit="1" customWidth="1"/>
    <col min="4614" max="4614" width="27.33203125" style="9" customWidth="1"/>
    <col min="4615" max="4615" width="22.6640625" style="9" bestFit="1" customWidth="1"/>
    <col min="4616" max="4617" width="19.6640625" style="9" bestFit="1" customWidth="1"/>
    <col min="4618" max="4618" width="16.33203125" style="9" customWidth="1"/>
    <col min="4619" max="4619" width="16" style="9" customWidth="1"/>
    <col min="4620" max="4864" width="9.109375" style="9"/>
    <col min="4865" max="4865" width="4.5546875" style="9" customWidth="1"/>
    <col min="4866" max="4866" width="21.6640625" style="9" customWidth="1"/>
    <col min="4867" max="4867" width="12.33203125" style="9" customWidth="1"/>
    <col min="4868" max="4868" width="22.5546875" style="9" bestFit="1" customWidth="1"/>
    <col min="4869" max="4869" width="14.44140625" style="9" bestFit="1" customWidth="1"/>
    <col min="4870" max="4870" width="27.33203125" style="9" customWidth="1"/>
    <col min="4871" max="4871" width="22.6640625" style="9" bestFit="1" customWidth="1"/>
    <col min="4872" max="4873" width="19.6640625" style="9" bestFit="1" customWidth="1"/>
    <col min="4874" max="4874" width="16.33203125" style="9" customWidth="1"/>
    <col min="4875" max="4875" width="16" style="9" customWidth="1"/>
    <col min="4876" max="5120" width="9.109375" style="9"/>
    <col min="5121" max="5121" width="4.5546875" style="9" customWidth="1"/>
    <col min="5122" max="5122" width="21.6640625" style="9" customWidth="1"/>
    <col min="5123" max="5123" width="12.33203125" style="9" customWidth="1"/>
    <col min="5124" max="5124" width="22.5546875" style="9" bestFit="1" customWidth="1"/>
    <col min="5125" max="5125" width="14.44140625" style="9" bestFit="1" customWidth="1"/>
    <col min="5126" max="5126" width="27.33203125" style="9" customWidth="1"/>
    <col min="5127" max="5127" width="22.6640625" style="9" bestFit="1" customWidth="1"/>
    <col min="5128" max="5129" width="19.6640625" style="9" bestFit="1" customWidth="1"/>
    <col min="5130" max="5130" width="16.33203125" style="9" customWidth="1"/>
    <col min="5131" max="5131" width="16" style="9" customWidth="1"/>
    <col min="5132" max="5376" width="9.109375" style="9"/>
    <col min="5377" max="5377" width="4.5546875" style="9" customWidth="1"/>
    <col min="5378" max="5378" width="21.6640625" style="9" customWidth="1"/>
    <col min="5379" max="5379" width="12.33203125" style="9" customWidth="1"/>
    <col min="5380" max="5380" width="22.5546875" style="9" bestFit="1" customWidth="1"/>
    <col min="5381" max="5381" width="14.44140625" style="9" bestFit="1" customWidth="1"/>
    <col min="5382" max="5382" width="27.33203125" style="9" customWidth="1"/>
    <col min="5383" max="5383" width="22.6640625" style="9" bestFit="1" customWidth="1"/>
    <col min="5384" max="5385" width="19.6640625" style="9" bestFit="1" customWidth="1"/>
    <col min="5386" max="5386" width="16.33203125" style="9" customWidth="1"/>
    <col min="5387" max="5387" width="16" style="9" customWidth="1"/>
    <col min="5388" max="5632" width="9.109375" style="9"/>
    <col min="5633" max="5633" width="4.5546875" style="9" customWidth="1"/>
    <col min="5634" max="5634" width="21.6640625" style="9" customWidth="1"/>
    <col min="5635" max="5635" width="12.33203125" style="9" customWidth="1"/>
    <col min="5636" max="5636" width="22.5546875" style="9" bestFit="1" customWidth="1"/>
    <col min="5637" max="5637" width="14.44140625" style="9" bestFit="1" customWidth="1"/>
    <col min="5638" max="5638" width="27.33203125" style="9" customWidth="1"/>
    <col min="5639" max="5639" width="22.6640625" style="9" bestFit="1" customWidth="1"/>
    <col min="5640" max="5641" width="19.6640625" style="9" bestFit="1" customWidth="1"/>
    <col min="5642" max="5642" width="16.33203125" style="9" customWidth="1"/>
    <col min="5643" max="5643" width="16" style="9" customWidth="1"/>
    <col min="5644" max="5888" width="9.109375" style="9"/>
    <col min="5889" max="5889" width="4.5546875" style="9" customWidth="1"/>
    <col min="5890" max="5890" width="21.6640625" style="9" customWidth="1"/>
    <col min="5891" max="5891" width="12.33203125" style="9" customWidth="1"/>
    <col min="5892" max="5892" width="22.5546875" style="9" bestFit="1" customWidth="1"/>
    <col min="5893" max="5893" width="14.44140625" style="9" bestFit="1" customWidth="1"/>
    <col min="5894" max="5894" width="27.33203125" style="9" customWidth="1"/>
    <col min="5895" max="5895" width="22.6640625" style="9" bestFit="1" customWidth="1"/>
    <col min="5896" max="5897" width="19.6640625" style="9" bestFit="1" customWidth="1"/>
    <col min="5898" max="5898" width="16.33203125" style="9" customWidth="1"/>
    <col min="5899" max="5899" width="16" style="9" customWidth="1"/>
    <col min="5900" max="6144" width="9.109375" style="9"/>
    <col min="6145" max="6145" width="4.5546875" style="9" customWidth="1"/>
    <col min="6146" max="6146" width="21.6640625" style="9" customWidth="1"/>
    <col min="6147" max="6147" width="12.33203125" style="9" customWidth="1"/>
    <col min="6148" max="6148" width="22.5546875" style="9" bestFit="1" customWidth="1"/>
    <col min="6149" max="6149" width="14.44140625" style="9" bestFit="1" customWidth="1"/>
    <col min="6150" max="6150" width="27.33203125" style="9" customWidth="1"/>
    <col min="6151" max="6151" width="22.6640625" style="9" bestFit="1" customWidth="1"/>
    <col min="6152" max="6153" width="19.6640625" style="9" bestFit="1" customWidth="1"/>
    <col min="6154" max="6154" width="16.33203125" style="9" customWidth="1"/>
    <col min="6155" max="6155" width="16" style="9" customWidth="1"/>
    <col min="6156" max="6400" width="9.109375" style="9"/>
    <col min="6401" max="6401" width="4.5546875" style="9" customWidth="1"/>
    <col min="6402" max="6402" width="21.6640625" style="9" customWidth="1"/>
    <col min="6403" max="6403" width="12.33203125" style="9" customWidth="1"/>
    <col min="6404" max="6404" width="22.5546875" style="9" bestFit="1" customWidth="1"/>
    <col min="6405" max="6405" width="14.44140625" style="9" bestFit="1" customWidth="1"/>
    <col min="6406" max="6406" width="27.33203125" style="9" customWidth="1"/>
    <col min="6407" max="6407" width="22.6640625" style="9" bestFit="1" customWidth="1"/>
    <col min="6408" max="6409" width="19.6640625" style="9" bestFit="1" customWidth="1"/>
    <col min="6410" max="6410" width="16.33203125" style="9" customWidth="1"/>
    <col min="6411" max="6411" width="16" style="9" customWidth="1"/>
    <col min="6412" max="6656" width="9.109375" style="9"/>
    <col min="6657" max="6657" width="4.5546875" style="9" customWidth="1"/>
    <col min="6658" max="6658" width="21.6640625" style="9" customWidth="1"/>
    <col min="6659" max="6659" width="12.33203125" style="9" customWidth="1"/>
    <col min="6660" max="6660" width="22.5546875" style="9" bestFit="1" customWidth="1"/>
    <col min="6661" max="6661" width="14.44140625" style="9" bestFit="1" customWidth="1"/>
    <col min="6662" max="6662" width="27.33203125" style="9" customWidth="1"/>
    <col min="6663" max="6663" width="22.6640625" style="9" bestFit="1" customWidth="1"/>
    <col min="6664" max="6665" width="19.6640625" style="9" bestFit="1" customWidth="1"/>
    <col min="6666" max="6666" width="16.33203125" style="9" customWidth="1"/>
    <col min="6667" max="6667" width="16" style="9" customWidth="1"/>
    <col min="6668" max="6912" width="9.109375" style="9"/>
    <col min="6913" max="6913" width="4.5546875" style="9" customWidth="1"/>
    <col min="6914" max="6914" width="21.6640625" style="9" customWidth="1"/>
    <col min="6915" max="6915" width="12.33203125" style="9" customWidth="1"/>
    <col min="6916" max="6916" width="22.5546875" style="9" bestFit="1" customWidth="1"/>
    <col min="6917" max="6917" width="14.44140625" style="9" bestFit="1" customWidth="1"/>
    <col min="6918" max="6918" width="27.33203125" style="9" customWidth="1"/>
    <col min="6919" max="6919" width="22.6640625" style="9" bestFit="1" customWidth="1"/>
    <col min="6920" max="6921" width="19.6640625" style="9" bestFit="1" customWidth="1"/>
    <col min="6922" max="6922" width="16.33203125" style="9" customWidth="1"/>
    <col min="6923" max="6923" width="16" style="9" customWidth="1"/>
    <col min="6924" max="7168" width="9.109375" style="9"/>
    <col min="7169" max="7169" width="4.5546875" style="9" customWidth="1"/>
    <col min="7170" max="7170" width="21.6640625" style="9" customWidth="1"/>
    <col min="7171" max="7171" width="12.33203125" style="9" customWidth="1"/>
    <col min="7172" max="7172" width="22.5546875" style="9" bestFit="1" customWidth="1"/>
    <col min="7173" max="7173" width="14.44140625" style="9" bestFit="1" customWidth="1"/>
    <col min="7174" max="7174" width="27.33203125" style="9" customWidth="1"/>
    <col min="7175" max="7175" width="22.6640625" style="9" bestFit="1" customWidth="1"/>
    <col min="7176" max="7177" width="19.6640625" style="9" bestFit="1" customWidth="1"/>
    <col min="7178" max="7178" width="16.33203125" style="9" customWidth="1"/>
    <col min="7179" max="7179" width="16" style="9" customWidth="1"/>
    <col min="7180" max="7424" width="9.109375" style="9"/>
    <col min="7425" max="7425" width="4.5546875" style="9" customWidth="1"/>
    <col min="7426" max="7426" width="21.6640625" style="9" customWidth="1"/>
    <col min="7427" max="7427" width="12.33203125" style="9" customWidth="1"/>
    <col min="7428" max="7428" width="22.5546875" style="9" bestFit="1" customWidth="1"/>
    <col min="7429" max="7429" width="14.44140625" style="9" bestFit="1" customWidth="1"/>
    <col min="7430" max="7430" width="27.33203125" style="9" customWidth="1"/>
    <col min="7431" max="7431" width="22.6640625" style="9" bestFit="1" customWidth="1"/>
    <col min="7432" max="7433" width="19.6640625" style="9" bestFit="1" customWidth="1"/>
    <col min="7434" max="7434" width="16.33203125" style="9" customWidth="1"/>
    <col min="7435" max="7435" width="16" style="9" customWidth="1"/>
    <col min="7436" max="7680" width="9.109375" style="9"/>
    <col min="7681" max="7681" width="4.5546875" style="9" customWidth="1"/>
    <col min="7682" max="7682" width="21.6640625" style="9" customWidth="1"/>
    <col min="7683" max="7683" width="12.33203125" style="9" customWidth="1"/>
    <col min="7684" max="7684" width="22.5546875" style="9" bestFit="1" customWidth="1"/>
    <col min="7685" max="7685" width="14.44140625" style="9" bestFit="1" customWidth="1"/>
    <col min="7686" max="7686" width="27.33203125" style="9" customWidth="1"/>
    <col min="7687" max="7687" width="22.6640625" style="9" bestFit="1" customWidth="1"/>
    <col min="7688" max="7689" width="19.6640625" style="9" bestFit="1" customWidth="1"/>
    <col min="7690" max="7690" width="16.33203125" style="9" customWidth="1"/>
    <col min="7691" max="7691" width="16" style="9" customWidth="1"/>
    <col min="7692" max="7936" width="9.109375" style="9"/>
    <col min="7937" max="7937" width="4.5546875" style="9" customWidth="1"/>
    <col min="7938" max="7938" width="21.6640625" style="9" customWidth="1"/>
    <col min="7939" max="7939" width="12.33203125" style="9" customWidth="1"/>
    <col min="7940" max="7940" width="22.5546875" style="9" bestFit="1" customWidth="1"/>
    <col min="7941" max="7941" width="14.44140625" style="9" bestFit="1" customWidth="1"/>
    <col min="7942" max="7942" width="27.33203125" style="9" customWidth="1"/>
    <col min="7943" max="7943" width="22.6640625" style="9" bestFit="1" customWidth="1"/>
    <col min="7944" max="7945" width="19.6640625" style="9" bestFit="1" customWidth="1"/>
    <col min="7946" max="7946" width="16.33203125" style="9" customWidth="1"/>
    <col min="7947" max="7947" width="16" style="9" customWidth="1"/>
    <col min="7948" max="8192" width="9.109375" style="9"/>
    <col min="8193" max="8193" width="4.5546875" style="9" customWidth="1"/>
    <col min="8194" max="8194" width="21.6640625" style="9" customWidth="1"/>
    <col min="8195" max="8195" width="12.33203125" style="9" customWidth="1"/>
    <col min="8196" max="8196" width="22.5546875" style="9" bestFit="1" customWidth="1"/>
    <col min="8197" max="8197" width="14.44140625" style="9" bestFit="1" customWidth="1"/>
    <col min="8198" max="8198" width="27.33203125" style="9" customWidth="1"/>
    <col min="8199" max="8199" width="22.6640625" style="9" bestFit="1" customWidth="1"/>
    <col min="8200" max="8201" width="19.6640625" style="9" bestFit="1" customWidth="1"/>
    <col min="8202" max="8202" width="16.33203125" style="9" customWidth="1"/>
    <col min="8203" max="8203" width="16" style="9" customWidth="1"/>
    <col min="8204" max="8448" width="9.109375" style="9"/>
    <col min="8449" max="8449" width="4.5546875" style="9" customWidth="1"/>
    <col min="8450" max="8450" width="21.6640625" style="9" customWidth="1"/>
    <col min="8451" max="8451" width="12.33203125" style="9" customWidth="1"/>
    <col min="8452" max="8452" width="22.5546875" style="9" bestFit="1" customWidth="1"/>
    <col min="8453" max="8453" width="14.44140625" style="9" bestFit="1" customWidth="1"/>
    <col min="8454" max="8454" width="27.33203125" style="9" customWidth="1"/>
    <col min="8455" max="8455" width="22.6640625" style="9" bestFit="1" customWidth="1"/>
    <col min="8456" max="8457" width="19.6640625" style="9" bestFit="1" customWidth="1"/>
    <col min="8458" max="8458" width="16.33203125" style="9" customWidth="1"/>
    <col min="8459" max="8459" width="16" style="9" customWidth="1"/>
    <col min="8460" max="8704" width="9.109375" style="9"/>
    <col min="8705" max="8705" width="4.5546875" style="9" customWidth="1"/>
    <col min="8706" max="8706" width="21.6640625" style="9" customWidth="1"/>
    <col min="8707" max="8707" width="12.33203125" style="9" customWidth="1"/>
    <col min="8708" max="8708" width="22.5546875" style="9" bestFit="1" customWidth="1"/>
    <col min="8709" max="8709" width="14.44140625" style="9" bestFit="1" customWidth="1"/>
    <col min="8710" max="8710" width="27.33203125" style="9" customWidth="1"/>
    <col min="8711" max="8711" width="22.6640625" style="9" bestFit="1" customWidth="1"/>
    <col min="8712" max="8713" width="19.6640625" style="9" bestFit="1" customWidth="1"/>
    <col min="8714" max="8714" width="16.33203125" style="9" customWidth="1"/>
    <col min="8715" max="8715" width="16" style="9" customWidth="1"/>
    <col min="8716" max="8960" width="9.109375" style="9"/>
    <col min="8961" max="8961" width="4.5546875" style="9" customWidth="1"/>
    <col min="8962" max="8962" width="21.6640625" style="9" customWidth="1"/>
    <col min="8963" max="8963" width="12.33203125" style="9" customWidth="1"/>
    <col min="8964" max="8964" width="22.5546875" style="9" bestFit="1" customWidth="1"/>
    <col min="8965" max="8965" width="14.44140625" style="9" bestFit="1" customWidth="1"/>
    <col min="8966" max="8966" width="27.33203125" style="9" customWidth="1"/>
    <col min="8967" max="8967" width="22.6640625" style="9" bestFit="1" customWidth="1"/>
    <col min="8968" max="8969" width="19.6640625" style="9" bestFit="1" customWidth="1"/>
    <col min="8970" max="8970" width="16.33203125" style="9" customWidth="1"/>
    <col min="8971" max="8971" width="16" style="9" customWidth="1"/>
    <col min="8972" max="9216" width="9.109375" style="9"/>
    <col min="9217" max="9217" width="4.5546875" style="9" customWidth="1"/>
    <col min="9218" max="9218" width="21.6640625" style="9" customWidth="1"/>
    <col min="9219" max="9219" width="12.33203125" style="9" customWidth="1"/>
    <col min="9220" max="9220" width="22.5546875" style="9" bestFit="1" customWidth="1"/>
    <col min="9221" max="9221" width="14.44140625" style="9" bestFit="1" customWidth="1"/>
    <col min="9222" max="9222" width="27.33203125" style="9" customWidth="1"/>
    <col min="9223" max="9223" width="22.6640625" style="9" bestFit="1" customWidth="1"/>
    <col min="9224" max="9225" width="19.6640625" style="9" bestFit="1" customWidth="1"/>
    <col min="9226" max="9226" width="16.33203125" style="9" customWidth="1"/>
    <col min="9227" max="9227" width="16" style="9" customWidth="1"/>
    <col min="9228" max="9472" width="9.109375" style="9"/>
    <col min="9473" max="9473" width="4.5546875" style="9" customWidth="1"/>
    <col min="9474" max="9474" width="21.6640625" style="9" customWidth="1"/>
    <col min="9475" max="9475" width="12.33203125" style="9" customWidth="1"/>
    <col min="9476" max="9476" width="22.5546875" style="9" bestFit="1" customWidth="1"/>
    <col min="9477" max="9477" width="14.44140625" style="9" bestFit="1" customWidth="1"/>
    <col min="9478" max="9478" width="27.33203125" style="9" customWidth="1"/>
    <col min="9479" max="9479" width="22.6640625" style="9" bestFit="1" customWidth="1"/>
    <col min="9480" max="9481" width="19.6640625" style="9" bestFit="1" customWidth="1"/>
    <col min="9482" max="9482" width="16.33203125" style="9" customWidth="1"/>
    <col min="9483" max="9483" width="16" style="9" customWidth="1"/>
    <col min="9484" max="9728" width="9.109375" style="9"/>
    <col min="9729" max="9729" width="4.5546875" style="9" customWidth="1"/>
    <col min="9730" max="9730" width="21.6640625" style="9" customWidth="1"/>
    <col min="9731" max="9731" width="12.33203125" style="9" customWidth="1"/>
    <col min="9732" max="9732" width="22.5546875" style="9" bestFit="1" customWidth="1"/>
    <col min="9733" max="9733" width="14.44140625" style="9" bestFit="1" customWidth="1"/>
    <col min="9734" max="9734" width="27.33203125" style="9" customWidth="1"/>
    <col min="9735" max="9735" width="22.6640625" style="9" bestFit="1" customWidth="1"/>
    <col min="9736" max="9737" width="19.6640625" style="9" bestFit="1" customWidth="1"/>
    <col min="9738" max="9738" width="16.33203125" style="9" customWidth="1"/>
    <col min="9739" max="9739" width="16" style="9" customWidth="1"/>
    <col min="9740" max="9984" width="9.109375" style="9"/>
    <col min="9985" max="9985" width="4.5546875" style="9" customWidth="1"/>
    <col min="9986" max="9986" width="21.6640625" style="9" customWidth="1"/>
    <col min="9987" max="9987" width="12.33203125" style="9" customWidth="1"/>
    <col min="9988" max="9988" width="22.5546875" style="9" bestFit="1" customWidth="1"/>
    <col min="9989" max="9989" width="14.44140625" style="9" bestFit="1" customWidth="1"/>
    <col min="9990" max="9990" width="27.33203125" style="9" customWidth="1"/>
    <col min="9991" max="9991" width="22.6640625" style="9" bestFit="1" customWidth="1"/>
    <col min="9992" max="9993" width="19.6640625" style="9" bestFit="1" customWidth="1"/>
    <col min="9994" max="9994" width="16.33203125" style="9" customWidth="1"/>
    <col min="9995" max="9995" width="16" style="9" customWidth="1"/>
    <col min="9996" max="10240" width="9.109375" style="9"/>
    <col min="10241" max="10241" width="4.5546875" style="9" customWidth="1"/>
    <col min="10242" max="10242" width="21.6640625" style="9" customWidth="1"/>
    <col min="10243" max="10243" width="12.33203125" style="9" customWidth="1"/>
    <col min="10244" max="10244" width="22.5546875" style="9" bestFit="1" customWidth="1"/>
    <col min="10245" max="10245" width="14.44140625" style="9" bestFit="1" customWidth="1"/>
    <col min="10246" max="10246" width="27.33203125" style="9" customWidth="1"/>
    <col min="10247" max="10247" width="22.6640625" style="9" bestFit="1" customWidth="1"/>
    <col min="10248" max="10249" width="19.6640625" style="9" bestFit="1" customWidth="1"/>
    <col min="10250" max="10250" width="16.33203125" style="9" customWidth="1"/>
    <col min="10251" max="10251" width="16" style="9" customWidth="1"/>
    <col min="10252" max="10496" width="9.109375" style="9"/>
    <col min="10497" max="10497" width="4.5546875" style="9" customWidth="1"/>
    <col min="10498" max="10498" width="21.6640625" style="9" customWidth="1"/>
    <col min="10499" max="10499" width="12.33203125" style="9" customWidth="1"/>
    <col min="10500" max="10500" width="22.5546875" style="9" bestFit="1" customWidth="1"/>
    <col min="10501" max="10501" width="14.44140625" style="9" bestFit="1" customWidth="1"/>
    <col min="10502" max="10502" width="27.33203125" style="9" customWidth="1"/>
    <col min="10503" max="10503" width="22.6640625" style="9" bestFit="1" customWidth="1"/>
    <col min="10504" max="10505" width="19.6640625" style="9" bestFit="1" customWidth="1"/>
    <col min="10506" max="10506" width="16.33203125" style="9" customWidth="1"/>
    <col min="10507" max="10507" width="16" style="9" customWidth="1"/>
    <col min="10508" max="10752" width="9.109375" style="9"/>
    <col min="10753" max="10753" width="4.5546875" style="9" customWidth="1"/>
    <col min="10754" max="10754" width="21.6640625" style="9" customWidth="1"/>
    <col min="10755" max="10755" width="12.33203125" style="9" customWidth="1"/>
    <col min="10756" max="10756" width="22.5546875" style="9" bestFit="1" customWidth="1"/>
    <col min="10757" max="10757" width="14.44140625" style="9" bestFit="1" customWidth="1"/>
    <col min="10758" max="10758" width="27.33203125" style="9" customWidth="1"/>
    <col min="10759" max="10759" width="22.6640625" style="9" bestFit="1" customWidth="1"/>
    <col min="10760" max="10761" width="19.6640625" style="9" bestFit="1" customWidth="1"/>
    <col min="10762" max="10762" width="16.33203125" style="9" customWidth="1"/>
    <col min="10763" max="10763" width="16" style="9" customWidth="1"/>
    <col min="10764" max="11008" width="9.109375" style="9"/>
    <col min="11009" max="11009" width="4.5546875" style="9" customWidth="1"/>
    <col min="11010" max="11010" width="21.6640625" style="9" customWidth="1"/>
    <col min="11011" max="11011" width="12.33203125" style="9" customWidth="1"/>
    <col min="11012" max="11012" width="22.5546875" style="9" bestFit="1" customWidth="1"/>
    <col min="11013" max="11013" width="14.44140625" style="9" bestFit="1" customWidth="1"/>
    <col min="11014" max="11014" width="27.33203125" style="9" customWidth="1"/>
    <col min="11015" max="11015" width="22.6640625" style="9" bestFit="1" customWidth="1"/>
    <col min="11016" max="11017" width="19.6640625" style="9" bestFit="1" customWidth="1"/>
    <col min="11018" max="11018" width="16.33203125" style="9" customWidth="1"/>
    <col min="11019" max="11019" width="16" style="9" customWidth="1"/>
    <col min="11020" max="11264" width="9.109375" style="9"/>
    <col min="11265" max="11265" width="4.5546875" style="9" customWidth="1"/>
    <col min="11266" max="11266" width="21.6640625" style="9" customWidth="1"/>
    <col min="11267" max="11267" width="12.33203125" style="9" customWidth="1"/>
    <col min="11268" max="11268" width="22.5546875" style="9" bestFit="1" customWidth="1"/>
    <col min="11269" max="11269" width="14.44140625" style="9" bestFit="1" customWidth="1"/>
    <col min="11270" max="11270" width="27.33203125" style="9" customWidth="1"/>
    <col min="11271" max="11271" width="22.6640625" style="9" bestFit="1" customWidth="1"/>
    <col min="11272" max="11273" width="19.6640625" style="9" bestFit="1" customWidth="1"/>
    <col min="11274" max="11274" width="16.33203125" style="9" customWidth="1"/>
    <col min="11275" max="11275" width="16" style="9" customWidth="1"/>
    <col min="11276" max="11520" width="9.109375" style="9"/>
    <col min="11521" max="11521" width="4.5546875" style="9" customWidth="1"/>
    <col min="11522" max="11522" width="21.6640625" style="9" customWidth="1"/>
    <col min="11523" max="11523" width="12.33203125" style="9" customWidth="1"/>
    <col min="11524" max="11524" width="22.5546875" style="9" bestFit="1" customWidth="1"/>
    <col min="11525" max="11525" width="14.44140625" style="9" bestFit="1" customWidth="1"/>
    <col min="11526" max="11526" width="27.33203125" style="9" customWidth="1"/>
    <col min="11527" max="11527" width="22.6640625" style="9" bestFit="1" customWidth="1"/>
    <col min="11528" max="11529" width="19.6640625" style="9" bestFit="1" customWidth="1"/>
    <col min="11530" max="11530" width="16.33203125" style="9" customWidth="1"/>
    <col min="11531" max="11531" width="16" style="9" customWidth="1"/>
    <col min="11532" max="11776" width="9.109375" style="9"/>
    <col min="11777" max="11777" width="4.5546875" style="9" customWidth="1"/>
    <col min="11778" max="11778" width="21.6640625" style="9" customWidth="1"/>
    <col min="11779" max="11779" width="12.33203125" style="9" customWidth="1"/>
    <col min="11780" max="11780" width="22.5546875" style="9" bestFit="1" customWidth="1"/>
    <col min="11781" max="11781" width="14.44140625" style="9" bestFit="1" customWidth="1"/>
    <col min="11782" max="11782" width="27.33203125" style="9" customWidth="1"/>
    <col min="11783" max="11783" width="22.6640625" style="9" bestFit="1" customWidth="1"/>
    <col min="11784" max="11785" width="19.6640625" style="9" bestFit="1" customWidth="1"/>
    <col min="11786" max="11786" width="16.33203125" style="9" customWidth="1"/>
    <col min="11787" max="11787" width="16" style="9" customWidth="1"/>
    <col min="11788" max="12032" width="9.109375" style="9"/>
    <col min="12033" max="12033" width="4.5546875" style="9" customWidth="1"/>
    <col min="12034" max="12034" width="21.6640625" style="9" customWidth="1"/>
    <col min="12035" max="12035" width="12.33203125" style="9" customWidth="1"/>
    <col min="12036" max="12036" width="22.5546875" style="9" bestFit="1" customWidth="1"/>
    <col min="12037" max="12037" width="14.44140625" style="9" bestFit="1" customWidth="1"/>
    <col min="12038" max="12038" width="27.33203125" style="9" customWidth="1"/>
    <col min="12039" max="12039" width="22.6640625" style="9" bestFit="1" customWidth="1"/>
    <col min="12040" max="12041" width="19.6640625" style="9" bestFit="1" customWidth="1"/>
    <col min="12042" max="12042" width="16.33203125" style="9" customWidth="1"/>
    <col min="12043" max="12043" width="16" style="9" customWidth="1"/>
    <col min="12044" max="12288" width="9.109375" style="9"/>
    <col min="12289" max="12289" width="4.5546875" style="9" customWidth="1"/>
    <col min="12290" max="12290" width="21.6640625" style="9" customWidth="1"/>
    <col min="12291" max="12291" width="12.33203125" style="9" customWidth="1"/>
    <col min="12292" max="12292" width="22.5546875" style="9" bestFit="1" customWidth="1"/>
    <col min="12293" max="12293" width="14.44140625" style="9" bestFit="1" customWidth="1"/>
    <col min="12294" max="12294" width="27.33203125" style="9" customWidth="1"/>
    <col min="12295" max="12295" width="22.6640625" style="9" bestFit="1" customWidth="1"/>
    <col min="12296" max="12297" width="19.6640625" style="9" bestFit="1" customWidth="1"/>
    <col min="12298" max="12298" width="16.33203125" style="9" customWidth="1"/>
    <col min="12299" max="12299" width="16" style="9" customWidth="1"/>
    <col min="12300" max="12544" width="9.109375" style="9"/>
    <col min="12545" max="12545" width="4.5546875" style="9" customWidth="1"/>
    <col min="12546" max="12546" width="21.6640625" style="9" customWidth="1"/>
    <col min="12547" max="12547" width="12.33203125" style="9" customWidth="1"/>
    <col min="12548" max="12548" width="22.5546875" style="9" bestFit="1" customWidth="1"/>
    <col min="12549" max="12549" width="14.44140625" style="9" bestFit="1" customWidth="1"/>
    <col min="12550" max="12550" width="27.33203125" style="9" customWidth="1"/>
    <col min="12551" max="12551" width="22.6640625" style="9" bestFit="1" customWidth="1"/>
    <col min="12552" max="12553" width="19.6640625" style="9" bestFit="1" customWidth="1"/>
    <col min="12554" max="12554" width="16.33203125" style="9" customWidth="1"/>
    <col min="12555" max="12555" width="16" style="9" customWidth="1"/>
    <col min="12556" max="12800" width="9.109375" style="9"/>
    <col min="12801" max="12801" width="4.5546875" style="9" customWidth="1"/>
    <col min="12802" max="12802" width="21.6640625" style="9" customWidth="1"/>
    <col min="12803" max="12803" width="12.33203125" style="9" customWidth="1"/>
    <col min="12804" max="12804" width="22.5546875" style="9" bestFit="1" customWidth="1"/>
    <col min="12805" max="12805" width="14.44140625" style="9" bestFit="1" customWidth="1"/>
    <col min="12806" max="12806" width="27.33203125" style="9" customWidth="1"/>
    <col min="12807" max="12807" width="22.6640625" style="9" bestFit="1" customWidth="1"/>
    <col min="12808" max="12809" width="19.6640625" style="9" bestFit="1" customWidth="1"/>
    <col min="12810" max="12810" width="16.33203125" style="9" customWidth="1"/>
    <col min="12811" max="12811" width="16" style="9" customWidth="1"/>
    <col min="12812" max="13056" width="9.109375" style="9"/>
    <col min="13057" max="13057" width="4.5546875" style="9" customWidth="1"/>
    <col min="13058" max="13058" width="21.6640625" style="9" customWidth="1"/>
    <col min="13059" max="13059" width="12.33203125" style="9" customWidth="1"/>
    <col min="13060" max="13060" width="22.5546875" style="9" bestFit="1" customWidth="1"/>
    <col min="13061" max="13061" width="14.44140625" style="9" bestFit="1" customWidth="1"/>
    <col min="13062" max="13062" width="27.33203125" style="9" customWidth="1"/>
    <col min="13063" max="13063" width="22.6640625" style="9" bestFit="1" customWidth="1"/>
    <col min="13064" max="13065" width="19.6640625" style="9" bestFit="1" customWidth="1"/>
    <col min="13066" max="13066" width="16.33203125" style="9" customWidth="1"/>
    <col min="13067" max="13067" width="16" style="9" customWidth="1"/>
    <col min="13068" max="13312" width="9.109375" style="9"/>
    <col min="13313" max="13313" width="4.5546875" style="9" customWidth="1"/>
    <col min="13314" max="13314" width="21.6640625" style="9" customWidth="1"/>
    <col min="13315" max="13315" width="12.33203125" style="9" customWidth="1"/>
    <col min="13316" max="13316" width="22.5546875" style="9" bestFit="1" customWidth="1"/>
    <col min="13317" max="13317" width="14.44140625" style="9" bestFit="1" customWidth="1"/>
    <col min="13318" max="13318" width="27.33203125" style="9" customWidth="1"/>
    <col min="13319" max="13319" width="22.6640625" style="9" bestFit="1" customWidth="1"/>
    <col min="13320" max="13321" width="19.6640625" style="9" bestFit="1" customWidth="1"/>
    <col min="13322" max="13322" width="16.33203125" style="9" customWidth="1"/>
    <col min="13323" max="13323" width="16" style="9" customWidth="1"/>
    <col min="13324" max="13568" width="9.109375" style="9"/>
    <col min="13569" max="13569" width="4.5546875" style="9" customWidth="1"/>
    <col min="13570" max="13570" width="21.6640625" style="9" customWidth="1"/>
    <col min="13571" max="13571" width="12.33203125" style="9" customWidth="1"/>
    <col min="13572" max="13572" width="22.5546875" style="9" bestFit="1" customWidth="1"/>
    <col min="13573" max="13573" width="14.44140625" style="9" bestFit="1" customWidth="1"/>
    <col min="13574" max="13574" width="27.33203125" style="9" customWidth="1"/>
    <col min="13575" max="13575" width="22.6640625" style="9" bestFit="1" customWidth="1"/>
    <col min="13576" max="13577" width="19.6640625" style="9" bestFit="1" customWidth="1"/>
    <col min="13578" max="13578" width="16.33203125" style="9" customWidth="1"/>
    <col min="13579" max="13579" width="16" style="9" customWidth="1"/>
    <col min="13580" max="13824" width="9.109375" style="9"/>
    <col min="13825" max="13825" width="4.5546875" style="9" customWidth="1"/>
    <col min="13826" max="13826" width="21.6640625" style="9" customWidth="1"/>
    <col min="13827" max="13827" width="12.33203125" style="9" customWidth="1"/>
    <col min="13828" max="13828" width="22.5546875" style="9" bestFit="1" customWidth="1"/>
    <col min="13829" max="13829" width="14.44140625" style="9" bestFit="1" customWidth="1"/>
    <col min="13830" max="13830" width="27.33203125" style="9" customWidth="1"/>
    <col min="13831" max="13831" width="22.6640625" style="9" bestFit="1" customWidth="1"/>
    <col min="13832" max="13833" width="19.6640625" style="9" bestFit="1" customWidth="1"/>
    <col min="13834" max="13834" width="16.33203125" style="9" customWidth="1"/>
    <col min="13835" max="13835" width="16" style="9" customWidth="1"/>
    <col min="13836" max="14080" width="9.109375" style="9"/>
    <col min="14081" max="14081" width="4.5546875" style="9" customWidth="1"/>
    <col min="14082" max="14082" width="21.6640625" style="9" customWidth="1"/>
    <col min="14083" max="14083" width="12.33203125" style="9" customWidth="1"/>
    <col min="14084" max="14084" width="22.5546875" style="9" bestFit="1" customWidth="1"/>
    <col min="14085" max="14085" width="14.44140625" style="9" bestFit="1" customWidth="1"/>
    <col min="14086" max="14086" width="27.33203125" style="9" customWidth="1"/>
    <col min="14087" max="14087" width="22.6640625" style="9" bestFit="1" customWidth="1"/>
    <col min="14088" max="14089" width="19.6640625" style="9" bestFit="1" customWidth="1"/>
    <col min="14090" max="14090" width="16.33203125" style="9" customWidth="1"/>
    <col min="14091" max="14091" width="16" style="9" customWidth="1"/>
    <col min="14092" max="14336" width="9.109375" style="9"/>
    <col min="14337" max="14337" width="4.5546875" style="9" customWidth="1"/>
    <col min="14338" max="14338" width="21.6640625" style="9" customWidth="1"/>
    <col min="14339" max="14339" width="12.33203125" style="9" customWidth="1"/>
    <col min="14340" max="14340" width="22.5546875" style="9" bestFit="1" customWidth="1"/>
    <col min="14341" max="14341" width="14.44140625" style="9" bestFit="1" customWidth="1"/>
    <col min="14342" max="14342" width="27.33203125" style="9" customWidth="1"/>
    <col min="14343" max="14343" width="22.6640625" style="9" bestFit="1" customWidth="1"/>
    <col min="14344" max="14345" width="19.6640625" style="9" bestFit="1" customWidth="1"/>
    <col min="14346" max="14346" width="16.33203125" style="9" customWidth="1"/>
    <col min="14347" max="14347" width="16" style="9" customWidth="1"/>
    <col min="14348" max="14592" width="9.109375" style="9"/>
    <col min="14593" max="14593" width="4.5546875" style="9" customWidth="1"/>
    <col min="14594" max="14594" width="21.6640625" style="9" customWidth="1"/>
    <col min="14595" max="14595" width="12.33203125" style="9" customWidth="1"/>
    <col min="14596" max="14596" width="22.5546875" style="9" bestFit="1" customWidth="1"/>
    <col min="14597" max="14597" width="14.44140625" style="9" bestFit="1" customWidth="1"/>
    <col min="14598" max="14598" width="27.33203125" style="9" customWidth="1"/>
    <col min="14599" max="14599" width="22.6640625" style="9" bestFit="1" customWidth="1"/>
    <col min="14600" max="14601" width="19.6640625" style="9" bestFit="1" customWidth="1"/>
    <col min="14602" max="14602" width="16.33203125" style="9" customWidth="1"/>
    <col min="14603" max="14603" width="16" style="9" customWidth="1"/>
    <col min="14604" max="14848" width="9.109375" style="9"/>
    <col min="14849" max="14849" width="4.5546875" style="9" customWidth="1"/>
    <col min="14850" max="14850" width="21.6640625" style="9" customWidth="1"/>
    <col min="14851" max="14851" width="12.33203125" style="9" customWidth="1"/>
    <col min="14852" max="14852" width="22.5546875" style="9" bestFit="1" customWidth="1"/>
    <col min="14853" max="14853" width="14.44140625" style="9" bestFit="1" customWidth="1"/>
    <col min="14854" max="14854" width="27.33203125" style="9" customWidth="1"/>
    <col min="14855" max="14855" width="22.6640625" style="9" bestFit="1" customWidth="1"/>
    <col min="14856" max="14857" width="19.6640625" style="9" bestFit="1" customWidth="1"/>
    <col min="14858" max="14858" width="16.33203125" style="9" customWidth="1"/>
    <col min="14859" max="14859" width="16" style="9" customWidth="1"/>
    <col min="14860" max="15104" width="9.109375" style="9"/>
    <col min="15105" max="15105" width="4.5546875" style="9" customWidth="1"/>
    <col min="15106" max="15106" width="21.6640625" style="9" customWidth="1"/>
    <col min="15107" max="15107" width="12.33203125" style="9" customWidth="1"/>
    <col min="15108" max="15108" width="22.5546875" style="9" bestFit="1" customWidth="1"/>
    <col min="15109" max="15109" width="14.44140625" style="9" bestFit="1" customWidth="1"/>
    <col min="15110" max="15110" width="27.33203125" style="9" customWidth="1"/>
    <col min="15111" max="15111" width="22.6640625" style="9" bestFit="1" customWidth="1"/>
    <col min="15112" max="15113" width="19.6640625" style="9" bestFit="1" customWidth="1"/>
    <col min="15114" max="15114" width="16.33203125" style="9" customWidth="1"/>
    <col min="15115" max="15115" width="16" style="9" customWidth="1"/>
    <col min="15116" max="15360" width="9.109375" style="9"/>
    <col min="15361" max="15361" width="4.5546875" style="9" customWidth="1"/>
    <col min="15362" max="15362" width="21.6640625" style="9" customWidth="1"/>
    <col min="15363" max="15363" width="12.33203125" style="9" customWidth="1"/>
    <col min="15364" max="15364" width="22.5546875" style="9" bestFit="1" customWidth="1"/>
    <col min="15365" max="15365" width="14.44140625" style="9" bestFit="1" customWidth="1"/>
    <col min="15366" max="15366" width="27.33203125" style="9" customWidth="1"/>
    <col min="15367" max="15367" width="22.6640625" style="9" bestFit="1" customWidth="1"/>
    <col min="15368" max="15369" width="19.6640625" style="9" bestFit="1" customWidth="1"/>
    <col min="15370" max="15370" width="16.33203125" style="9" customWidth="1"/>
    <col min="15371" max="15371" width="16" style="9" customWidth="1"/>
    <col min="15372" max="15616" width="9.109375" style="9"/>
    <col min="15617" max="15617" width="4.5546875" style="9" customWidth="1"/>
    <col min="15618" max="15618" width="21.6640625" style="9" customWidth="1"/>
    <col min="15619" max="15619" width="12.33203125" style="9" customWidth="1"/>
    <col min="15620" max="15620" width="22.5546875" style="9" bestFit="1" customWidth="1"/>
    <col min="15621" max="15621" width="14.44140625" style="9" bestFit="1" customWidth="1"/>
    <col min="15622" max="15622" width="27.33203125" style="9" customWidth="1"/>
    <col min="15623" max="15623" width="22.6640625" style="9" bestFit="1" customWidth="1"/>
    <col min="15624" max="15625" width="19.6640625" style="9" bestFit="1" customWidth="1"/>
    <col min="15626" max="15626" width="16.33203125" style="9" customWidth="1"/>
    <col min="15627" max="15627" width="16" style="9" customWidth="1"/>
    <col min="15628" max="15872" width="9.109375" style="9"/>
    <col min="15873" max="15873" width="4.5546875" style="9" customWidth="1"/>
    <col min="15874" max="15874" width="21.6640625" style="9" customWidth="1"/>
    <col min="15875" max="15875" width="12.33203125" style="9" customWidth="1"/>
    <col min="15876" max="15876" width="22.5546875" style="9" bestFit="1" customWidth="1"/>
    <col min="15877" max="15877" width="14.44140625" style="9" bestFit="1" customWidth="1"/>
    <col min="15878" max="15878" width="27.33203125" style="9" customWidth="1"/>
    <col min="15879" max="15879" width="22.6640625" style="9" bestFit="1" customWidth="1"/>
    <col min="15880" max="15881" width="19.6640625" style="9" bestFit="1" customWidth="1"/>
    <col min="15882" max="15882" width="16.33203125" style="9" customWidth="1"/>
    <col min="15883" max="15883" width="16" style="9" customWidth="1"/>
    <col min="15884" max="16128" width="9.109375" style="9"/>
    <col min="16129" max="16129" width="4.5546875" style="9" customWidth="1"/>
    <col min="16130" max="16130" width="21.6640625" style="9" customWidth="1"/>
    <col min="16131" max="16131" width="12.33203125" style="9" customWidth="1"/>
    <col min="16132" max="16132" width="22.5546875" style="9" bestFit="1" customWidth="1"/>
    <col min="16133" max="16133" width="14.44140625" style="9" bestFit="1" customWidth="1"/>
    <col min="16134" max="16134" width="27.33203125" style="9" customWidth="1"/>
    <col min="16135" max="16135" width="22.6640625" style="9" bestFit="1" customWidth="1"/>
    <col min="16136" max="16137" width="19.6640625" style="9" bestFit="1" customWidth="1"/>
    <col min="16138" max="16138" width="16.33203125" style="9" customWidth="1"/>
    <col min="16139" max="16139" width="16" style="9" customWidth="1"/>
    <col min="16140" max="16384" width="9.109375" style="9"/>
  </cols>
  <sheetData>
    <row r="1" spans="1:11" x14ac:dyDescent="0.3">
      <c r="B1" s="171"/>
    </row>
    <row r="2" spans="1:11" x14ac:dyDescent="0.3">
      <c r="B2" s="171"/>
    </row>
    <row r="4" spans="1:11" ht="18" customHeight="1" x14ac:dyDescent="0.25">
      <c r="B4" s="1" t="s">
        <v>60</v>
      </c>
      <c r="C4" s="2"/>
      <c r="D4" s="2"/>
      <c r="E4" s="2"/>
      <c r="F4" s="2"/>
      <c r="G4" s="2"/>
      <c r="H4" s="2"/>
      <c r="I4" s="3"/>
      <c r="J4" s="3" t="s">
        <v>548</v>
      </c>
      <c r="K4" s="7"/>
    </row>
    <row r="5" spans="1:11" ht="18" customHeight="1" x14ac:dyDescent="0.25">
      <c r="B5" s="4" t="s">
        <v>61</v>
      </c>
      <c r="C5" s="5"/>
      <c r="D5" s="5"/>
      <c r="E5" s="5"/>
      <c r="F5" s="5"/>
      <c r="G5" s="5"/>
      <c r="H5" s="5"/>
      <c r="I5" s="6"/>
      <c r="J5" s="6" t="s">
        <v>550</v>
      </c>
      <c r="K5" s="8"/>
    </row>
    <row r="6" spans="1:11" ht="16.2" customHeight="1" x14ac:dyDescent="0.25"/>
    <row r="7" spans="1:11" ht="15.75" x14ac:dyDescent="0.25">
      <c r="B7" s="22" t="s">
        <v>554</v>
      </c>
    </row>
    <row r="8" spans="1:11" ht="15" x14ac:dyDescent="0.25">
      <c r="C8" s="9" t="s">
        <v>53</v>
      </c>
      <c r="E8" s="122" t="s">
        <v>98</v>
      </c>
    </row>
    <row r="9" spans="1:11" customFormat="1" ht="15" hidden="1" x14ac:dyDescent="0.25">
      <c r="B9" s="135"/>
      <c r="C9" s="136" t="s">
        <v>65</v>
      </c>
      <c r="D9" s="135"/>
      <c r="E9" s="135"/>
      <c r="F9" s="135"/>
      <c r="G9" s="135"/>
      <c r="H9" s="135"/>
    </row>
    <row r="10" spans="1:11" customFormat="1" ht="17.25" x14ac:dyDescent="0.3">
      <c r="A10" s="99"/>
      <c r="B10" s="136" t="s">
        <v>30</v>
      </c>
      <c r="C10" s="138" t="s">
        <v>69</v>
      </c>
      <c r="D10" s="138" t="s">
        <v>70</v>
      </c>
      <c r="E10" s="139" t="s">
        <v>555</v>
      </c>
      <c r="F10" s="138" t="s">
        <v>621</v>
      </c>
      <c r="G10" s="139" t="s">
        <v>622</v>
      </c>
      <c r="H10" s="138" t="s">
        <v>623</v>
      </c>
    </row>
    <row r="11" spans="1:11" customFormat="1" ht="17.25" x14ac:dyDescent="0.3">
      <c r="A11" s="99"/>
      <c r="B11" s="135" t="s">
        <v>559</v>
      </c>
      <c r="C11" s="105">
        <v>134406</v>
      </c>
      <c r="D11" s="105">
        <v>757</v>
      </c>
      <c r="E11" s="106">
        <v>0.67635402906208719</v>
      </c>
      <c r="F11" s="105">
        <v>278</v>
      </c>
      <c r="G11" s="105">
        <v>234</v>
      </c>
      <c r="H11" s="105">
        <v>512</v>
      </c>
    </row>
    <row r="12" spans="1:11" customFormat="1" ht="17.25" x14ac:dyDescent="0.3">
      <c r="A12" s="99"/>
      <c r="B12" s="135" t="s">
        <v>560</v>
      </c>
      <c r="C12" s="105">
        <v>289627</v>
      </c>
      <c r="D12" s="105">
        <v>954</v>
      </c>
      <c r="E12" s="106">
        <v>1.6551362683438156</v>
      </c>
      <c r="F12" s="105">
        <v>397</v>
      </c>
      <c r="G12" s="105">
        <v>1182</v>
      </c>
      <c r="H12" s="105">
        <v>1579</v>
      </c>
    </row>
    <row r="13" spans="1:11" customFormat="1" ht="17.25" x14ac:dyDescent="0.3">
      <c r="A13" s="99"/>
      <c r="B13" s="135" t="s">
        <v>561</v>
      </c>
      <c r="C13" s="105">
        <v>732141</v>
      </c>
      <c r="D13" s="105">
        <v>1112</v>
      </c>
      <c r="E13" s="106">
        <v>0.74550359712230219</v>
      </c>
      <c r="F13" s="105">
        <v>385</v>
      </c>
      <c r="G13" s="105">
        <v>444</v>
      </c>
      <c r="H13" s="105">
        <v>829</v>
      </c>
    </row>
    <row r="14" spans="1:11" customFormat="1" ht="17.25" x14ac:dyDescent="0.3">
      <c r="A14" s="99"/>
      <c r="B14" s="107" t="s">
        <v>1</v>
      </c>
      <c r="C14" s="105">
        <v>1156174</v>
      </c>
      <c r="D14" s="105">
        <v>2823</v>
      </c>
      <c r="E14" s="106">
        <v>1.0343606092809068</v>
      </c>
      <c r="F14" s="105">
        <v>1060</v>
      </c>
      <c r="G14" s="105">
        <v>1860</v>
      </c>
      <c r="H14" s="105">
        <v>2920</v>
      </c>
    </row>
    <row r="15" spans="1:11" customFormat="1" ht="16.95" hidden="1" customHeight="1" x14ac:dyDescent="0.3">
      <c r="A15" s="99"/>
    </row>
    <row r="16" spans="1:11" customFormat="1" ht="16.95" hidden="1" customHeight="1" x14ac:dyDescent="0.3">
      <c r="A16" s="99"/>
    </row>
    <row r="17" spans="1:6" customFormat="1" ht="16.95" hidden="1" customHeight="1" x14ac:dyDescent="0.3">
      <c r="A17" s="99"/>
    </row>
    <row r="18" spans="1:6" customFormat="1" ht="16.95" hidden="1" customHeight="1" x14ac:dyDescent="0.3">
      <c r="A18" s="99"/>
    </row>
    <row r="19" spans="1:6" customFormat="1" ht="16.95" hidden="1" customHeight="1" x14ac:dyDescent="0.3">
      <c r="A19" s="99"/>
    </row>
    <row r="20" spans="1:6" customFormat="1" ht="16.95" hidden="1" customHeight="1" x14ac:dyDescent="0.3">
      <c r="A20" s="99"/>
    </row>
    <row r="21" spans="1:6" customFormat="1" ht="16.95" hidden="1" customHeight="1" x14ac:dyDescent="0.3">
      <c r="A21" s="99"/>
    </row>
    <row r="22" spans="1:6" customFormat="1" ht="16.95" hidden="1" customHeight="1" x14ac:dyDescent="0.3">
      <c r="A22" s="99"/>
    </row>
    <row r="23" spans="1:6" customFormat="1" ht="16.95" hidden="1" customHeight="1" x14ac:dyDescent="0.3">
      <c r="A23" s="99"/>
    </row>
    <row r="24" spans="1:6" customFormat="1" ht="16.95" hidden="1" customHeight="1" x14ac:dyDescent="0.3">
      <c r="A24" s="99"/>
    </row>
    <row r="25" spans="1:6" customFormat="1" ht="16.95" hidden="1" customHeight="1" x14ac:dyDescent="0.3">
      <c r="A25" s="99"/>
    </row>
    <row r="26" spans="1:6" customFormat="1" ht="16.95" hidden="1" customHeight="1" x14ac:dyDescent="0.3">
      <c r="A26" s="99"/>
    </row>
    <row r="27" spans="1:6" customFormat="1" ht="16.95" hidden="1" customHeight="1" x14ac:dyDescent="0.3">
      <c r="A27" s="99"/>
    </row>
    <row r="28" spans="1:6" customFormat="1" ht="16.95" customHeight="1" x14ac:dyDescent="0.3">
      <c r="A28" s="99"/>
    </row>
    <row r="29" spans="1:6" ht="17.25" x14ac:dyDescent="0.3">
      <c r="A29" s="99"/>
    </row>
    <row r="30" spans="1:6" ht="17.25" x14ac:dyDescent="0.3">
      <c r="A30" s="99"/>
    </row>
    <row r="31" spans="1:6" ht="17.25" x14ac:dyDescent="0.3">
      <c r="A31" s="99"/>
    </row>
    <row r="32" spans="1:6" ht="17.25" x14ac:dyDescent="0.3">
      <c r="A32" s="99"/>
      <c r="F32" s="23" t="s">
        <v>562</v>
      </c>
    </row>
    <row r="33" spans="1:16" ht="17.399999999999999" x14ac:dyDescent="0.35">
      <c r="A33" s="99"/>
      <c r="F33" s="184">
        <f>GETPIVOTDATA("Conversion Rate",$B$9)</f>
        <v>1.0343606092809068</v>
      </c>
    </row>
    <row r="34" spans="1:16" ht="17.399999999999999" x14ac:dyDescent="0.35">
      <c r="A34" s="99"/>
      <c r="F34" s="184"/>
    </row>
    <row r="35" spans="1:16" ht="17.399999999999999" x14ac:dyDescent="0.35">
      <c r="A35" s="99"/>
      <c r="F35" s="184"/>
    </row>
    <row r="36" spans="1:16" ht="17.399999999999999" x14ac:dyDescent="0.35">
      <c r="A36" s="99"/>
      <c r="F36" s="184"/>
    </row>
    <row r="37" spans="1:16" ht="17.399999999999999" x14ac:dyDescent="0.35">
      <c r="A37" s="99"/>
      <c r="F37" s="184"/>
    </row>
    <row r="38" spans="1:16" ht="17.399999999999999" x14ac:dyDescent="0.35">
      <c r="A38" s="99"/>
      <c r="F38" s="178" t="s">
        <v>563</v>
      </c>
    </row>
    <row r="39" spans="1:16" ht="17.399999999999999" x14ac:dyDescent="0.35">
      <c r="A39" s="99"/>
      <c r="F39" s="178"/>
    </row>
    <row r="40" spans="1:16" ht="17.25" x14ac:dyDescent="0.3">
      <c r="A40" s="99"/>
    </row>
    <row r="41" spans="1:16" ht="17.25" x14ac:dyDescent="0.3">
      <c r="A41" s="99"/>
    </row>
    <row r="42" spans="1:16" ht="17.25" x14ac:dyDescent="0.3">
      <c r="A42" s="99"/>
    </row>
    <row r="43" spans="1:16" ht="17.399999999999999" x14ac:dyDescent="0.35">
      <c r="A43" s="99"/>
    </row>
    <row r="44" spans="1:16" ht="17.399999999999999" x14ac:dyDescent="0.35">
      <c r="A44" s="99"/>
    </row>
    <row r="45" spans="1:16" ht="17.399999999999999" x14ac:dyDescent="0.35">
      <c r="A45" s="99"/>
      <c r="B45" s="22" t="s">
        <v>564</v>
      </c>
    </row>
    <row r="46" spans="1:16" ht="17.399999999999999" x14ac:dyDescent="0.35">
      <c r="A46" s="99"/>
      <c r="B46" s="9" t="s">
        <v>565</v>
      </c>
      <c r="E46" s="9" t="s">
        <v>99</v>
      </c>
      <c r="K46" s="9" t="s">
        <v>566</v>
      </c>
    </row>
    <row r="47" spans="1:16" ht="17.25" customHeight="1" x14ac:dyDescent="0.35">
      <c r="A47" s="134"/>
      <c r="B47" s="104" t="s">
        <v>3</v>
      </c>
      <c r="C47" s="110" t="s">
        <v>567</v>
      </c>
      <c r="D47" s="110" t="s">
        <v>558</v>
      </c>
      <c r="E47" s="110" t="s">
        <v>568</v>
      </c>
      <c r="F47" s="110" t="s">
        <v>556</v>
      </c>
      <c r="G47" s="110" t="s">
        <v>557</v>
      </c>
      <c r="H47" s="110" t="s">
        <v>569</v>
      </c>
      <c r="I47" s="110" t="s">
        <v>570</v>
      </c>
      <c r="J47" s="110" t="s">
        <v>571</v>
      </c>
      <c r="K47" s="110" t="s">
        <v>572</v>
      </c>
    </row>
    <row r="48" spans="1:16" ht="17.25" customHeight="1" x14ac:dyDescent="0.35">
      <c r="A48" s="134"/>
      <c r="B48" s="123" t="str">
        <f>Pivots!AK5</f>
        <v>GulfNews.com</v>
      </c>
      <c r="C48" s="112">
        <f>Pivots!AL5</f>
        <v>757</v>
      </c>
      <c r="D48" s="112">
        <f>Pivots!AM5</f>
        <v>512</v>
      </c>
      <c r="E48" s="125">
        <v>4190</v>
      </c>
      <c r="F48" s="112">
        <f>Pivots!AN5</f>
        <v>278</v>
      </c>
      <c r="G48" s="112">
        <f>Pivots!AO5</f>
        <v>234</v>
      </c>
      <c r="H48" s="125">
        <f>Pivots!AP5</f>
        <v>5330</v>
      </c>
      <c r="I48" s="125">
        <f>Pivots!AQ5</f>
        <v>9900</v>
      </c>
      <c r="J48" s="125">
        <f>Pivots!AR5</f>
        <v>15230</v>
      </c>
      <c r="K48" s="126">
        <f>(J48-E48)/E48</f>
        <v>2.6348448687350836</v>
      </c>
      <c r="L48" s="131"/>
      <c r="M48" s="133"/>
      <c r="N48" s="133"/>
      <c r="O48" s="133"/>
      <c r="P48" s="133"/>
    </row>
    <row r="49" spans="1:16" ht="17.25" customHeight="1" x14ac:dyDescent="0.35">
      <c r="A49" s="134"/>
      <c r="B49" s="124" t="str">
        <f>Pivots!AK6</f>
        <v>ManoramaOnline</v>
      </c>
      <c r="C49" s="113">
        <f>Pivots!AL6</f>
        <v>954</v>
      </c>
      <c r="D49" s="113">
        <f>Pivots!AM6</f>
        <v>1579</v>
      </c>
      <c r="E49" s="127">
        <v>2100</v>
      </c>
      <c r="F49" s="113">
        <f>Pivots!AN6</f>
        <v>397</v>
      </c>
      <c r="G49" s="113">
        <f>Pivots!AO6</f>
        <v>1182</v>
      </c>
      <c r="H49" s="127">
        <f>Pivots!AP6</f>
        <v>4950</v>
      </c>
      <c r="I49" s="127">
        <f>Pivots!AQ6</f>
        <v>47490</v>
      </c>
      <c r="J49" s="127">
        <f>Pivots!AR6</f>
        <v>52440</v>
      </c>
      <c r="K49" s="128">
        <f t="shared" ref="K49:K74" si="0">(J49-E49)/E49</f>
        <v>23.971428571428572</v>
      </c>
      <c r="L49" s="131"/>
      <c r="M49" s="133"/>
      <c r="N49" s="133"/>
      <c r="O49" s="133"/>
      <c r="P49" s="133"/>
    </row>
    <row r="50" spans="1:16" ht="17.25" customHeight="1" x14ac:dyDescent="0.35">
      <c r="A50" s="134"/>
      <c r="B50" s="123" t="str">
        <f>Pivots!AK7</f>
        <v>Times of India</v>
      </c>
      <c r="C50" s="112">
        <f>Pivots!AL7</f>
        <v>1112</v>
      </c>
      <c r="D50" s="112">
        <f>Pivots!AM7</f>
        <v>829</v>
      </c>
      <c r="E50" s="125">
        <v>1125</v>
      </c>
      <c r="F50" s="112">
        <f>Pivots!AN7</f>
        <v>385</v>
      </c>
      <c r="G50" s="112">
        <f>Pivots!AO7</f>
        <v>444</v>
      </c>
      <c r="H50" s="125">
        <f>Pivots!AP7</f>
        <v>14720</v>
      </c>
      <c r="I50" s="125">
        <f>Pivots!AQ7</f>
        <v>22910</v>
      </c>
      <c r="J50" s="125">
        <f>Pivots!AR7</f>
        <v>37630</v>
      </c>
      <c r="K50" s="126">
        <f t="shared" si="0"/>
        <v>32.448888888888888</v>
      </c>
      <c r="L50" s="131"/>
      <c r="M50" s="133"/>
      <c r="N50" s="133"/>
      <c r="O50" s="133"/>
      <c r="P50" s="133"/>
    </row>
    <row r="51" spans="1:16" ht="17.25" hidden="1" customHeight="1" x14ac:dyDescent="0.3">
      <c r="A51" s="134"/>
      <c r="B51" s="124" t="str">
        <f>Pivots!AK8</f>
        <v>Grand Total</v>
      </c>
      <c r="C51" s="113">
        <f>Pivots!AL8</f>
        <v>2823</v>
      </c>
      <c r="D51" s="113">
        <f>Pivots!AM8</f>
        <v>2920</v>
      </c>
      <c r="E51" s="127"/>
      <c r="F51" s="113">
        <f>Pivots!AN8</f>
        <v>1060</v>
      </c>
      <c r="G51" s="113">
        <f>Pivots!AO8</f>
        <v>1860</v>
      </c>
      <c r="H51" s="127">
        <f>Pivots!AP8</f>
        <v>25000</v>
      </c>
      <c r="I51" s="127">
        <f>Pivots!AQ8</f>
        <v>80300</v>
      </c>
      <c r="J51" s="127">
        <f>Pivots!AR8</f>
        <v>105300</v>
      </c>
      <c r="K51" s="128" t="e">
        <f t="shared" si="0"/>
        <v>#DIV/0!</v>
      </c>
      <c r="L51" s="131"/>
      <c r="M51" s="132"/>
      <c r="N51" s="132"/>
      <c r="O51" s="132"/>
      <c r="P51" s="132"/>
    </row>
    <row r="52" spans="1:16" ht="17.25" hidden="1" customHeight="1" x14ac:dyDescent="0.3">
      <c r="A52" s="134"/>
      <c r="B52" s="123">
        <f>Pivots!AK9</f>
        <v>0</v>
      </c>
      <c r="C52" s="112">
        <f>Pivots!AL9</f>
        <v>0</v>
      </c>
      <c r="D52" s="112">
        <f>Pivots!AM9</f>
        <v>0</v>
      </c>
      <c r="E52" s="125"/>
      <c r="F52" s="112">
        <f>Pivots!AN9</f>
        <v>0</v>
      </c>
      <c r="G52" s="112">
        <f>Pivots!AO9</f>
        <v>0</v>
      </c>
      <c r="H52" s="125">
        <f>Pivots!AP9</f>
        <v>0</v>
      </c>
      <c r="I52" s="125">
        <f>Pivots!AQ9</f>
        <v>0</v>
      </c>
      <c r="J52" s="125">
        <f>Pivots!AR9</f>
        <v>0</v>
      </c>
      <c r="K52" s="126" t="e">
        <f t="shared" si="0"/>
        <v>#DIV/0!</v>
      </c>
      <c r="L52" s="131"/>
      <c r="M52" s="132"/>
      <c r="N52" s="132"/>
      <c r="O52" s="132"/>
      <c r="P52" s="132"/>
    </row>
    <row r="53" spans="1:16" ht="17.25" hidden="1" customHeight="1" x14ac:dyDescent="0.3">
      <c r="A53" s="134"/>
      <c r="B53" s="124">
        <f>Pivots!AK10</f>
        <v>0</v>
      </c>
      <c r="C53" s="113">
        <f>Pivots!AL10</f>
        <v>0</v>
      </c>
      <c r="D53" s="113">
        <f>Pivots!AM10</f>
        <v>0</v>
      </c>
      <c r="E53" s="127"/>
      <c r="F53" s="113">
        <f>Pivots!AN10</f>
        <v>0</v>
      </c>
      <c r="G53" s="113">
        <f>Pivots!AO10</f>
        <v>0</v>
      </c>
      <c r="H53" s="127">
        <f>Pivots!AP10</f>
        <v>0</v>
      </c>
      <c r="I53" s="127">
        <f>Pivots!AQ10</f>
        <v>0</v>
      </c>
      <c r="J53" s="127">
        <f>Pivots!AR10</f>
        <v>0</v>
      </c>
      <c r="K53" s="128" t="e">
        <f t="shared" si="0"/>
        <v>#DIV/0!</v>
      </c>
      <c r="L53" s="131"/>
      <c r="M53" s="132"/>
      <c r="N53" s="132"/>
      <c r="O53" s="132"/>
      <c r="P53" s="132"/>
    </row>
    <row r="54" spans="1:16" ht="17.25" hidden="1" customHeight="1" x14ac:dyDescent="0.3">
      <c r="A54" s="134"/>
      <c r="B54" s="123">
        <f>Pivots!AK11</f>
        <v>0</v>
      </c>
      <c r="C54" s="112">
        <f>Pivots!AL11</f>
        <v>0</v>
      </c>
      <c r="D54" s="112">
        <f>Pivots!AM11</f>
        <v>0</v>
      </c>
      <c r="E54" s="125"/>
      <c r="F54" s="112">
        <f>Pivots!AN11</f>
        <v>0</v>
      </c>
      <c r="G54" s="112">
        <f>Pivots!AO11</f>
        <v>0</v>
      </c>
      <c r="H54" s="125">
        <f>Pivots!AP11</f>
        <v>0</v>
      </c>
      <c r="I54" s="125">
        <f>Pivots!AQ11</f>
        <v>0</v>
      </c>
      <c r="J54" s="125">
        <f>Pivots!AR11</f>
        <v>0</v>
      </c>
      <c r="K54" s="126" t="e">
        <f t="shared" si="0"/>
        <v>#DIV/0!</v>
      </c>
      <c r="L54" s="131"/>
      <c r="M54" s="132"/>
      <c r="N54" s="132"/>
      <c r="O54" s="132"/>
      <c r="P54" s="132"/>
    </row>
    <row r="55" spans="1:16" ht="17.25" hidden="1" customHeight="1" x14ac:dyDescent="0.3">
      <c r="A55" s="134"/>
      <c r="B55" s="124">
        <f>Pivots!AK12</f>
        <v>0</v>
      </c>
      <c r="C55" s="113">
        <f>Pivots!AL12</f>
        <v>0</v>
      </c>
      <c r="D55" s="113">
        <f>Pivots!AM12</f>
        <v>0</v>
      </c>
      <c r="E55" s="127"/>
      <c r="F55" s="113">
        <f>Pivots!AN12</f>
        <v>0</v>
      </c>
      <c r="G55" s="113">
        <f>Pivots!AO12</f>
        <v>0</v>
      </c>
      <c r="H55" s="127">
        <f>Pivots!AP12</f>
        <v>0</v>
      </c>
      <c r="I55" s="127">
        <f>Pivots!AQ12</f>
        <v>0</v>
      </c>
      <c r="J55" s="127">
        <f>Pivots!AR12</f>
        <v>0</v>
      </c>
      <c r="K55" s="128" t="e">
        <f t="shared" si="0"/>
        <v>#DIV/0!</v>
      </c>
      <c r="L55" s="131"/>
      <c r="M55" s="132"/>
      <c r="N55" s="132"/>
      <c r="O55" s="132"/>
      <c r="P55" s="132"/>
    </row>
    <row r="56" spans="1:16" ht="17.25" hidden="1" customHeight="1" x14ac:dyDescent="0.3">
      <c r="A56" s="134"/>
      <c r="B56" s="123">
        <f>Pivots!AK13</f>
        <v>0</v>
      </c>
      <c r="C56" s="112">
        <f>Pivots!AL13</f>
        <v>0</v>
      </c>
      <c r="D56" s="112">
        <f>Pivots!AM13</f>
        <v>0</v>
      </c>
      <c r="E56" s="125"/>
      <c r="F56" s="112">
        <f>Pivots!AN13</f>
        <v>0</v>
      </c>
      <c r="G56" s="112">
        <f>Pivots!AO13</f>
        <v>0</v>
      </c>
      <c r="H56" s="125">
        <f>Pivots!AP13</f>
        <v>0</v>
      </c>
      <c r="I56" s="125">
        <f>Pivots!AQ13</f>
        <v>0</v>
      </c>
      <c r="J56" s="125">
        <f>Pivots!AR13</f>
        <v>0</v>
      </c>
      <c r="K56" s="126" t="e">
        <f t="shared" si="0"/>
        <v>#DIV/0!</v>
      </c>
      <c r="L56" s="131"/>
      <c r="M56" s="132"/>
      <c r="N56" s="132"/>
      <c r="O56" s="132"/>
      <c r="P56" s="132"/>
    </row>
    <row r="57" spans="1:16" ht="17.25" hidden="1" customHeight="1" x14ac:dyDescent="0.3">
      <c r="A57" s="134"/>
      <c r="B57" s="124">
        <f>Pivots!AK14</f>
        <v>0</v>
      </c>
      <c r="C57" s="113">
        <f>Pivots!AL14</f>
        <v>0</v>
      </c>
      <c r="D57" s="113">
        <f>Pivots!AM14</f>
        <v>0</v>
      </c>
      <c r="E57" s="127"/>
      <c r="F57" s="113">
        <f>Pivots!AN14</f>
        <v>0</v>
      </c>
      <c r="G57" s="113">
        <f>Pivots!AO14</f>
        <v>0</v>
      </c>
      <c r="H57" s="127">
        <f>Pivots!AP14</f>
        <v>0</v>
      </c>
      <c r="I57" s="127">
        <f>Pivots!AQ14</f>
        <v>0</v>
      </c>
      <c r="J57" s="127">
        <f>Pivots!AR14</f>
        <v>0</v>
      </c>
      <c r="K57" s="128" t="e">
        <f t="shared" si="0"/>
        <v>#DIV/0!</v>
      </c>
      <c r="L57" s="131"/>
      <c r="M57" s="132"/>
      <c r="N57" s="132"/>
      <c r="O57" s="132"/>
      <c r="P57" s="132"/>
    </row>
    <row r="58" spans="1:16" ht="17.25" hidden="1" customHeight="1" x14ac:dyDescent="0.3">
      <c r="A58" s="134"/>
      <c r="B58" s="123">
        <f>Pivots!AK15</f>
        <v>0</v>
      </c>
      <c r="C58" s="112">
        <f>Pivots!AL15</f>
        <v>0</v>
      </c>
      <c r="D58" s="112">
        <f>Pivots!AM15</f>
        <v>0</v>
      </c>
      <c r="E58" s="125"/>
      <c r="F58" s="112">
        <f>Pivots!AN15</f>
        <v>0</v>
      </c>
      <c r="G58" s="112">
        <f>Pivots!AO15</f>
        <v>0</v>
      </c>
      <c r="H58" s="125">
        <f>Pivots!AP15</f>
        <v>0</v>
      </c>
      <c r="I58" s="125">
        <f>Pivots!AQ15</f>
        <v>0</v>
      </c>
      <c r="J58" s="125">
        <f>Pivots!AR15</f>
        <v>0</v>
      </c>
      <c r="K58" s="126" t="e">
        <f t="shared" si="0"/>
        <v>#DIV/0!</v>
      </c>
      <c r="L58" s="131"/>
      <c r="M58" s="132"/>
      <c r="N58" s="132"/>
      <c r="O58" s="132"/>
      <c r="P58" s="132"/>
    </row>
    <row r="59" spans="1:16" ht="17.25" hidden="1" customHeight="1" x14ac:dyDescent="0.3">
      <c r="A59" s="134"/>
      <c r="B59" s="124">
        <f>Pivots!AK16</f>
        <v>0</v>
      </c>
      <c r="C59" s="113">
        <f>Pivots!AL16</f>
        <v>0</v>
      </c>
      <c r="D59" s="113">
        <f>Pivots!AM16</f>
        <v>0</v>
      </c>
      <c r="E59" s="127"/>
      <c r="F59" s="113">
        <f>Pivots!AN16</f>
        <v>0</v>
      </c>
      <c r="G59" s="113">
        <f>Pivots!AO16</f>
        <v>0</v>
      </c>
      <c r="H59" s="127">
        <f>Pivots!AP16</f>
        <v>0</v>
      </c>
      <c r="I59" s="127">
        <f>Pivots!AQ16</f>
        <v>0</v>
      </c>
      <c r="J59" s="127">
        <f>Pivots!AR16</f>
        <v>0</v>
      </c>
      <c r="K59" s="128" t="e">
        <f t="shared" si="0"/>
        <v>#DIV/0!</v>
      </c>
      <c r="L59" s="131"/>
      <c r="M59" s="132"/>
      <c r="N59" s="132"/>
      <c r="O59" s="132"/>
      <c r="P59" s="132"/>
    </row>
    <row r="60" spans="1:16" ht="17.25" hidden="1" customHeight="1" x14ac:dyDescent="0.3">
      <c r="A60" s="134"/>
      <c r="B60" s="123">
        <f>Pivots!AK17</f>
        <v>0</v>
      </c>
      <c r="C60" s="112">
        <f>Pivots!AL17</f>
        <v>0</v>
      </c>
      <c r="D60" s="112">
        <f>Pivots!AM17</f>
        <v>0</v>
      </c>
      <c r="E60" s="125"/>
      <c r="F60" s="112">
        <f>Pivots!AN17</f>
        <v>0</v>
      </c>
      <c r="G60" s="112">
        <f>Pivots!AO17</f>
        <v>0</v>
      </c>
      <c r="H60" s="125">
        <f>Pivots!AP17</f>
        <v>0</v>
      </c>
      <c r="I60" s="125">
        <f>Pivots!AQ17</f>
        <v>0</v>
      </c>
      <c r="J60" s="125">
        <f>Pivots!AR17</f>
        <v>0</v>
      </c>
      <c r="K60" s="126" t="e">
        <f t="shared" si="0"/>
        <v>#DIV/0!</v>
      </c>
      <c r="L60" s="131"/>
      <c r="M60" s="132"/>
      <c r="N60" s="132"/>
      <c r="O60" s="132"/>
      <c r="P60" s="132"/>
    </row>
    <row r="61" spans="1:16" ht="17.25" hidden="1" customHeight="1" x14ac:dyDescent="0.3">
      <c r="A61" s="134"/>
      <c r="B61" s="124">
        <f>Pivots!AK18</f>
        <v>0</v>
      </c>
      <c r="C61" s="113">
        <f>Pivots!AL18</f>
        <v>0</v>
      </c>
      <c r="D61" s="113">
        <f>Pivots!AM18</f>
        <v>0</v>
      </c>
      <c r="E61" s="127"/>
      <c r="F61" s="113">
        <f>Pivots!AN18</f>
        <v>0</v>
      </c>
      <c r="G61" s="113">
        <f>Pivots!AO18</f>
        <v>0</v>
      </c>
      <c r="H61" s="127">
        <f>Pivots!AP18</f>
        <v>0</v>
      </c>
      <c r="I61" s="127">
        <f>Pivots!AQ18</f>
        <v>0</v>
      </c>
      <c r="J61" s="127">
        <f>Pivots!AR18</f>
        <v>0</v>
      </c>
      <c r="K61" s="128" t="e">
        <f t="shared" si="0"/>
        <v>#DIV/0!</v>
      </c>
      <c r="L61" s="131"/>
      <c r="M61" s="132"/>
      <c r="N61" s="132"/>
      <c r="O61" s="132"/>
      <c r="P61" s="132"/>
    </row>
    <row r="62" spans="1:16" ht="17.25" hidden="1" customHeight="1" x14ac:dyDescent="0.3">
      <c r="A62" s="134"/>
      <c r="B62" s="123">
        <f>Pivots!AK19</f>
        <v>0</v>
      </c>
      <c r="C62" s="112">
        <f>Pivots!AL19</f>
        <v>0</v>
      </c>
      <c r="D62" s="112">
        <f>Pivots!AM19</f>
        <v>0</v>
      </c>
      <c r="E62" s="125"/>
      <c r="F62" s="112">
        <f>Pivots!AN19</f>
        <v>0</v>
      </c>
      <c r="G62" s="112">
        <f>Pivots!AO19</f>
        <v>0</v>
      </c>
      <c r="H62" s="125">
        <f>Pivots!AP19</f>
        <v>0</v>
      </c>
      <c r="I62" s="125">
        <f>Pivots!AQ19</f>
        <v>0</v>
      </c>
      <c r="J62" s="125">
        <f>Pivots!AR19</f>
        <v>0</v>
      </c>
      <c r="K62" s="126" t="e">
        <f t="shared" si="0"/>
        <v>#DIV/0!</v>
      </c>
      <c r="L62" s="131"/>
      <c r="M62" s="132"/>
      <c r="N62" s="132"/>
      <c r="O62" s="132"/>
      <c r="P62" s="132"/>
    </row>
    <row r="63" spans="1:16" ht="17.25" hidden="1" customHeight="1" x14ac:dyDescent="0.3">
      <c r="A63" s="134"/>
      <c r="B63" s="124">
        <f>Pivots!AK20</f>
        <v>0</v>
      </c>
      <c r="C63" s="113">
        <f>Pivots!AL20</f>
        <v>0</v>
      </c>
      <c r="D63" s="113">
        <f>Pivots!AM20</f>
        <v>0</v>
      </c>
      <c r="E63" s="127"/>
      <c r="F63" s="113">
        <f>Pivots!AN20</f>
        <v>0</v>
      </c>
      <c r="G63" s="113">
        <f>Pivots!AO20</f>
        <v>0</v>
      </c>
      <c r="H63" s="127">
        <f>Pivots!AP20</f>
        <v>0</v>
      </c>
      <c r="I63" s="127">
        <f>Pivots!AQ20</f>
        <v>0</v>
      </c>
      <c r="J63" s="127">
        <f>Pivots!AR20</f>
        <v>0</v>
      </c>
      <c r="K63" s="128" t="e">
        <f t="shared" si="0"/>
        <v>#DIV/0!</v>
      </c>
      <c r="L63" s="131"/>
      <c r="M63" s="132"/>
      <c r="N63" s="132"/>
      <c r="O63" s="132"/>
      <c r="P63" s="132"/>
    </row>
    <row r="64" spans="1:16" ht="17.25" hidden="1" customHeight="1" x14ac:dyDescent="0.3">
      <c r="A64" s="134"/>
      <c r="B64" s="123">
        <f>Pivots!AK21</f>
        <v>0</v>
      </c>
      <c r="C64" s="112">
        <f>Pivots!AL21</f>
        <v>0</v>
      </c>
      <c r="D64" s="112">
        <f>Pivots!AM21</f>
        <v>0</v>
      </c>
      <c r="E64" s="125"/>
      <c r="F64" s="112">
        <f>Pivots!AN21</f>
        <v>0</v>
      </c>
      <c r="G64" s="112">
        <f>Pivots!AO21</f>
        <v>0</v>
      </c>
      <c r="H64" s="125">
        <f>Pivots!AP21</f>
        <v>0</v>
      </c>
      <c r="I64" s="125">
        <f>Pivots!AQ21</f>
        <v>0</v>
      </c>
      <c r="J64" s="125">
        <f>Pivots!AR21</f>
        <v>0</v>
      </c>
      <c r="K64" s="126" t="e">
        <f t="shared" si="0"/>
        <v>#DIV/0!</v>
      </c>
      <c r="L64" s="131"/>
      <c r="M64" s="132"/>
      <c r="N64" s="132"/>
      <c r="O64" s="132"/>
      <c r="P64" s="132"/>
    </row>
    <row r="65" spans="1:16" ht="17.25" hidden="1" customHeight="1" x14ac:dyDescent="0.3">
      <c r="A65" s="134"/>
      <c r="B65" s="124">
        <f>Pivots!AK22</f>
        <v>0</v>
      </c>
      <c r="C65" s="113">
        <f>Pivots!AL22</f>
        <v>0</v>
      </c>
      <c r="D65" s="113">
        <f>Pivots!AM22</f>
        <v>0</v>
      </c>
      <c r="E65" s="127"/>
      <c r="F65" s="113">
        <f>Pivots!AN22</f>
        <v>0</v>
      </c>
      <c r="G65" s="113">
        <f>Pivots!AO22</f>
        <v>0</v>
      </c>
      <c r="H65" s="127">
        <f>Pivots!AP22</f>
        <v>0</v>
      </c>
      <c r="I65" s="127">
        <f>Pivots!AQ22</f>
        <v>0</v>
      </c>
      <c r="J65" s="127">
        <f>Pivots!AR22</f>
        <v>0</v>
      </c>
      <c r="K65" s="128" t="e">
        <f t="shared" si="0"/>
        <v>#DIV/0!</v>
      </c>
      <c r="L65" s="131"/>
      <c r="M65" s="132"/>
      <c r="N65" s="132"/>
      <c r="O65" s="132"/>
      <c r="P65" s="132"/>
    </row>
    <row r="66" spans="1:16" ht="17.25" hidden="1" customHeight="1" x14ac:dyDescent="0.3">
      <c r="A66" s="134"/>
      <c r="B66" s="123">
        <f>Pivots!AK23</f>
        <v>0</v>
      </c>
      <c r="C66" s="112">
        <f>Pivots!AL23</f>
        <v>0</v>
      </c>
      <c r="D66" s="112">
        <f>Pivots!AM23</f>
        <v>0</v>
      </c>
      <c r="E66" s="125"/>
      <c r="F66" s="112">
        <f>Pivots!AN23</f>
        <v>0</v>
      </c>
      <c r="G66" s="112">
        <f>Pivots!AO23</f>
        <v>0</v>
      </c>
      <c r="H66" s="125">
        <f>Pivots!AP23</f>
        <v>0</v>
      </c>
      <c r="I66" s="125">
        <f>Pivots!AQ23</f>
        <v>0</v>
      </c>
      <c r="J66" s="125">
        <f>Pivots!AR23</f>
        <v>0</v>
      </c>
      <c r="K66" s="126" t="e">
        <f t="shared" si="0"/>
        <v>#DIV/0!</v>
      </c>
      <c r="L66" s="131"/>
      <c r="M66" s="132"/>
      <c r="N66" s="132"/>
      <c r="O66" s="132"/>
      <c r="P66" s="132"/>
    </row>
    <row r="67" spans="1:16" ht="17.25" hidden="1" customHeight="1" x14ac:dyDescent="0.3">
      <c r="A67" s="134"/>
      <c r="B67" s="124">
        <f>Pivots!AK24</f>
        <v>0</v>
      </c>
      <c r="C67" s="113">
        <f>Pivots!AL24</f>
        <v>0</v>
      </c>
      <c r="D67" s="113">
        <f>Pivots!AM24</f>
        <v>0</v>
      </c>
      <c r="E67" s="127"/>
      <c r="F67" s="113">
        <f>Pivots!AN24</f>
        <v>0</v>
      </c>
      <c r="G67" s="113">
        <f>Pivots!AO24</f>
        <v>0</v>
      </c>
      <c r="H67" s="127">
        <f>Pivots!AP24</f>
        <v>0</v>
      </c>
      <c r="I67" s="127">
        <f>Pivots!AQ24</f>
        <v>0</v>
      </c>
      <c r="J67" s="127">
        <f>Pivots!AR24</f>
        <v>0</v>
      </c>
      <c r="K67" s="128" t="e">
        <f t="shared" si="0"/>
        <v>#DIV/0!</v>
      </c>
      <c r="L67" s="131"/>
      <c r="M67" s="132"/>
      <c r="N67" s="132"/>
      <c r="O67" s="132"/>
      <c r="P67" s="132"/>
    </row>
    <row r="68" spans="1:16" ht="17.25" hidden="1" customHeight="1" x14ac:dyDescent="0.3">
      <c r="A68" s="134"/>
      <c r="B68" s="123">
        <f>Pivots!AK25</f>
        <v>0</v>
      </c>
      <c r="C68" s="112">
        <f>Pivots!AL25</f>
        <v>0</v>
      </c>
      <c r="D68" s="112">
        <f>Pivots!AM25</f>
        <v>0</v>
      </c>
      <c r="E68" s="125"/>
      <c r="F68" s="112">
        <f>Pivots!AN25</f>
        <v>0</v>
      </c>
      <c r="G68" s="112">
        <f>Pivots!AO25</f>
        <v>0</v>
      </c>
      <c r="H68" s="125">
        <f>Pivots!AP25</f>
        <v>0</v>
      </c>
      <c r="I68" s="125">
        <f>Pivots!AQ25</f>
        <v>0</v>
      </c>
      <c r="J68" s="125">
        <f>Pivots!AR25</f>
        <v>0</v>
      </c>
      <c r="K68" s="126" t="e">
        <f t="shared" si="0"/>
        <v>#DIV/0!</v>
      </c>
      <c r="L68" s="131"/>
      <c r="M68" s="132"/>
      <c r="N68" s="132"/>
      <c r="O68" s="132"/>
      <c r="P68" s="132"/>
    </row>
    <row r="69" spans="1:16" ht="17.25" hidden="1" customHeight="1" x14ac:dyDescent="0.3">
      <c r="A69" s="134"/>
      <c r="B69" s="124">
        <f>Pivots!AK26</f>
        <v>0</v>
      </c>
      <c r="C69" s="113">
        <f>Pivots!AL26</f>
        <v>0</v>
      </c>
      <c r="D69" s="113">
        <f>Pivots!AM26</f>
        <v>0</v>
      </c>
      <c r="E69" s="127"/>
      <c r="F69" s="113">
        <f>Pivots!AN26</f>
        <v>0</v>
      </c>
      <c r="G69" s="113">
        <f>Pivots!AO26</f>
        <v>0</v>
      </c>
      <c r="H69" s="127">
        <f>Pivots!AP26</f>
        <v>0</v>
      </c>
      <c r="I69" s="127">
        <f>Pivots!AQ26</f>
        <v>0</v>
      </c>
      <c r="J69" s="127">
        <f>Pivots!AR26</f>
        <v>0</v>
      </c>
      <c r="K69" s="128" t="e">
        <f t="shared" si="0"/>
        <v>#DIV/0!</v>
      </c>
      <c r="L69" s="131"/>
      <c r="M69" s="132"/>
      <c r="N69" s="132"/>
      <c r="O69" s="132"/>
      <c r="P69" s="132"/>
    </row>
    <row r="70" spans="1:16" ht="17.25" hidden="1" customHeight="1" x14ac:dyDescent="0.3">
      <c r="A70" s="134"/>
      <c r="B70" s="123">
        <f>Pivots!AK27</f>
        <v>0</v>
      </c>
      <c r="C70" s="112">
        <f>Pivots!AL27</f>
        <v>0</v>
      </c>
      <c r="D70" s="112">
        <f>Pivots!AM27</f>
        <v>0</v>
      </c>
      <c r="E70" s="125"/>
      <c r="F70" s="112">
        <f>Pivots!AN27</f>
        <v>0</v>
      </c>
      <c r="G70" s="112">
        <f>Pivots!AO27</f>
        <v>0</v>
      </c>
      <c r="H70" s="125">
        <f>Pivots!AP27</f>
        <v>0</v>
      </c>
      <c r="I70" s="125">
        <f>Pivots!AQ27</f>
        <v>0</v>
      </c>
      <c r="J70" s="125">
        <f>Pivots!AR27</f>
        <v>0</v>
      </c>
      <c r="K70" s="126" t="e">
        <f t="shared" si="0"/>
        <v>#DIV/0!</v>
      </c>
      <c r="L70" s="131"/>
      <c r="M70" s="132"/>
      <c r="N70" s="132"/>
      <c r="O70" s="132"/>
      <c r="P70" s="132"/>
    </row>
    <row r="71" spans="1:16" ht="17.25" hidden="1" customHeight="1" x14ac:dyDescent="0.3">
      <c r="A71" s="134"/>
      <c r="B71" s="124">
        <f>Pivots!AK28</f>
        <v>0</v>
      </c>
      <c r="C71" s="113">
        <f>Pivots!AL28</f>
        <v>0</v>
      </c>
      <c r="D71" s="113">
        <f>Pivots!AM28</f>
        <v>0</v>
      </c>
      <c r="E71" s="127"/>
      <c r="F71" s="113">
        <f>Pivots!AN28</f>
        <v>0</v>
      </c>
      <c r="G71" s="113">
        <f>Pivots!AO28</f>
        <v>0</v>
      </c>
      <c r="H71" s="127">
        <f>Pivots!AP28</f>
        <v>0</v>
      </c>
      <c r="I71" s="127">
        <f>Pivots!AQ28</f>
        <v>0</v>
      </c>
      <c r="J71" s="127">
        <f>Pivots!AR28</f>
        <v>0</v>
      </c>
      <c r="K71" s="128" t="e">
        <f t="shared" si="0"/>
        <v>#DIV/0!</v>
      </c>
      <c r="L71" s="131"/>
      <c r="M71" s="132"/>
      <c r="N71" s="132"/>
      <c r="O71" s="132"/>
      <c r="P71" s="132"/>
    </row>
    <row r="72" spans="1:16" ht="17.25" hidden="1" customHeight="1" x14ac:dyDescent="0.3">
      <c r="A72" s="134"/>
      <c r="B72" s="123">
        <f>Pivots!AK29</f>
        <v>0</v>
      </c>
      <c r="C72" s="112">
        <f>Pivots!AL29</f>
        <v>0</v>
      </c>
      <c r="D72" s="112">
        <f>Pivots!AM29</f>
        <v>0</v>
      </c>
      <c r="E72" s="125"/>
      <c r="F72" s="112">
        <f>Pivots!AN29</f>
        <v>0</v>
      </c>
      <c r="G72" s="112">
        <f>Pivots!AO29</f>
        <v>0</v>
      </c>
      <c r="H72" s="125">
        <f>Pivots!AP29</f>
        <v>0</v>
      </c>
      <c r="I72" s="125">
        <f>Pivots!AQ29</f>
        <v>0</v>
      </c>
      <c r="J72" s="125">
        <f>Pivots!AR29</f>
        <v>0</v>
      </c>
      <c r="K72" s="126" t="e">
        <f t="shared" si="0"/>
        <v>#DIV/0!</v>
      </c>
      <c r="L72" s="131"/>
      <c r="M72" s="132"/>
      <c r="N72" s="132"/>
      <c r="O72" s="132"/>
      <c r="P72" s="132"/>
    </row>
    <row r="73" spans="1:16" ht="17.25" hidden="1" customHeight="1" x14ac:dyDescent="0.3">
      <c r="A73" s="134"/>
      <c r="B73" s="124">
        <f>Pivots!AK30</f>
        <v>0</v>
      </c>
      <c r="C73" s="113">
        <f>Pivots!AL30</f>
        <v>0</v>
      </c>
      <c r="D73" s="113">
        <f>Pivots!AM30</f>
        <v>0</v>
      </c>
      <c r="E73" s="127"/>
      <c r="F73" s="113">
        <f>Pivots!AN30</f>
        <v>0</v>
      </c>
      <c r="G73" s="113">
        <f>Pivots!AO30</f>
        <v>0</v>
      </c>
      <c r="H73" s="127">
        <f>Pivots!AP30</f>
        <v>0</v>
      </c>
      <c r="I73" s="127">
        <f>Pivots!AQ30</f>
        <v>0</v>
      </c>
      <c r="J73" s="127">
        <f>Pivots!AR30</f>
        <v>0</v>
      </c>
      <c r="K73" s="128" t="e">
        <f t="shared" si="0"/>
        <v>#DIV/0!</v>
      </c>
      <c r="L73" s="131"/>
      <c r="M73" s="132"/>
      <c r="N73" s="132"/>
      <c r="O73" s="132"/>
      <c r="P73" s="132"/>
    </row>
    <row r="74" spans="1:16" ht="17.25" hidden="1" customHeight="1" x14ac:dyDescent="0.3">
      <c r="A74" s="134"/>
      <c r="B74" s="123">
        <f>Pivots!AK31</f>
        <v>0</v>
      </c>
      <c r="C74" s="112">
        <f>Pivots!AL31</f>
        <v>0</v>
      </c>
      <c r="D74" s="112">
        <f>Pivots!AM31</f>
        <v>0</v>
      </c>
      <c r="E74" s="125"/>
      <c r="F74" s="112">
        <f>Pivots!AN31</f>
        <v>0</v>
      </c>
      <c r="G74" s="112">
        <f>Pivots!AO31</f>
        <v>0</v>
      </c>
      <c r="H74" s="125">
        <f>Pivots!AP31</f>
        <v>0</v>
      </c>
      <c r="I74" s="125">
        <f>Pivots!AQ31</f>
        <v>0</v>
      </c>
      <c r="J74" s="125">
        <f>Pivots!AR31</f>
        <v>0</v>
      </c>
      <c r="K74" s="126" t="e">
        <f t="shared" si="0"/>
        <v>#DIV/0!</v>
      </c>
      <c r="L74" s="131"/>
      <c r="M74" s="132"/>
      <c r="N74" s="132"/>
      <c r="O74" s="132"/>
      <c r="P74" s="132"/>
    </row>
    <row r="75" spans="1:16" ht="17.25" customHeight="1" x14ac:dyDescent="0.35">
      <c r="A75" s="134"/>
      <c r="B75" s="104" t="s">
        <v>628</v>
      </c>
      <c r="C75" s="103">
        <v>2823</v>
      </c>
      <c r="D75" s="103">
        <v>2920</v>
      </c>
      <c r="E75" s="129">
        <f>SUM(E48:E74)</f>
        <v>7415</v>
      </c>
      <c r="F75" s="103">
        <v>1060</v>
      </c>
      <c r="G75" s="103">
        <v>1860</v>
      </c>
      <c r="H75" s="129">
        <v>6808.2788671023964</v>
      </c>
      <c r="I75" s="129">
        <v>21957.888980038282</v>
      </c>
      <c r="J75" s="129">
        <v>28676.470588235294</v>
      </c>
      <c r="K75" s="130">
        <f>(J75-E75)/E75</f>
        <v>2.8673594859386773</v>
      </c>
    </row>
    <row r="76" spans="1:16" ht="17.399999999999999" x14ac:dyDescent="0.35">
      <c r="A76" s="99"/>
    </row>
    <row r="77" spans="1:16" ht="17.399999999999999" x14ac:dyDescent="0.35">
      <c r="A77" s="99"/>
    </row>
    <row r="78" spans="1:16" ht="17.399999999999999" x14ac:dyDescent="0.35">
      <c r="A78" s="99"/>
    </row>
    <row r="79" spans="1:16" ht="17.399999999999999" x14ac:dyDescent="0.35">
      <c r="A79" s="99"/>
    </row>
    <row r="80" spans="1:16" ht="17.399999999999999" x14ac:dyDescent="0.35">
      <c r="A80" s="99"/>
    </row>
  </sheetData>
  <mergeCells count="3">
    <mergeCell ref="B1:B2"/>
    <mergeCell ref="F33:F37"/>
    <mergeCell ref="F38:F39"/>
  </mergeCells>
  <conditionalFormatting sqref="K48:K75">
    <cfRule type="iconSet" priority="2">
      <iconSet iconSet="3Arrows">
        <cfvo type="percent" val="0"/>
        <cfvo type="num" val="-1E-4"/>
        <cfvo type="num" val="0"/>
      </iconSet>
    </cfRule>
  </conditionalFormatting>
  <pageMargins left="0.7" right="0.7" top="0.75" bottom="0.75" header="0.3" footer="0.3"/>
  <pageSetup paperSize="9" orientation="portrait" verticalDpi="30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958"/>
  <sheetViews>
    <sheetView workbookViewId="0"/>
  </sheetViews>
  <sheetFormatPr defaultRowHeight="14.4" x14ac:dyDescent="0.3"/>
  <cols>
    <col min="1" max="1" width="19.44140625" bestFit="1" customWidth="1"/>
    <col min="2" max="2" width="26.88671875" bestFit="1" customWidth="1"/>
    <col min="3" max="3" width="16.5546875" bestFit="1" customWidth="1"/>
    <col min="4" max="4" width="50.6640625" bestFit="1" customWidth="1"/>
    <col min="5" max="5" width="13.109375" customWidth="1"/>
    <col min="6" max="6" width="8.5546875" customWidth="1"/>
    <col min="7" max="14" width="25.109375" customWidth="1"/>
    <col min="257" max="257" width="19.44140625" bestFit="1" customWidth="1"/>
    <col min="258" max="258" width="26.88671875" bestFit="1" customWidth="1"/>
    <col min="259" max="259" width="16.5546875" bestFit="1" customWidth="1"/>
    <col min="260" max="260" width="50.6640625" bestFit="1" customWidth="1"/>
    <col min="261" max="261" width="13.109375" customWidth="1"/>
    <col min="262" max="262" width="8.5546875" customWidth="1"/>
    <col min="263" max="270" width="25.109375" customWidth="1"/>
    <col min="513" max="513" width="19.44140625" bestFit="1" customWidth="1"/>
    <col min="514" max="514" width="26.88671875" bestFit="1" customWidth="1"/>
    <col min="515" max="515" width="16.5546875" bestFit="1" customWidth="1"/>
    <col min="516" max="516" width="50.6640625" bestFit="1" customWidth="1"/>
    <col min="517" max="517" width="13.109375" customWidth="1"/>
    <col min="518" max="518" width="8.5546875" customWidth="1"/>
    <col min="519" max="526" width="25.109375" customWidth="1"/>
    <col min="769" max="769" width="19.44140625" bestFit="1" customWidth="1"/>
    <col min="770" max="770" width="26.88671875" bestFit="1" customWidth="1"/>
    <col min="771" max="771" width="16.5546875" bestFit="1" customWidth="1"/>
    <col min="772" max="772" width="50.6640625" bestFit="1" customWidth="1"/>
    <col min="773" max="773" width="13.109375" customWidth="1"/>
    <col min="774" max="774" width="8.5546875" customWidth="1"/>
    <col min="775" max="782" width="25.109375" customWidth="1"/>
    <col min="1025" max="1025" width="19.44140625" bestFit="1" customWidth="1"/>
    <col min="1026" max="1026" width="26.88671875" bestFit="1" customWidth="1"/>
    <col min="1027" max="1027" width="16.5546875" bestFit="1" customWidth="1"/>
    <col min="1028" max="1028" width="50.6640625" bestFit="1" customWidth="1"/>
    <col min="1029" max="1029" width="13.109375" customWidth="1"/>
    <col min="1030" max="1030" width="8.5546875" customWidth="1"/>
    <col min="1031" max="1038" width="25.109375" customWidth="1"/>
    <col min="1281" max="1281" width="19.44140625" bestFit="1" customWidth="1"/>
    <col min="1282" max="1282" width="26.88671875" bestFit="1" customWidth="1"/>
    <col min="1283" max="1283" width="16.5546875" bestFit="1" customWidth="1"/>
    <col min="1284" max="1284" width="50.6640625" bestFit="1" customWidth="1"/>
    <col min="1285" max="1285" width="13.109375" customWidth="1"/>
    <col min="1286" max="1286" width="8.5546875" customWidth="1"/>
    <col min="1287" max="1294" width="25.109375" customWidth="1"/>
    <col min="1537" max="1537" width="19.44140625" bestFit="1" customWidth="1"/>
    <col min="1538" max="1538" width="26.88671875" bestFit="1" customWidth="1"/>
    <col min="1539" max="1539" width="16.5546875" bestFit="1" customWidth="1"/>
    <col min="1540" max="1540" width="50.6640625" bestFit="1" customWidth="1"/>
    <col min="1541" max="1541" width="13.109375" customWidth="1"/>
    <col min="1542" max="1542" width="8.5546875" customWidth="1"/>
    <col min="1543" max="1550" width="25.109375" customWidth="1"/>
    <col min="1793" max="1793" width="19.44140625" bestFit="1" customWidth="1"/>
    <col min="1794" max="1794" width="26.88671875" bestFit="1" customWidth="1"/>
    <col min="1795" max="1795" width="16.5546875" bestFit="1" customWidth="1"/>
    <col min="1796" max="1796" width="50.6640625" bestFit="1" customWidth="1"/>
    <col min="1797" max="1797" width="13.109375" customWidth="1"/>
    <col min="1798" max="1798" width="8.5546875" customWidth="1"/>
    <col min="1799" max="1806" width="25.109375" customWidth="1"/>
    <col min="2049" max="2049" width="19.44140625" bestFit="1" customWidth="1"/>
    <col min="2050" max="2050" width="26.88671875" bestFit="1" customWidth="1"/>
    <col min="2051" max="2051" width="16.5546875" bestFit="1" customWidth="1"/>
    <col min="2052" max="2052" width="50.6640625" bestFit="1" customWidth="1"/>
    <col min="2053" max="2053" width="13.109375" customWidth="1"/>
    <col min="2054" max="2054" width="8.5546875" customWidth="1"/>
    <col min="2055" max="2062" width="25.109375" customWidth="1"/>
    <col min="2305" max="2305" width="19.44140625" bestFit="1" customWidth="1"/>
    <col min="2306" max="2306" width="26.88671875" bestFit="1" customWidth="1"/>
    <col min="2307" max="2307" width="16.5546875" bestFit="1" customWidth="1"/>
    <col min="2308" max="2308" width="50.6640625" bestFit="1" customWidth="1"/>
    <col min="2309" max="2309" width="13.109375" customWidth="1"/>
    <col min="2310" max="2310" width="8.5546875" customWidth="1"/>
    <col min="2311" max="2318" width="25.109375" customWidth="1"/>
    <col min="2561" max="2561" width="19.44140625" bestFit="1" customWidth="1"/>
    <col min="2562" max="2562" width="26.88671875" bestFit="1" customWidth="1"/>
    <col min="2563" max="2563" width="16.5546875" bestFit="1" customWidth="1"/>
    <col min="2564" max="2564" width="50.6640625" bestFit="1" customWidth="1"/>
    <col min="2565" max="2565" width="13.109375" customWidth="1"/>
    <col min="2566" max="2566" width="8.5546875" customWidth="1"/>
    <col min="2567" max="2574" width="25.109375" customWidth="1"/>
    <col min="2817" max="2817" width="19.44140625" bestFit="1" customWidth="1"/>
    <col min="2818" max="2818" width="26.88671875" bestFit="1" customWidth="1"/>
    <col min="2819" max="2819" width="16.5546875" bestFit="1" customWidth="1"/>
    <col min="2820" max="2820" width="50.6640625" bestFit="1" customWidth="1"/>
    <col min="2821" max="2821" width="13.109375" customWidth="1"/>
    <col min="2822" max="2822" width="8.5546875" customWidth="1"/>
    <col min="2823" max="2830" width="25.109375" customWidth="1"/>
    <col min="3073" max="3073" width="19.44140625" bestFit="1" customWidth="1"/>
    <col min="3074" max="3074" width="26.88671875" bestFit="1" customWidth="1"/>
    <col min="3075" max="3075" width="16.5546875" bestFit="1" customWidth="1"/>
    <col min="3076" max="3076" width="50.6640625" bestFit="1" customWidth="1"/>
    <col min="3077" max="3077" width="13.109375" customWidth="1"/>
    <col min="3078" max="3078" width="8.5546875" customWidth="1"/>
    <col min="3079" max="3086" width="25.109375" customWidth="1"/>
    <col min="3329" max="3329" width="19.44140625" bestFit="1" customWidth="1"/>
    <col min="3330" max="3330" width="26.88671875" bestFit="1" customWidth="1"/>
    <col min="3331" max="3331" width="16.5546875" bestFit="1" customWidth="1"/>
    <col min="3332" max="3332" width="50.6640625" bestFit="1" customWidth="1"/>
    <col min="3333" max="3333" width="13.109375" customWidth="1"/>
    <col min="3334" max="3334" width="8.5546875" customWidth="1"/>
    <col min="3335" max="3342" width="25.109375" customWidth="1"/>
    <col min="3585" max="3585" width="19.44140625" bestFit="1" customWidth="1"/>
    <col min="3586" max="3586" width="26.88671875" bestFit="1" customWidth="1"/>
    <col min="3587" max="3587" width="16.5546875" bestFit="1" customWidth="1"/>
    <col min="3588" max="3588" width="50.6640625" bestFit="1" customWidth="1"/>
    <col min="3589" max="3589" width="13.109375" customWidth="1"/>
    <col min="3590" max="3590" width="8.5546875" customWidth="1"/>
    <col min="3591" max="3598" width="25.109375" customWidth="1"/>
    <col min="3841" max="3841" width="19.44140625" bestFit="1" customWidth="1"/>
    <col min="3842" max="3842" width="26.88671875" bestFit="1" customWidth="1"/>
    <col min="3843" max="3843" width="16.5546875" bestFit="1" customWidth="1"/>
    <col min="3844" max="3844" width="50.6640625" bestFit="1" customWidth="1"/>
    <col min="3845" max="3845" width="13.109375" customWidth="1"/>
    <col min="3846" max="3846" width="8.5546875" customWidth="1"/>
    <col min="3847" max="3854" width="25.109375" customWidth="1"/>
    <col min="4097" max="4097" width="19.44140625" bestFit="1" customWidth="1"/>
    <col min="4098" max="4098" width="26.88671875" bestFit="1" customWidth="1"/>
    <col min="4099" max="4099" width="16.5546875" bestFit="1" customWidth="1"/>
    <col min="4100" max="4100" width="50.6640625" bestFit="1" customWidth="1"/>
    <col min="4101" max="4101" width="13.109375" customWidth="1"/>
    <col min="4102" max="4102" width="8.5546875" customWidth="1"/>
    <col min="4103" max="4110" width="25.109375" customWidth="1"/>
    <col min="4353" max="4353" width="19.44140625" bestFit="1" customWidth="1"/>
    <col min="4354" max="4354" width="26.88671875" bestFit="1" customWidth="1"/>
    <col min="4355" max="4355" width="16.5546875" bestFit="1" customWidth="1"/>
    <col min="4356" max="4356" width="50.6640625" bestFit="1" customWidth="1"/>
    <col min="4357" max="4357" width="13.109375" customWidth="1"/>
    <col min="4358" max="4358" width="8.5546875" customWidth="1"/>
    <col min="4359" max="4366" width="25.109375" customWidth="1"/>
    <col min="4609" max="4609" width="19.44140625" bestFit="1" customWidth="1"/>
    <col min="4610" max="4610" width="26.88671875" bestFit="1" customWidth="1"/>
    <col min="4611" max="4611" width="16.5546875" bestFit="1" customWidth="1"/>
    <col min="4612" max="4612" width="50.6640625" bestFit="1" customWidth="1"/>
    <col min="4613" max="4613" width="13.109375" customWidth="1"/>
    <col min="4614" max="4614" width="8.5546875" customWidth="1"/>
    <col min="4615" max="4622" width="25.109375" customWidth="1"/>
    <col min="4865" max="4865" width="19.44140625" bestFit="1" customWidth="1"/>
    <col min="4866" max="4866" width="26.88671875" bestFit="1" customWidth="1"/>
    <col min="4867" max="4867" width="16.5546875" bestFit="1" customWidth="1"/>
    <col min="4868" max="4868" width="50.6640625" bestFit="1" customWidth="1"/>
    <col min="4869" max="4869" width="13.109375" customWidth="1"/>
    <col min="4870" max="4870" width="8.5546875" customWidth="1"/>
    <col min="4871" max="4878" width="25.109375" customWidth="1"/>
    <col min="5121" max="5121" width="19.44140625" bestFit="1" customWidth="1"/>
    <col min="5122" max="5122" width="26.88671875" bestFit="1" customWidth="1"/>
    <col min="5123" max="5123" width="16.5546875" bestFit="1" customWidth="1"/>
    <col min="5124" max="5124" width="50.6640625" bestFit="1" customWidth="1"/>
    <col min="5125" max="5125" width="13.109375" customWidth="1"/>
    <col min="5126" max="5126" width="8.5546875" customWidth="1"/>
    <col min="5127" max="5134" width="25.109375" customWidth="1"/>
    <col min="5377" max="5377" width="19.44140625" bestFit="1" customWidth="1"/>
    <col min="5378" max="5378" width="26.88671875" bestFit="1" customWidth="1"/>
    <col min="5379" max="5379" width="16.5546875" bestFit="1" customWidth="1"/>
    <col min="5380" max="5380" width="50.6640625" bestFit="1" customWidth="1"/>
    <col min="5381" max="5381" width="13.109375" customWidth="1"/>
    <col min="5382" max="5382" width="8.5546875" customWidth="1"/>
    <col min="5383" max="5390" width="25.109375" customWidth="1"/>
    <col min="5633" max="5633" width="19.44140625" bestFit="1" customWidth="1"/>
    <col min="5634" max="5634" width="26.88671875" bestFit="1" customWidth="1"/>
    <col min="5635" max="5635" width="16.5546875" bestFit="1" customWidth="1"/>
    <col min="5636" max="5636" width="50.6640625" bestFit="1" customWidth="1"/>
    <col min="5637" max="5637" width="13.109375" customWidth="1"/>
    <col min="5638" max="5638" width="8.5546875" customWidth="1"/>
    <col min="5639" max="5646" width="25.109375" customWidth="1"/>
    <col min="5889" max="5889" width="19.44140625" bestFit="1" customWidth="1"/>
    <col min="5890" max="5890" width="26.88671875" bestFit="1" customWidth="1"/>
    <col min="5891" max="5891" width="16.5546875" bestFit="1" customWidth="1"/>
    <col min="5892" max="5892" width="50.6640625" bestFit="1" customWidth="1"/>
    <col min="5893" max="5893" width="13.109375" customWidth="1"/>
    <col min="5894" max="5894" width="8.5546875" customWidth="1"/>
    <col min="5895" max="5902" width="25.109375" customWidth="1"/>
    <col min="6145" max="6145" width="19.44140625" bestFit="1" customWidth="1"/>
    <col min="6146" max="6146" width="26.88671875" bestFit="1" customWidth="1"/>
    <col min="6147" max="6147" width="16.5546875" bestFit="1" customWidth="1"/>
    <col min="6148" max="6148" width="50.6640625" bestFit="1" customWidth="1"/>
    <col min="6149" max="6149" width="13.109375" customWidth="1"/>
    <col min="6150" max="6150" width="8.5546875" customWidth="1"/>
    <col min="6151" max="6158" width="25.109375" customWidth="1"/>
    <col min="6401" max="6401" width="19.44140625" bestFit="1" customWidth="1"/>
    <col min="6402" max="6402" width="26.88671875" bestFit="1" customWidth="1"/>
    <col min="6403" max="6403" width="16.5546875" bestFit="1" customWidth="1"/>
    <col min="6404" max="6404" width="50.6640625" bestFit="1" customWidth="1"/>
    <col min="6405" max="6405" width="13.109375" customWidth="1"/>
    <col min="6406" max="6406" width="8.5546875" customWidth="1"/>
    <col min="6407" max="6414" width="25.109375" customWidth="1"/>
    <col min="6657" max="6657" width="19.44140625" bestFit="1" customWidth="1"/>
    <col min="6658" max="6658" width="26.88671875" bestFit="1" customWidth="1"/>
    <col min="6659" max="6659" width="16.5546875" bestFit="1" customWidth="1"/>
    <col min="6660" max="6660" width="50.6640625" bestFit="1" customWidth="1"/>
    <col min="6661" max="6661" width="13.109375" customWidth="1"/>
    <col min="6662" max="6662" width="8.5546875" customWidth="1"/>
    <col min="6663" max="6670" width="25.109375" customWidth="1"/>
    <col min="6913" max="6913" width="19.44140625" bestFit="1" customWidth="1"/>
    <col min="6914" max="6914" width="26.88671875" bestFit="1" customWidth="1"/>
    <col min="6915" max="6915" width="16.5546875" bestFit="1" customWidth="1"/>
    <col min="6916" max="6916" width="50.6640625" bestFit="1" customWidth="1"/>
    <col min="6917" max="6917" width="13.109375" customWidth="1"/>
    <col min="6918" max="6918" width="8.5546875" customWidth="1"/>
    <col min="6919" max="6926" width="25.109375" customWidth="1"/>
    <col min="7169" max="7169" width="19.44140625" bestFit="1" customWidth="1"/>
    <col min="7170" max="7170" width="26.88671875" bestFit="1" customWidth="1"/>
    <col min="7171" max="7171" width="16.5546875" bestFit="1" customWidth="1"/>
    <col min="7172" max="7172" width="50.6640625" bestFit="1" customWidth="1"/>
    <col min="7173" max="7173" width="13.109375" customWidth="1"/>
    <col min="7174" max="7174" width="8.5546875" customWidth="1"/>
    <col min="7175" max="7182" width="25.109375" customWidth="1"/>
    <col min="7425" max="7425" width="19.44140625" bestFit="1" customWidth="1"/>
    <col min="7426" max="7426" width="26.88671875" bestFit="1" customWidth="1"/>
    <col min="7427" max="7427" width="16.5546875" bestFit="1" customWidth="1"/>
    <col min="7428" max="7428" width="50.6640625" bestFit="1" customWidth="1"/>
    <col min="7429" max="7429" width="13.109375" customWidth="1"/>
    <col min="7430" max="7430" width="8.5546875" customWidth="1"/>
    <col min="7431" max="7438" width="25.109375" customWidth="1"/>
    <col min="7681" max="7681" width="19.44140625" bestFit="1" customWidth="1"/>
    <col min="7682" max="7682" width="26.88671875" bestFit="1" customWidth="1"/>
    <col min="7683" max="7683" width="16.5546875" bestFit="1" customWidth="1"/>
    <col min="7684" max="7684" width="50.6640625" bestFit="1" customWidth="1"/>
    <col min="7685" max="7685" width="13.109375" customWidth="1"/>
    <col min="7686" max="7686" width="8.5546875" customWidth="1"/>
    <col min="7687" max="7694" width="25.109375" customWidth="1"/>
    <col min="7937" max="7937" width="19.44140625" bestFit="1" customWidth="1"/>
    <col min="7938" max="7938" width="26.88671875" bestFit="1" customWidth="1"/>
    <col min="7939" max="7939" width="16.5546875" bestFit="1" customWidth="1"/>
    <col min="7940" max="7940" width="50.6640625" bestFit="1" customWidth="1"/>
    <col min="7941" max="7941" width="13.109375" customWidth="1"/>
    <col min="7942" max="7942" width="8.5546875" customWidth="1"/>
    <col min="7943" max="7950" width="25.109375" customWidth="1"/>
    <col min="8193" max="8193" width="19.44140625" bestFit="1" customWidth="1"/>
    <col min="8194" max="8194" width="26.88671875" bestFit="1" customWidth="1"/>
    <col min="8195" max="8195" width="16.5546875" bestFit="1" customWidth="1"/>
    <col min="8196" max="8196" width="50.6640625" bestFit="1" customWidth="1"/>
    <col min="8197" max="8197" width="13.109375" customWidth="1"/>
    <col min="8198" max="8198" width="8.5546875" customWidth="1"/>
    <col min="8199" max="8206" width="25.109375" customWidth="1"/>
    <col min="8449" max="8449" width="19.44140625" bestFit="1" customWidth="1"/>
    <col min="8450" max="8450" width="26.88671875" bestFit="1" customWidth="1"/>
    <col min="8451" max="8451" width="16.5546875" bestFit="1" customWidth="1"/>
    <col min="8452" max="8452" width="50.6640625" bestFit="1" customWidth="1"/>
    <col min="8453" max="8453" width="13.109375" customWidth="1"/>
    <col min="8454" max="8454" width="8.5546875" customWidth="1"/>
    <col min="8455" max="8462" width="25.109375" customWidth="1"/>
    <col min="8705" max="8705" width="19.44140625" bestFit="1" customWidth="1"/>
    <col min="8706" max="8706" width="26.88671875" bestFit="1" customWidth="1"/>
    <col min="8707" max="8707" width="16.5546875" bestFit="1" customWidth="1"/>
    <col min="8708" max="8708" width="50.6640625" bestFit="1" customWidth="1"/>
    <col min="8709" max="8709" width="13.109375" customWidth="1"/>
    <col min="8710" max="8710" width="8.5546875" customWidth="1"/>
    <col min="8711" max="8718" width="25.109375" customWidth="1"/>
    <col min="8961" max="8961" width="19.44140625" bestFit="1" customWidth="1"/>
    <col min="8962" max="8962" width="26.88671875" bestFit="1" customWidth="1"/>
    <col min="8963" max="8963" width="16.5546875" bestFit="1" customWidth="1"/>
    <col min="8964" max="8964" width="50.6640625" bestFit="1" customWidth="1"/>
    <col min="8965" max="8965" width="13.109375" customWidth="1"/>
    <col min="8966" max="8966" width="8.5546875" customWidth="1"/>
    <col min="8967" max="8974" width="25.109375" customWidth="1"/>
    <col min="9217" max="9217" width="19.44140625" bestFit="1" customWidth="1"/>
    <col min="9218" max="9218" width="26.88671875" bestFit="1" customWidth="1"/>
    <col min="9219" max="9219" width="16.5546875" bestFit="1" customWidth="1"/>
    <col min="9220" max="9220" width="50.6640625" bestFit="1" customWidth="1"/>
    <col min="9221" max="9221" width="13.109375" customWidth="1"/>
    <col min="9222" max="9222" width="8.5546875" customWidth="1"/>
    <col min="9223" max="9230" width="25.109375" customWidth="1"/>
    <col min="9473" max="9473" width="19.44140625" bestFit="1" customWidth="1"/>
    <col min="9474" max="9474" width="26.88671875" bestFit="1" customWidth="1"/>
    <col min="9475" max="9475" width="16.5546875" bestFit="1" customWidth="1"/>
    <col min="9476" max="9476" width="50.6640625" bestFit="1" customWidth="1"/>
    <col min="9477" max="9477" width="13.109375" customWidth="1"/>
    <col min="9478" max="9478" width="8.5546875" customWidth="1"/>
    <col min="9479" max="9486" width="25.109375" customWidth="1"/>
    <col min="9729" max="9729" width="19.44140625" bestFit="1" customWidth="1"/>
    <col min="9730" max="9730" width="26.88671875" bestFit="1" customWidth="1"/>
    <col min="9731" max="9731" width="16.5546875" bestFit="1" customWidth="1"/>
    <col min="9732" max="9732" width="50.6640625" bestFit="1" customWidth="1"/>
    <col min="9733" max="9733" width="13.109375" customWidth="1"/>
    <col min="9734" max="9734" width="8.5546875" customWidth="1"/>
    <col min="9735" max="9742" width="25.109375" customWidth="1"/>
    <col min="9985" max="9985" width="19.44140625" bestFit="1" customWidth="1"/>
    <col min="9986" max="9986" width="26.88671875" bestFit="1" customWidth="1"/>
    <col min="9987" max="9987" width="16.5546875" bestFit="1" customWidth="1"/>
    <col min="9988" max="9988" width="50.6640625" bestFit="1" customWidth="1"/>
    <col min="9989" max="9989" width="13.109375" customWidth="1"/>
    <col min="9990" max="9990" width="8.5546875" customWidth="1"/>
    <col min="9991" max="9998" width="25.109375" customWidth="1"/>
    <col min="10241" max="10241" width="19.44140625" bestFit="1" customWidth="1"/>
    <col min="10242" max="10242" width="26.88671875" bestFit="1" customWidth="1"/>
    <col min="10243" max="10243" width="16.5546875" bestFit="1" customWidth="1"/>
    <col min="10244" max="10244" width="50.6640625" bestFit="1" customWidth="1"/>
    <col min="10245" max="10245" width="13.109375" customWidth="1"/>
    <col min="10246" max="10246" width="8.5546875" customWidth="1"/>
    <col min="10247" max="10254" width="25.109375" customWidth="1"/>
    <col min="10497" max="10497" width="19.44140625" bestFit="1" customWidth="1"/>
    <col min="10498" max="10498" width="26.88671875" bestFit="1" customWidth="1"/>
    <col min="10499" max="10499" width="16.5546875" bestFit="1" customWidth="1"/>
    <col min="10500" max="10500" width="50.6640625" bestFit="1" customWidth="1"/>
    <col min="10501" max="10501" width="13.109375" customWidth="1"/>
    <col min="10502" max="10502" width="8.5546875" customWidth="1"/>
    <col min="10503" max="10510" width="25.109375" customWidth="1"/>
    <col min="10753" max="10753" width="19.44140625" bestFit="1" customWidth="1"/>
    <col min="10754" max="10754" width="26.88671875" bestFit="1" customWidth="1"/>
    <col min="10755" max="10755" width="16.5546875" bestFit="1" customWidth="1"/>
    <col min="10756" max="10756" width="50.6640625" bestFit="1" customWidth="1"/>
    <col min="10757" max="10757" width="13.109375" customWidth="1"/>
    <col min="10758" max="10758" width="8.5546875" customWidth="1"/>
    <col min="10759" max="10766" width="25.109375" customWidth="1"/>
    <col min="11009" max="11009" width="19.44140625" bestFit="1" customWidth="1"/>
    <col min="11010" max="11010" width="26.88671875" bestFit="1" customWidth="1"/>
    <col min="11011" max="11011" width="16.5546875" bestFit="1" customWidth="1"/>
    <col min="11012" max="11012" width="50.6640625" bestFit="1" customWidth="1"/>
    <col min="11013" max="11013" width="13.109375" customWidth="1"/>
    <col min="11014" max="11014" width="8.5546875" customWidth="1"/>
    <col min="11015" max="11022" width="25.109375" customWidth="1"/>
    <col min="11265" max="11265" width="19.44140625" bestFit="1" customWidth="1"/>
    <col min="11266" max="11266" width="26.88671875" bestFit="1" customWidth="1"/>
    <col min="11267" max="11267" width="16.5546875" bestFit="1" customWidth="1"/>
    <col min="11268" max="11268" width="50.6640625" bestFit="1" customWidth="1"/>
    <col min="11269" max="11269" width="13.109375" customWidth="1"/>
    <col min="11270" max="11270" width="8.5546875" customWidth="1"/>
    <col min="11271" max="11278" width="25.109375" customWidth="1"/>
    <col min="11521" max="11521" width="19.44140625" bestFit="1" customWidth="1"/>
    <col min="11522" max="11522" width="26.88671875" bestFit="1" customWidth="1"/>
    <col min="11523" max="11523" width="16.5546875" bestFit="1" customWidth="1"/>
    <col min="11524" max="11524" width="50.6640625" bestFit="1" customWidth="1"/>
    <col min="11525" max="11525" width="13.109375" customWidth="1"/>
    <col min="11526" max="11526" width="8.5546875" customWidth="1"/>
    <col min="11527" max="11534" width="25.109375" customWidth="1"/>
    <col min="11777" max="11777" width="19.44140625" bestFit="1" customWidth="1"/>
    <col min="11778" max="11778" width="26.88671875" bestFit="1" customWidth="1"/>
    <col min="11779" max="11779" width="16.5546875" bestFit="1" customWidth="1"/>
    <col min="11780" max="11780" width="50.6640625" bestFit="1" customWidth="1"/>
    <col min="11781" max="11781" width="13.109375" customWidth="1"/>
    <col min="11782" max="11782" width="8.5546875" customWidth="1"/>
    <col min="11783" max="11790" width="25.109375" customWidth="1"/>
    <col min="12033" max="12033" width="19.44140625" bestFit="1" customWidth="1"/>
    <col min="12034" max="12034" width="26.88671875" bestFit="1" customWidth="1"/>
    <col min="12035" max="12035" width="16.5546875" bestFit="1" customWidth="1"/>
    <col min="12036" max="12036" width="50.6640625" bestFit="1" customWidth="1"/>
    <col min="12037" max="12037" width="13.109375" customWidth="1"/>
    <col min="12038" max="12038" width="8.5546875" customWidth="1"/>
    <col min="12039" max="12046" width="25.109375" customWidth="1"/>
    <col min="12289" max="12289" width="19.44140625" bestFit="1" customWidth="1"/>
    <col min="12290" max="12290" width="26.88671875" bestFit="1" customWidth="1"/>
    <col min="12291" max="12291" width="16.5546875" bestFit="1" customWidth="1"/>
    <col min="12292" max="12292" width="50.6640625" bestFit="1" customWidth="1"/>
    <col min="12293" max="12293" width="13.109375" customWidth="1"/>
    <col min="12294" max="12294" width="8.5546875" customWidth="1"/>
    <col min="12295" max="12302" width="25.109375" customWidth="1"/>
    <col min="12545" max="12545" width="19.44140625" bestFit="1" customWidth="1"/>
    <col min="12546" max="12546" width="26.88671875" bestFit="1" customWidth="1"/>
    <col min="12547" max="12547" width="16.5546875" bestFit="1" customWidth="1"/>
    <col min="12548" max="12548" width="50.6640625" bestFit="1" customWidth="1"/>
    <col min="12549" max="12549" width="13.109375" customWidth="1"/>
    <col min="12550" max="12550" width="8.5546875" customWidth="1"/>
    <col min="12551" max="12558" width="25.109375" customWidth="1"/>
    <col min="12801" max="12801" width="19.44140625" bestFit="1" customWidth="1"/>
    <col min="12802" max="12802" width="26.88671875" bestFit="1" customWidth="1"/>
    <col min="12803" max="12803" width="16.5546875" bestFit="1" customWidth="1"/>
    <col min="12804" max="12804" width="50.6640625" bestFit="1" customWidth="1"/>
    <col min="12805" max="12805" width="13.109375" customWidth="1"/>
    <col min="12806" max="12806" width="8.5546875" customWidth="1"/>
    <col min="12807" max="12814" width="25.109375" customWidth="1"/>
    <col min="13057" max="13057" width="19.44140625" bestFit="1" customWidth="1"/>
    <col min="13058" max="13058" width="26.88671875" bestFit="1" customWidth="1"/>
    <col min="13059" max="13059" width="16.5546875" bestFit="1" customWidth="1"/>
    <col min="13060" max="13060" width="50.6640625" bestFit="1" customWidth="1"/>
    <col min="13061" max="13061" width="13.109375" customWidth="1"/>
    <col min="13062" max="13062" width="8.5546875" customWidth="1"/>
    <col min="13063" max="13070" width="25.109375" customWidth="1"/>
    <col min="13313" max="13313" width="19.44140625" bestFit="1" customWidth="1"/>
    <col min="13314" max="13314" width="26.88671875" bestFit="1" customWidth="1"/>
    <col min="13315" max="13315" width="16.5546875" bestFit="1" customWidth="1"/>
    <col min="13316" max="13316" width="50.6640625" bestFit="1" customWidth="1"/>
    <col min="13317" max="13317" width="13.109375" customWidth="1"/>
    <col min="13318" max="13318" width="8.5546875" customWidth="1"/>
    <col min="13319" max="13326" width="25.109375" customWidth="1"/>
    <col min="13569" max="13569" width="19.44140625" bestFit="1" customWidth="1"/>
    <col min="13570" max="13570" width="26.88671875" bestFit="1" customWidth="1"/>
    <col min="13571" max="13571" width="16.5546875" bestFit="1" customWidth="1"/>
    <col min="13572" max="13572" width="50.6640625" bestFit="1" customWidth="1"/>
    <col min="13573" max="13573" width="13.109375" customWidth="1"/>
    <col min="13574" max="13574" width="8.5546875" customWidth="1"/>
    <col min="13575" max="13582" width="25.109375" customWidth="1"/>
    <col min="13825" max="13825" width="19.44140625" bestFit="1" customWidth="1"/>
    <col min="13826" max="13826" width="26.88671875" bestFit="1" customWidth="1"/>
    <col min="13827" max="13827" width="16.5546875" bestFit="1" customWidth="1"/>
    <col min="13828" max="13828" width="50.6640625" bestFit="1" customWidth="1"/>
    <col min="13829" max="13829" width="13.109375" customWidth="1"/>
    <col min="13830" max="13830" width="8.5546875" customWidth="1"/>
    <col min="13831" max="13838" width="25.109375" customWidth="1"/>
    <col min="14081" max="14081" width="19.44140625" bestFit="1" customWidth="1"/>
    <col min="14082" max="14082" width="26.88671875" bestFit="1" customWidth="1"/>
    <col min="14083" max="14083" width="16.5546875" bestFit="1" customWidth="1"/>
    <col min="14084" max="14084" width="50.6640625" bestFit="1" customWidth="1"/>
    <col min="14085" max="14085" width="13.109375" customWidth="1"/>
    <col min="14086" max="14086" width="8.5546875" customWidth="1"/>
    <col min="14087" max="14094" width="25.109375" customWidth="1"/>
    <col min="14337" max="14337" width="19.44140625" bestFit="1" customWidth="1"/>
    <col min="14338" max="14338" width="26.88671875" bestFit="1" customWidth="1"/>
    <col min="14339" max="14339" width="16.5546875" bestFit="1" customWidth="1"/>
    <col min="14340" max="14340" width="50.6640625" bestFit="1" customWidth="1"/>
    <col min="14341" max="14341" width="13.109375" customWidth="1"/>
    <col min="14342" max="14342" width="8.5546875" customWidth="1"/>
    <col min="14343" max="14350" width="25.109375" customWidth="1"/>
    <col min="14593" max="14593" width="19.44140625" bestFit="1" customWidth="1"/>
    <col min="14594" max="14594" width="26.88671875" bestFit="1" customWidth="1"/>
    <col min="14595" max="14595" width="16.5546875" bestFit="1" customWidth="1"/>
    <col min="14596" max="14596" width="50.6640625" bestFit="1" customWidth="1"/>
    <col min="14597" max="14597" width="13.109375" customWidth="1"/>
    <col min="14598" max="14598" width="8.5546875" customWidth="1"/>
    <col min="14599" max="14606" width="25.109375" customWidth="1"/>
    <col min="14849" max="14849" width="19.44140625" bestFit="1" customWidth="1"/>
    <col min="14850" max="14850" width="26.88671875" bestFit="1" customWidth="1"/>
    <col min="14851" max="14851" width="16.5546875" bestFit="1" customWidth="1"/>
    <col min="14852" max="14852" width="50.6640625" bestFit="1" customWidth="1"/>
    <col min="14853" max="14853" width="13.109375" customWidth="1"/>
    <col min="14854" max="14854" width="8.5546875" customWidth="1"/>
    <col min="14855" max="14862" width="25.109375" customWidth="1"/>
    <col min="15105" max="15105" width="19.44140625" bestFit="1" customWidth="1"/>
    <col min="15106" max="15106" width="26.88671875" bestFit="1" customWidth="1"/>
    <col min="15107" max="15107" width="16.5546875" bestFit="1" customWidth="1"/>
    <col min="15108" max="15108" width="50.6640625" bestFit="1" customWidth="1"/>
    <col min="15109" max="15109" width="13.109375" customWidth="1"/>
    <col min="15110" max="15110" width="8.5546875" customWidth="1"/>
    <col min="15111" max="15118" width="25.109375" customWidth="1"/>
    <col min="15361" max="15361" width="19.44140625" bestFit="1" customWidth="1"/>
    <col min="15362" max="15362" width="26.88671875" bestFit="1" customWidth="1"/>
    <col min="15363" max="15363" width="16.5546875" bestFit="1" customWidth="1"/>
    <col min="15364" max="15364" width="50.6640625" bestFit="1" customWidth="1"/>
    <col min="15365" max="15365" width="13.109375" customWidth="1"/>
    <col min="15366" max="15366" width="8.5546875" customWidth="1"/>
    <col min="15367" max="15374" width="25.109375" customWidth="1"/>
    <col min="15617" max="15617" width="19.44140625" bestFit="1" customWidth="1"/>
    <col min="15618" max="15618" width="26.88671875" bestFit="1" customWidth="1"/>
    <col min="15619" max="15619" width="16.5546875" bestFit="1" customWidth="1"/>
    <col min="15620" max="15620" width="50.6640625" bestFit="1" customWidth="1"/>
    <col min="15621" max="15621" width="13.109375" customWidth="1"/>
    <col min="15622" max="15622" width="8.5546875" customWidth="1"/>
    <col min="15623" max="15630" width="25.109375" customWidth="1"/>
    <col min="15873" max="15873" width="19.44140625" bestFit="1" customWidth="1"/>
    <col min="15874" max="15874" width="26.88671875" bestFit="1" customWidth="1"/>
    <col min="15875" max="15875" width="16.5546875" bestFit="1" customWidth="1"/>
    <col min="15876" max="15876" width="50.6640625" bestFit="1" customWidth="1"/>
    <col min="15877" max="15877" width="13.109375" customWidth="1"/>
    <col min="15878" max="15878" width="8.5546875" customWidth="1"/>
    <col min="15879" max="15886" width="25.109375" customWidth="1"/>
    <col min="16129" max="16129" width="19.44140625" bestFit="1" customWidth="1"/>
    <col min="16130" max="16130" width="26.88671875" bestFit="1" customWidth="1"/>
    <col min="16131" max="16131" width="16.5546875" bestFit="1" customWidth="1"/>
    <col min="16132" max="16132" width="50.6640625" bestFit="1" customWidth="1"/>
    <col min="16133" max="16133" width="13.109375" customWidth="1"/>
    <col min="16134" max="16134" width="8.5546875" customWidth="1"/>
    <col min="16135" max="16142" width="25.109375" customWidth="1"/>
  </cols>
  <sheetData>
    <row r="1" spans="1:15" ht="30" x14ac:dyDescent="0.25">
      <c r="A1" s="119" t="s">
        <v>28</v>
      </c>
      <c r="B1" s="119" t="s">
        <v>29</v>
      </c>
      <c r="C1" s="119" t="s">
        <v>30</v>
      </c>
      <c r="D1" s="119" t="s">
        <v>41</v>
      </c>
      <c r="E1" s="119" t="s">
        <v>573</v>
      </c>
      <c r="F1" s="119" t="s">
        <v>574</v>
      </c>
      <c r="G1" s="119" t="s">
        <v>33</v>
      </c>
      <c r="H1" s="119" t="s">
        <v>0</v>
      </c>
      <c r="I1" s="119" t="s">
        <v>558</v>
      </c>
      <c r="J1" s="119" t="s">
        <v>556</v>
      </c>
      <c r="K1" s="119" t="s">
        <v>557</v>
      </c>
      <c r="L1" s="119" t="s">
        <v>571</v>
      </c>
      <c r="M1" s="119" t="s">
        <v>569</v>
      </c>
      <c r="N1" s="119" t="s">
        <v>570</v>
      </c>
      <c r="O1" s="119" t="s">
        <v>568</v>
      </c>
    </row>
    <row r="2" spans="1:15" ht="15" x14ac:dyDescent="0.25">
      <c r="A2" s="28" t="s">
        <v>575</v>
      </c>
      <c r="B2" s="28" t="s">
        <v>576</v>
      </c>
      <c r="C2" s="28" t="s">
        <v>559</v>
      </c>
      <c r="D2" s="28" t="s">
        <v>577</v>
      </c>
      <c r="E2" s="28" t="s">
        <v>578</v>
      </c>
      <c r="F2" s="28" t="s">
        <v>579</v>
      </c>
      <c r="G2" s="29">
        <v>1</v>
      </c>
      <c r="H2" s="29">
        <v>1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</row>
    <row r="3" spans="1:15" ht="15" x14ac:dyDescent="0.25">
      <c r="A3" s="28" t="s">
        <v>575</v>
      </c>
      <c r="B3" s="28" t="s">
        <v>576</v>
      </c>
      <c r="C3" s="28" t="s">
        <v>559</v>
      </c>
      <c r="D3" s="28" t="s">
        <v>577</v>
      </c>
      <c r="E3" s="28" t="s">
        <v>580</v>
      </c>
      <c r="F3" s="28" t="s">
        <v>581</v>
      </c>
      <c r="G3" s="29">
        <v>1215</v>
      </c>
      <c r="H3" s="29">
        <v>5</v>
      </c>
      <c r="I3" s="29">
        <v>1</v>
      </c>
      <c r="J3" s="29">
        <v>1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</row>
    <row r="4" spans="1:15" ht="15" x14ac:dyDescent="0.25">
      <c r="A4" s="28" t="s">
        <v>575</v>
      </c>
      <c r="B4" s="28" t="s">
        <v>576</v>
      </c>
      <c r="C4" s="28" t="s">
        <v>559</v>
      </c>
      <c r="D4" s="28" t="s">
        <v>577</v>
      </c>
      <c r="E4" s="28" t="s">
        <v>580</v>
      </c>
      <c r="F4" s="28" t="s">
        <v>582</v>
      </c>
      <c r="G4" s="29">
        <v>1614</v>
      </c>
      <c r="H4" s="29">
        <v>13</v>
      </c>
      <c r="I4" s="29">
        <v>5</v>
      </c>
      <c r="J4" s="29">
        <v>4</v>
      </c>
      <c r="K4" s="29">
        <v>1</v>
      </c>
      <c r="L4" s="29">
        <v>0</v>
      </c>
      <c r="M4" s="29">
        <v>0</v>
      </c>
      <c r="N4" s="29">
        <v>0</v>
      </c>
      <c r="O4" s="29">
        <v>0</v>
      </c>
    </row>
    <row r="5" spans="1:15" ht="15" x14ac:dyDescent="0.25">
      <c r="A5" s="28" t="s">
        <v>575</v>
      </c>
      <c r="B5" s="28" t="s">
        <v>576</v>
      </c>
      <c r="C5" s="28" t="s">
        <v>559</v>
      </c>
      <c r="D5" s="28" t="s">
        <v>577</v>
      </c>
      <c r="E5" s="28" t="s">
        <v>580</v>
      </c>
      <c r="F5" s="28" t="s">
        <v>583</v>
      </c>
      <c r="G5" s="29">
        <v>234</v>
      </c>
      <c r="H5" s="29">
        <v>1</v>
      </c>
      <c r="I5" s="29">
        <v>2</v>
      </c>
      <c r="J5" s="29">
        <v>2</v>
      </c>
      <c r="K5" s="29">
        <v>0</v>
      </c>
      <c r="L5" s="29">
        <v>100</v>
      </c>
      <c r="M5" s="29">
        <v>100</v>
      </c>
      <c r="N5" s="29">
        <v>0</v>
      </c>
      <c r="O5" s="29">
        <v>0</v>
      </c>
    </row>
    <row r="6" spans="1:15" ht="15" x14ac:dyDescent="0.25">
      <c r="A6" s="28" t="s">
        <v>575</v>
      </c>
      <c r="B6" s="28" t="s">
        <v>576</v>
      </c>
      <c r="C6" s="28" t="s">
        <v>559</v>
      </c>
      <c r="D6" s="28" t="s">
        <v>577</v>
      </c>
      <c r="E6" s="28" t="s">
        <v>580</v>
      </c>
      <c r="F6" s="28" t="s">
        <v>584</v>
      </c>
      <c r="G6" s="29">
        <v>219</v>
      </c>
      <c r="H6" s="29">
        <v>1</v>
      </c>
      <c r="I6" s="29">
        <v>3</v>
      </c>
      <c r="J6" s="29">
        <v>0</v>
      </c>
      <c r="K6" s="29">
        <v>3</v>
      </c>
      <c r="L6" s="29">
        <v>0</v>
      </c>
      <c r="M6" s="29">
        <v>0</v>
      </c>
      <c r="N6" s="29">
        <v>0</v>
      </c>
      <c r="O6" s="29">
        <v>0</v>
      </c>
    </row>
    <row r="7" spans="1:15" ht="15" x14ac:dyDescent="0.25">
      <c r="A7" s="28" t="s">
        <v>575</v>
      </c>
      <c r="B7" s="28" t="s">
        <v>576</v>
      </c>
      <c r="C7" s="28" t="s">
        <v>559</v>
      </c>
      <c r="D7" s="28" t="s">
        <v>577</v>
      </c>
      <c r="E7" s="28" t="s">
        <v>580</v>
      </c>
      <c r="F7" s="28" t="s">
        <v>585</v>
      </c>
      <c r="G7" s="29">
        <v>228</v>
      </c>
      <c r="H7" s="29">
        <v>4</v>
      </c>
      <c r="I7" s="29">
        <v>2</v>
      </c>
      <c r="J7" s="29">
        <v>2</v>
      </c>
      <c r="K7" s="29">
        <v>0</v>
      </c>
      <c r="L7" s="29">
        <v>100</v>
      </c>
      <c r="M7" s="29">
        <v>100</v>
      </c>
      <c r="N7" s="29">
        <v>0</v>
      </c>
      <c r="O7" s="29">
        <v>0</v>
      </c>
    </row>
    <row r="8" spans="1:15" ht="15" x14ac:dyDescent="0.25">
      <c r="A8" s="28" t="s">
        <v>575</v>
      </c>
      <c r="B8" s="28" t="s">
        <v>576</v>
      </c>
      <c r="C8" s="28" t="s">
        <v>559</v>
      </c>
      <c r="D8" s="28" t="s">
        <v>577</v>
      </c>
      <c r="E8" s="28" t="s">
        <v>580</v>
      </c>
      <c r="F8" s="28" t="s">
        <v>586</v>
      </c>
      <c r="G8" s="29">
        <v>222</v>
      </c>
      <c r="H8" s="29">
        <v>3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</row>
    <row r="9" spans="1:15" ht="15" x14ac:dyDescent="0.25">
      <c r="A9" s="28" t="s">
        <v>575</v>
      </c>
      <c r="B9" s="28" t="s">
        <v>576</v>
      </c>
      <c r="C9" s="28" t="s">
        <v>559</v>
      </c>
      <c r="D9" s="28" t="s">
        <v>577</v>
      </c>
      <c r="E9" s="28" t="s">
        <v>580</v>
      </c>
      <c r="F9" s="28" t="s">
        <v>587</v>
      </c>
      <c r="G9" s="29">
        <v>224</v>
      </c>
      <c r="H9" s="29">
        <v>3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</row>
    <row r="10" spans="1:15" ht="15" x14ac:dyDescent="0.25">
      <c r="A10" s="28" t="s">
        <v>575</v>
      </c>
      <c r="B10" s="28" t="s">
        <v>576</v>
      </c>
      <c r="C10" s="28" t="s">
        <v>559</v>
      </c>
      <c r="D10" s="28" t="s">
        <v>577</v>
      </c>
      <c r="E10" s="28" t="s">
        <v>580</v>
      </c>
      <c r="F10" s="28" t="s">
        <v>579</v>
      </c>
      <c r="G10" s="29">
        <v>219</v>
      </c>
      <c r="H10" s="29">
        <v>4</v>
      </c>
      <c r="I10" s="29">
        <v>1</v>
      </c>
      <c r="J10" s="29">
        <v>1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</row>
    <row r="11" spans="1:15" ht="15" x14ac:dyDescent="0.25">
      <c r="A11" s="28" t="s">
        <v>575</v>
      </c>
      <c r="B11" s="28" t="s">
        <v>576</v>
      </c>
      <c r="C11" s="28" t="s">
        <v>559</v>
      </c>
      <c r="D11" s="28" t="s">
        <v>577</v>
      </c>
      <c r="E11" s="28" t="s">
        <v>580</v>
      </c>
      <c r="F11" s="28" t="s">
        <v>588</v>
      </c>
      <c r="G11" s="29">
        <v>233</v>
      </c>
      <c r="H11" s="29">
        <v>3</v>
      </c>
      <c r="I11" s="29">
        <v>1</v>
      </c>
      <c r="J11" s="29">
        <v>1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</row>
    <row r="12" spans="1:15" ht="15" x14ac:dyDescent="0.25">
      <c r="A12" s="28" t="s">
        <v>575</v>
      </c>
      <c r="B12" s="28" t="s">
        <v>576</v>
      </c>
      <c r="C12" s="28" t="s">
        <v>559</v>
      </c>
      <c r="D12" s="28" t="s">
        <v>577</v>
      </c>
      <c r="E12" s="28" t="s">
        <v>580</v>
      </c>
      <c r="F12" s="28" t="s">
        <v>589</v>
      </c>
      <c r="G12" s="29">
        <v>220</v>
      </c>
      <c r="H12" s="29">
        <v>1</v>
      </c>
      <c r="I12" s="29">
        <v>1</v>
      </c>
      <c r="J12" s="29">
        <v>0</v>
      </c>
      <c r="K12" s="29">
        <v>1</v>
      </c>
      <c r="L12" s="29">
        <v>0</v>
      </c>
      <c r="M12" s="29">
        <v>0</v>
      </c>
      <c r="N12" s="29">
        <v>0</v>
      </c>
      <c r="O12" s="29">
        <v>0</v>
      </c>
    </row>
    <row r="13" spans="1:15" ht="15" x14ac:dyDescent="0.25">
      <c r="A13" s="28" t="s">
        <v>575</v>
      </c>
      <c r="B13" s="28" t="s">
        <v>576</v>
      </c>
      <c r="C13" s="28" t="s">
        <v>559</v>
      </c>
      <c r="D13" s="28" t="s">
        <v>577</v>
      </c>
      <c r="E13" s="28" t="s">
        <v>580</v>
      </c>
      <c r="F13" s="28" t="s">
        <v>590</v>
      </c>
      <c r="G13" s="29">
        <v>204</v>
      </c>
      <c r="H13" s="29">
        <v>1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</row>
    <row r="14" spans="1:15" ht="15" x14ac:dyDescent="0.25">
      <c r="A14" s="28" t="s">
        <v>575</v>
      </c>
      <c r="B14" s="28" t="s">
        <v>576</v>
      </c>
      <c r="C14" s="28" t="s">
        <v>559</v>
      </c>
      <c r="D14" s="28" t="s">
        <v>577</v>
      </c>
      <c r="E14" s="28" t="s">
        <v>580</v>
      </c>
      <c r="F14" s="28" t="s">
        <v>591</v>
      </c>
      <c r="G14" s="29">
        <v>255</v>
      </c>
      <c r="H14" s="29">
        <v>6</v>
      </c>
      <c r="I14" s="29">
        <v>2</v>
      </c>
      <c r="J14" s="29">
        <v>2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</row>
    <row r="15" spans="1:15" ht="15" x14ac:dyDescent="0.25">
      <c r="A15" s="28" t="s">
        <v>575</v>
      </c>
      <c r="B15" s="28" t="s">
        <v>576</v>
      </c>
      <c r="C15" s="28" t="s">
        <v>559</v>
      </c>
      <c r="D15" s="28" t="s">
        <v>577</v>
      </c>
      <c r="E15" s="28" t="s">
        <v>580</v>
      </c>
      <c r="F15" s="28" t="s">
        <v>592</v>
      </c>
      <c r="G15" s="29">
        <v>246</v>
      </c>
      <c r="H15" s="29">
        <v>6</v>
      </c>
      <c r="I15" s="29">
        <v>1</v>
      </c>
      <c r="J15" s="29">
        <v>1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</row>
    <row r="16" spans="1:15" ht="15" x14ac:dyDescent="0.25">
      <c r="A16" s="28" t="s">
        <v>575</v>
      </c>
      <c r="B16" s="28" t="s">
        <v>576</v>
      </c>
      <c r="C16" s="28" t="s">
        <v>559</v>
      </c>
      <c r="D16" s="28" t="s">
        <v>577</v>
      </c>
      <c r="E16" s="28" t="s">
        <v>580</v>
      </c>
      <c r="F16" s="28" t="s">
        <v>593</v>
      </c>
      <c r="G16" s="29">
        <v>173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</row>
    <row r="17" spans="1:15" ht="15" x14ac:dyDescent="0.25">
      <c r="A17" s="28" t="s">
        <v>575</v>
      </c>
      <c r="B17" s="28" t="s">
        <v>576</v>
      </c>
      <c r="C17" s="28" t="s">
        <v>559</v>
      </c>
      <c r="D17" s="28" t="s">
        <v>577</v>
      </c>
      <c r="E17" s="28" t="s">
        <v>580</v>
      </c>
      <c r="F17" s="28" t="s">
        <v>594</v>
      </c>
      <c r="G17" s="29">
        <v>226</v>
      </c>
      <c r="H17" s="29">
        <v>1</v>
      </c>
      <c r="I17" s="29">
        <v>1</v>
      </c>
      <c r="J17" s="29">
        <v>0</v>
      </c>
      <c r="K17" s="29">
        <v>1</v>
      </c>
      <c r="L17" s="29">
        <v>0</v>
      </c>
      <c r="M17" s="29">
        <v>0</v>
      </c>
      <c r="N17" s="29">
        <v>0</v>
      </c>
      <c r="O17" s="29">
        <v>0</v>
      </c>
    </row>
    <row r="18" spans="1:15" ht="15" x14ac:dyDescent="0.25">
      <c r="A18" s="28" t="s">
        <v>575</v>
      </c>
      <c r="B18" s="28" t="s">
        <v>576</v>
      </c>
      <c r="C18" s="28" t="s">
        <v>559</v>
      </c>
      <c r="D18" s="28" t="s">
        <v>577</v>
      </c>
      <c r="E18" s="28" t="s">
        <v>580</v>
      </c>
      <c r="F18" s="28" t="s">
        <v>595</v>
      </c>
      <c r="G18" s="29">
        <v>200</v>
      </c>
      <c r="H18" s="29">
        <v>1</v>
      </c>
      <c r="I18" s="29">
        <v>1</v>
      </c>
      <c r="J18" s="29">
        <v>0</v>
      </c>
      <c r="K18" s="29">
        <v>1</v>
      </c>
      <c r="L18" s="29">
        <v>500</v>
      </c>
      <c r="M18" s="29">
        <v>0</v>
      </c>
      <c r="N18" s="29">
        <v>500</v>
      </c>
      <c r="O18" s="29">
        <v>0</v>
      </c>
    </row>
    <row r="19" spans="1:15" ht="15" x14ac:dyDescent="0.25">
      <c r="A19" s="28" t="s">
        <v>575</v>
      </c>
      <c r="B19" s="28" t="s">
        <v>576</v>
      </c>
      <c r="C19" s="28" t="s">
        <v>559</v>
      </c>
      <c r="D19" s="28" t="s">
        <v>577</v>
      </c>
      <c r="E19" s="28" t="s">
        <v>596</v>
      </c>
      <c r="F19" s="28" t="s">
        <v>597</v>
      </c>
      <c r="G19" s="29">
        <v>154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</row>
    <row r="20" spans="1:15" ht="15" x14ac:dyDescent="0.25">
      <c r="A20" s="28" t="s">
        <v>575</v>
      </c>
      <c r="B20" s="28" t="s">
        <v>576</v>
      </c>
      <c r="C20" s="28" t="s">
        <v>559</v>
      </c>
      <c r="D20" s="28" t="s">
        <v>577</v>
      </c>
      <c r="E20" s="28" t="s">
        <v>596</v>
      </c>
      <c r="F20" s="28" t="s">
        <v>598</v>
      </c>
      <c r="G20" s="29">
        <v>106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</row>
    <row r="21" spans="1:15" ht="15" x14ac:dyDescent="0.25">
      <c r="A21" s="28" t="s">
        <v>575</v>
      </c>
      <c r="B21" s="28" t="s">
        <v>576</v>
      </c>
      <c r="C21" s="28" t="s">
        <v>559</v>
      </c>
      <c r="D21" s="28" t="s">
        <v>577</v>
      </c>
      <c r="E21" s="28" t="s">
        <v>596</v>
      </c>
      <c r="F21" s="28" t="s">
        <v>599</v>
      </c>
      <c r="G21" s="29">
        <v>78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</row>
    <row r="22" spans="1:15" ht="15" x14ac:dyDescent="0.25">
      <c r="A22" s="28" t="s">
        <v>575</v>
      </c>
      <c r="B22" s="28" t="s">
        <v>576</v>
      </c>
      <c r="C22" s="28" t="s">
        <v>559</v>
      </c>
      <c r="D22" s="28" t="s">
        <v>577</v>
      </c>
      <c r="E22" s="28" t="s">
        <v>596</v>
      </c>
      <c r="F22" s="28" t="s">
        <v>600</v>
      </c>
      <c r="G22" s="29">
        <v>80</v>
      </c>
      <c r="H22" s="29">
        <v>1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</row>
    <row r="23" spans="1:15" ht="15" x14ac:dyDescent="0.25">
      <c r="A23" s="28" t="s">
        <v>575</v>
      </c>
      <c r="B23" s="28" t="s">
        <v>576</v>
      </c>
      <c r="C23" s="28" t="s">
        <v>559</v>
      </c>
      <c r="D23" s="28" t="s">
        <v>577</v>
      </c>
      <c r="E23" s="28" t="s">
        <v>596</v>
      </c>
      <c r="F23" s="28" t="s">
        <v>601</v>
      </c>
      <c r="G23" s="29">
        <v>101</v>
      </c>
      <c r="H23" s="29">
        <v>1</v>
      </c>
      <c r="I23" s="29">
        <v>1</v>
      </c>
      <c r="J23" s="29">
        <v>1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</row>
    <row r="24" spans="1:15" ht="15" x14ac:dyDescent="0.25">
      <c r="A24" s="28" t="s">
        <v>575</v>
      </c>
      <c r="B24" s="28" t="s">
        <v>576</v>
      </c>
      <c r="C24" s="28" t="s">
        <v>559</v>
      </c>
      <c r="D24" s="28" t="s">
        <v>577</v>
      </c>
      <c r="E24" s="28" t="s">
        <v>596</v>
      </c>
      <c r="F24" s="28" t="s">
        <v>602</v>
      </c>
      <c r="G24" s="29">
        <v>188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</row>
    <row r="25" spans="1:15" ht="15" x14ac:dyDescent="0.25">
      <c r="A25" s="28" t="s">
        <v>575</v>
      </c>
      <c r="B25" s="28" t="s">
        <v>576</v>
      </c>
      <c r="C25" s="28" t="s">
        <v>559</v>
      </c>
      <c r="D25" s="28" t="s">
        <v>577</v>
      </c>
      <c r="E25" s="28" t="s">
        <v>596</v>
      </c>
      <c r="F25" s="28" t="s">
        <v>603</v>
      </c>
      <c r="G25" s="29">
        <v>685</v>
      </c>
      <c r="H25" s="29">
        <v>1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</row>
    <row r="26" spans="1:15" ht="15" x14ac:dyDescent="0.25">
      <c r="A26" s="28" t="s">
        <v>575</v>
      </c>
      <c r="B26" s="28" t="s">
        <v>576</v>
      </c>
      <c r="C26" s="28" t="s">
        <v>559</v>
      </c>
      <c r="D26" s="28" t="s">
        <v>577</v>
      </c>
      <c r="E26" s="28" t="s">
        <v>596</v>
      </c>
      <c r="F26" s="28" t="s">
        <v>604</v>
      </c>
      <c r="G26" s="29">
        <v>394</v>
      </c>
      <c r="H26" s="29">
        <v>1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</row>
    <row r="27" spans="1:15" ht="15" x14ac:dyDescent="0.25">
      <c r="A27" s="28" t="s">
        <v>575</v>
      </c>
      <c r="B27" s="28" t="s">
        <v>576</v>
      </c>
      <c r="C27" s="28" t="s">
        <v>559</v>
      </c>
      <c r="D27" s="28" t="s">
        <v>577</v>
      </c>
      <c r="E27" s="28" t="s">
        <v>596</v>
      </c>
      <c r="F27" s="28" t="s">
        <v>581</v>
      </c>
      <c r="G27" s="29">
        <v>209</v>
      </c>
      <c r="H27" s="29">
        <v>1</v>
      </c>
      <c r="I27" s="29">
        <v>2</v>
      </c>
      <c r="J27" s="29">
        <v>1</v>
      </c>
      <c r="K27" s="29">
        <v>1</v>
      </c>
      <c r="L27" s="29">
        <v>0</v>
      </c>
      <c r="M27" s="29">
        <v>0</v>
      </c>
      <c r="N27" s="29">
        <v>0</v>
      </c>
      <c r="O27" s="29">
        <v>0</v>
      </c>
    </row>
    <row r="28" spans="1:15" ht="15" x14ac:dyDescent="0.25">
      <c r="A28" s="28" t="s">
        <v>575</v>
      </c>
      <c r="B28" s="28" t="s">
        <v>576</v>
      </c>
      <c r="C28" s="28" t="s">
        <v>559</v>
      </c>
      <c r="D28" s="28" t="s">
        <v>577</v>
      </c>
      <c r="E28" s="28" t="s">
        <v>596</v>
      </c>
      <c r="F28" s="28" t="s">
        <v>582</v>
      </c>
      <c r="G28" s="29">
        <v>236</v>
      </c>
      <c r="H28" s="29">
        <v>1</v>
      </c>
      <c r="I28" s="29">
        <v>2</v>
      </c>
      <c r="J28" s="29">
        <v>0</v>
      </c>
      <c r="K28" s="29">
        <v>2</v>
      </c>
      <c r="L28" s="29">
        <v>0</v>
      </c>
      <c r="M28" s="29">
        <v>0</v>
      </c>
      <c r="N28" s="29">
        <v>0</v>
      </c>
      <c r="O28" s="29">
        <v>0</v>
      </c>
    </row>
    <row r="29" spans="1:15" ht="15" x14ac:dyDescent="0.25">
      <c r="A29" s="28" t="s">
        <v>575</v>
      </c>
      <c r="B29" s="28" t="s">
        <v>576</v>
      </c>
      <c r="C29" s="28" t="s">
        <v>559</v>
      </c>
      <c r="D29" s="28" t="s">
        <v>577</v>
      </c>
      <c r="E29" s="28" t="s">
        <v>596</v>
      </c>
      <c r="F29" s="28" t="s">
        <v>583</v>
      </c>
      <c r="G29" s="29">
        <v>202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</row>
    <row r="30" spans="1:15" ht="15" x14ac:dyDescent="0.25">
      <c r="A30" s="28" t="s">
        <v>575</v>
      </c>
      <c r="B30" s="28" t="s">
        <v>576</v>
      </c>
      <c r="C30" s="28" t="s">
        <v>559</v>
      </c>
      <c r="D30" s="28" t="s">
        <v>577</v>
      </c>
      <c r="E30" s="28" t="s">
        <v>596</v>
      </c>
      <c r="F30" s="28" t="s">
        <v>584</v>
      </c>
      <c r="G30" s="29">
        <v>235</v>
      </c>
      <c r="H30" s="29">
        <v>1</v>
      </c>
      <c r="I30" s="29">
        <v>2</v>
      </c>
      <c r="J30" s="29">
        <v>1</v>
      </c>
      <c r="K30" s="29">
        <v>1</v>
      </c>
      <c r="L30" s="29">
        <v>0</v>
      </c>
      <c r="M30" s="29">
        <v>0</v>
      </c>
      <c r="N30" s="29">
        <v>0</v>
      </c>
      <c r="O30" s="29">
        <v>0</v>
      </c>
    </row>
    <row r="31" spans="1:15" x14ac:dyDescent="0.3">
      <c r="A31" s="28" t="s">
        <v>575</v>
      </c>
      <c r="B31" s="28" t="s">
        <v>576</v>
      </c>
      <c r="C31" s="28" t="s">
        <v>559</v>
      </c>
      <c r="D31" s="28" t="s">
        <v>577</v>
      </c>
      <c r="E31" s="28" t="s">
        <v>596</v>
      </c>
      <c r="F31" s="28" t="s">
        <v>585</v>
      </c>
      <c r="G31" s="29">
        <v>226</v>
      </c>
      <c r="H31" s="29">
        <v>2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</row>
    <row r="32" spans="1:15" x14ac:dyDescent="0.3">
      <c r="A32" s="28" t="s">
        <v>575</v>
      </c>
      <c r="B32" s="28" t="s">
        <v>576</v>
      </c>
      <c r="C32" s="28" t="s">
        <v>559</v>
      </c>
      <c r="D32" s="28" t="s">
        <v>577</v>
      </c>
      <c r="E32" s="28" t="s">
        <v>596</v>
      </c>
      <c r="F32" s="28" t="s">
        <v>586</v>
      </c>
      <c r="G32" s="29">
        <v>221</v>
      </c>
      <c r="H32" s="29">
        <v>2</v>
      </c>
      <c r="I32" s="29">
        <v>2</v>
      </c>
      <c r="J32" s="29">
        <v>1</v>
      </c>
      <c r="K32" s="29">
        <v>1</v>
      </c>
      <c r="L32" s="29">
        <v>0</v>
      </c>
      <c r="M32" s="29">
        <v>0</v>
      </c>
      <c r="N32" s="29">
        <v>0</v>
      </c>
      <c r="O32" s="29">
        <v>0</v>
      </c>
    </row>
    <row r="33" spans="1:15" x14ac:dyDescent="0.3">
      <c r="A33" s="28" t="s">
        <v>575</v>
      </c>
      <c r="B33" s="28" t="s">
        <v>576</v>
      </c>
      <c r="C33" s="28" t="s">
        <v>559</v>
      </c>
      <c r="D33" s="28" t="s">
        <v>577</v>
      </c>
      <c r="E33" s="28" t="s">
        <v>596</v>
      </c>
      <c r="F33" s="28" t="s">
        <v>587</v>
      </c>
      <c r="G33" s="29">
        <v>237</v>
      </c>
      <c r="H33" s="29">
        <v>0</v>
      </c>
      <c r="I33" s="29">
        <v>3</v>
      </c>
      <c r="J33" s="29">
        <v>0</v>
      </c>
      <c r="K33" s="29">
        <v>3</v>
      </c>
      <c r="L33" s="29">
        <v>100</v>
      </c>
      <c r="M33" s="29">
        <v>0</v>
      </c>
      <c r="N33" s="29">
        <v>100</v>
      </c>
      <c r="O33" s="29">
        <v>0</v>
      </c>
    </row>
    <row r="34" spans="1:15" x14ac:dyDescent="0.3">
      <c r="A34" s="28" t="s">
        <v>575</v>
      </c>
      <c r="B34" s="28" t="s">
        <v>576</v>
      </c>
      <c r="C34" s="28" t="s">
        <v>559</v>
      </c>
      <c r="D34" s="28" t="s">
        <v>577</v>
      </c>
      <c r="E34" s="28" t="s">
        <v>596</v>
      </c>
      <c r="F34" s="28" t="s">
        <v>579</v>
      </c>
      <c r="G34" s="29">
        <v>230</v>
      </c>
      <c r="H34" s="29">
        <v>1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</row>
    <row r="35" spans="1:15" x14ac:dyDescent="0.3">
      <c r="A35" s="28" t="s">
        <v>575</v>
      </c>
      <c r="B35" s="28" t="s">
        <v>576</v>
      </c>
      <c r="C35" s="28" t="s">
        <v>559</v>
      </c>
      <c r="D35" s="28" t="s">
        <v>577</v>
      </c>
      <c r="E35" s="28" t="s">
        <v>596</v>
      </c>
      <c r="F35" s="28" t="s">
        <v>588</v>
      </c>
      <c r="G35" s="29">
        <v>239</v>
      </c>
      <c r="H35" s="29">
        <v>2</v>
      </c>
      <c r="I35" s="29">
        <v>3</v>
      </c>
      <c r="J35" s="29">
        <v>2</v>
      </c>
      <c r="K35" s="29">
        <v>1</v>
      </c>
      <c r="L35" s="29">
        <v>0</v>
      </c>
      <c r="M35" s="29">
        <v>0</v>
      </c>
      <c r="N35" s="29">
        <v>0</v>
      </c>
      <c r="O35" s="29">
        <v>0</v>
      </c>
    </row>
    <row r="36" spans="1:15" x14ac:dyDescent="0.3">
      <c r="A36" s="28" t="s">
        <v>575</v>
      </c>
      <c r="B36" s="28" t="s">
        <v>576</v>
      </c>
      <c r="C36" s="28" t="s">
        <v>559</v>
      </c>
      <c r="D36" s="28" t="s">
        <v>577</v>
      </c>
      <c r="E36" s="28" t="s">
        <v>596</v>
      </c>
      <c r="F36" s="28" t="s">
        <v>589</v>
      </c>
      <c r="G36" s="29">
        <v>212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</row>
    <row r="37" spans="1:15" x14ac:dyDescent="0.3">
      <c r="A37" s="28" t="s">
        <v>575</v>
      </c>
      <c r="B37" s="28" t="s">
        <v>576</v>
      </c>
      <c r="C37" s="28" t="s">
        <v>559</v>
      </c>
      <c r="D37" s="28" t="s">
        <v>577</v>
      </c>
      <c r="E37" s="28" t="s">
        <v>596</v>
      </c>
      <c r="F37" s="28" t="s">
        <v>590</v>
      </c>
      <c r="G37" s="29">
        <v>211</v>
      </c>
      <c r="H37" s="29">
        <v>0</v>
      </c>
      <c r="I37" s="29">
        <v>0</v>
      </c>
      <c r="J37" s="29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</row>
    <row r="38" spans="1:15" x14ac:dyDescent="0.3">
      <c r="A38" s="28" t="s">
        <v>575</v>
      </c>
      <c r="B38" s="28" t="s">
        <v>576</v>
      </c>
      <c r="C38" s="28" t="s">
        <v>559</v>
      </c>
      <c r="D38" s="28" t="s">
        <v>577</v>
      </c>
      <c r="E38" s="28" t="s">
        <v>596</v>
      </c>
      <c r="F38" s="28" t="s">
        <v>591</v>
      </c>
      <c r="G38" s="29">
        <v>219</v>
      </c>
      <c r="H38" s="29">
        <v>2</v>
      </c>
      <c r="I38" s="29">
        <v>5</v>
      </c>
      <c r="J38" s="29">
        <v>5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</row>
    <row r="39" spans="1:15" x14ac:dyDescent="0.3">
      <c r="A39" s="28" t="s">
        <v>575</v>
      </c>
      <c r="B39" s="28" t="s">
        <v>576</v>
      </c>
      <c r="C39" s="28" t="s">
        <v>559</v>
      </c>
      <c r="D39" s="28" t="s">
        <v>577</v>
      </c>
      <c r="E39" s="28" t="s">
        <v>596</v>
      </c>
      <c r="F39" s="28" t="s">
        <v>592</v>
      </c>
      <c r="G39" s="29">
        <v>306</v>
      </c>
      <c r="H39" s="29">
        <v>6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</row>
    <row r="40" spans="1:15" x14ac:dyDescent="0.3">
      <c r="A40" s="28" t="s">
        <v>575</v>
      </c>
      <c r="B40" s="28" t="s">
        <v>576</v>
      </c>
      <c r="C40" s="28" t="s">
        <v>559</v>
      </c>
      <c r="D40" s="28" t="s">
        <v>577</v>
      </c>
      <c r="E40" s="28" t="s">
        <v>596</v>
      </c>
      <c r="F40" s="28" t="s">
        <v>593</v>
      </c>
      <c r="G40" s="29">
        <v>122</v>
      </c>
      <c r="H40" s="29">
        <v>1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</row>
    <row r="41" spans="1:15" x14ac:dyDescent="0.3">
      <c r="A41" s="28" t="s">
        <v>575</v>
      </c>
      <c r="B41" s="28" t="s">
        <v>576</v>
      </c>
      <c r="C41" s="28" t="s">
        <v>559</v>
      </c>
      <c r="D41" s="28" t="s">
        <v>577</v>
      </c>
      <c r="E41" s="28" t="s">
        <v>596</v>
      </c>
      <c r="F41" s="28" t="s">
        <v>594</v>
      </c>
      <c r="G41" s="29">
        <v>232</v>
      </c>
      <c r="H41" s="29">
        <v>0</v>
      </c>
      <c r="I41" s="29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</row>
    <row r="42" spans="1:15" x14ac:dyDescent="0.3">
      <c r="A42" s="28" t="s">
        <v>575</v>
      </c>
      <c r="B42" s="28" t="s">
        <v>576</v>
      </c>
      <c r="C42" s="28" t="s">
        <v>559</v>
      </c>
      <c r="D42" s="28" t="s">
        <v>577</v>
      </c>
      <c r="E42" s="28" t="s">
        <v>596</v>
      </c>
      <c r="F42" s="28" t="s">
        <v>595</v>
      </c>
      <c r="G42" s="29">
        <v>207</v>
      </c>
      <c r="H42" s="29">
        <v>1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</row>
    <row r="43" spans="1:15" x14ac:dyDescent="0.3">
      <c r="A43" s="28" t="s">
        <v>575</v>
      </c>
      <c r="B43" s="28" t="s">
        <v>576</v>
      </c>
      <c r="C43" s="28" t="s">
        <v>559</v>
      </c>
      <c r="D43" s="28" t="s">
        <v>577</v>
      </c>
      <c r="E43" s="28" t="s">
        <v>605</v>
      </c>
      <c r="F43" s="28" t="s">
        <v>597</v>
      </c>
      <c r="G43" s="29">
        <v>181</v>
      </c>
      <c r="H43" s="29">
        <v>0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</row>
    <row r="44" spans="1:15" x14ac:dyDescent="0.3">
      <c r="A44" s="28" t="s">
        <v>575</v>
      </c>
      <c r="B44" s="28" t="s">
        <v>576</v>
      </c>
      <c r="C44" s="28" t="s">
        <v>559</v>
      </c>
      <c r="D44" s="28" t="s">
        <v>577</v>
      </c>
      <c r="E44" s="28" t="s">
        <v>605</v>
      </c>
      <c r="F44" s="28" t="s">
        <v>598</v>
      </c>
      <c r="G44" s="29">
        <v>140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</row>
    <row r="45" spans="1:15" x14ac:dyDescent="0.3">
      <c r="A45" s="28" t="s">
        <v>575</v>
      </c>
      <c r="B45" s="28" t="s">
        <v>576</v>
      </c>
      <c r="C45" s="28" t="s">
        <v>559</v>
      </c>
      <c r="D45" s="28" t="s">
        <v>577</v>
      </c>
      <c r="E45" s="28" t="s">
        <v>605</v>
      </c>
      <c r="F45" s="28" t="s">
        <v>599</v>
      </c>
      <c r="G45" s="29">
        <v>98</v>
      </c>
      <c r="H45" s="29">
        <v>1</v>
      </c>
      <c r="I45" s="29">
        <v>1</v>
      </c>
      <c r="J45" s="29">
        <v>1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</row>
    <row r="46" spans="1:15" x14ac:dyDescent="0.3">
      <c r="A46" s="28" t="s">
        <v>575</v>
      </c>
      <c r="B46" s="28" t="s">
        <v>576</v>
      </c>
      <c r="C46" s="28" t="s">
        <v>559</v>
      </c>
      <c r="D46" s="28" t="s">
        <v>577</v>
      </c>
      <c r="E46" s="28" t="s">
        <v>605</v>
      </c>
      <c r="F46" s="28" t="s">
        <v>600</v>
      </c>
      <c r="G46" s="29">
        <v>82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</row>
    <row r="47" spans="1:15" x14ac:dyDescent="0.3">
      <c r="A47" s="28" t="s">
        <v>575</v>
      </c>
      <c r="B47" s="28" t="s">
        <v>576</v>
      </c>
      <c r="C47" s="28" t="s">
        <v>559</v>
      </c>
      <c r="D47" s="28" t="s">
        <v>577</v>
      </c>
      <c r="E47" s="28" t="s">
        <v>605</v>
      </c>
      <c r="F47" s="28" t="s">
        <v>601</v>
      </c>
      <c r="G47" s="29">
        <v>102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</row>
    <row r="48" spans="1:15" x14ac:dyDescent="0.3">
      <c r="A48" s="28" t="s">
        <v>575</v>
      </c>
      <c r="B48" s="28" t="s">
        <v>576</v>
      </c>
      <c r="C48" s="28" t="s">
        <v>559</v>
      </c>
      <c r="D48" s="28" t="s">
        <v>577</v>
      </c>
      <c r="E48" s="28" t="s">
        <v>605</v>
      </c>
      <c r="F48" s="28" t="s">
        <v>602</v>
      </c>
      <c r="G48" s="29">
        <v>341</v>
      </c>
      <c r="H48" s="29">
        <v>3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</row>
    <row r="49" spans="1:15" x14ac:dyDescent="0.3">
      <c r="A49" s="28" t="s">
        <v>575</v>
      </c>
      <c r="B49" s="28" t="s">
        <v>576</v>
      </c>
      <c r="C49" s="28" t="s">
        <v>559</v>
      </c>
      <c r="D49" s="28" t="s">
        <v>577</v>
      </c>
      <c r="E49" s="28" t="s">
        <v>605</v>
      </c>
      <c r="F49" s="28" t="s">
        <v>603</v>
      </c>
      <c r="G49" s="29">
        <v>450</v>
      </c>
      <c r="H49" s="29">
        <v>4</v>
      </c>
      <c r="I49" s="29">
        <v>1</v>
      </c>
      <c r="J49" s="29">
        <v>1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</row>
    <row r="50" spans="1:15" x14ac:dyDescent="0.3">
      <c r="A50" s="28" t="s">
        <v>575</v>
      </c>
      <c r="B50" s="28" t="s">
        <v>576</v>
      </c>
      <c r="C50" s="28" t="s">
        <v>559</v>
      </c>
      <c r="D50" s="28" t="s">
        <v>577</v>
      </c>
      <c r="E50" s="28" t="s">
        <v>605</v>
      </c>
      <c r="F50" s="28" t="s">
        <v>604</v>
      </c>
      <c r="G50" s="29">
        <v>416</v>
      </c>
      <c r="H50" s="29">
        <v>3</v>
      </c>
      <c r="I50" s="29">
        <v>3</v>
      </c>
      <c r="J50" s="29">
        <v>3</v>
      </c>
      <c r="K50" s="29">
        <v>0</v>
      </c>
      <c r="L50" s="29">
        <v>100</v>
      </c>
      <c r="M50" s="29">
        <v>100</v>
      </c>
      <c r="N50" s="29">
        <v>0</v>
      </c>
      <c r="O50" s="29">
        <v>0</v>
      </c>
    </row>
    <row r="51" spans="1:15" x14ac:dyDescent="0.3">
      <c r="A51" s="28" t="s">
        <v>575</v>
      </c>
      <c r="B51" s="28" t="s">
        <v>576</v>
      </c>
      <c r="C51" s="28" t="s">
        <v>559</v>
      </c>
      <c r="D51" s="28" t="s">
        <v>577</v>
      </c>
      <c r="E51" s="28" t="s">
        <v>605</v>
      </c>
      <c r="F51" s="28" t="s">
        <v>581</v>
      </c>
      <c r="G51" s="29">
        <v>230</v>
      </c>
      <c r="H51" s="29">
        <v>1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</row>
    <row r="52" spans="1:15" x14ac:dyDescent="0.3">
      <c r="A52" s="28" t="s">
        <v>575</v>
      </c>
      <c r="B52" s="28" t="s">
        <v>576</v>
      </c>
      <c r="C52" s="28" t="s">
        <v>559</v>
      </c>
      <c r="D52" s="28" t="s">
        <v>577</v>
      </c>
      <c r="E52" s="28" t="s">
        <v>605</v>
      </c>
      <c r="F52" s="28" t="s">
        <v>582</v>
      </c>
      <c r="G52" s="29">
        <v>217</v>
      </c>
      <c r="H52" s="29">
        <v>1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</row>
    <row r="53" spans="1:15" x14ac:dyDescent="0.3">
      <c r="A53" s="28" t="s">
        <v>575</v>
      </c>
      <c r="B53" s="28" t="s">
        <v>576</v>
      </c>
      <c r="C53" s="28" t="s">
        <v>559</v>
      </c>
      <c r="D53" s="28" t="s">
        <v>577</v>
      </c>
      <c r="E53" s="28" t="s">
        <v>605</v>
      </c>
      <c r="F53" s="28" t="s">
        <v>583</v>
      </c>
      <c r="G53" s="29">
        <v>211</v>
      </c>
      <c r="H53" s="29">
        <v>5</v>
      </c>
      <c r="I53" s="29">
        <v>5</v>
      </c>
      <c r="J53" s="29">
        <v>5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</row>
    <row r="54" spans="1:15" x14ac:dyDescent="0.3">
      <c r="A54" s="28" t="s">
        <v>575</v>
      </c>
      <c r="B54" s="28" t="s">
        <v>576</v>
      </c>
      <c r="C54" s="28" t="s">
        <v>559</v>
      </c>
      <c r="D54" s="28" t="s">
        <v>577</v>
      </c>
      <c r="E54" s="28" t="s">
        <v>605</v>
      </c>
      <c r="F54" s="28" t="s">
        <v>584</v>
      </c>
      <c r="G54" s="29">
        <v>236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</row>
    <row r="55" spans="1:15" x14ac:dyDescent="0.3">
      <c r="A55" s="28" t="s">
        <v>575</v>
      </c>
      <c r="B55" s="28" t="s">
        <v>576</v>
      </c>
      <c r="C55" s="28" t="s">
        <v>559</v>
      </c>
      <c r="D55" s="28" t="s">
        <v>577</v>
      </c>
      <c r="E55" s="28" t="s">
        <v>605</v>
      </c>
      <c r="F55" s="28" t="s">
        <v>585</v>
      </c>
      <c r="G55" s="29">
        <v>205</v>
      </c>
      <c r="H55" s="29">
        <v>1</v>
      </c>
      <c r="I55" s="29">
        <v>2</v>
      </c>
      <c r="J55" s="29">
        <v>2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</row>
    <row r="56" spans="1:15" x14ac:dyDescent="0.3">
      <c r="A56" s="28" t="s">
        <v>575</v>
      </c>
      <c r="B56" s="28" t="s">
        <v>576</v>
      </c>
      <c r="C56" s="28" t="s">
        <v>559</v>
      </c>
      <c r="D56" s="28" t="s">
        <v>577</v>
      </c>
      <c r="E56" s="28" t="s">
        <v>605</v>
      </c>
      <c r="F56" s="28" t="s">
        <v>586</v>
      </c>
      <c r="G56" s="29">
        <v>229</v>
      </c>
      <c r="H56" s="29">
        <v>6</v>
      </c>
      <c r="I56" s="29">
        <v>1</v>
      </c>
      <c r="J56" s="29">
        <v>1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</row>
    <row r="57" spans="1:15" x14ac:dyDescent="0.3">
      <c r="A57" s="28" t="s">
        <v>575</v>
      </c>
      <c r="B57" s="28" t="s">
        <v>576</v>
      </c>
      <c r="C57" s="28" t="s">
        <v>559</v>
      </c>
      <c r="D57" s="28" t="s">
        <v>577</v>
      </c>
      <c r="E57" s="28" t="s">
        <v>605</v>
      </c>
      <c r="F57" s="28" t="s">
        <v>587</v>
      </c>
      <c r="G57" s="29">
        <v>233</v>
      </c>
      <c r="H57" s="29">
        <v>3</v>
      </c>
      <c r="I57" s="29">
        <v>0</v>
      </c>
      <c r="J57" s="29">
        <v>0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</row>
    <row r="58" spans="1:15" x14ac:dyDescent="0.3">
      <c r="A58" s="28" t="s">
        <v>575</v>
      </c>
      <c r="B58" s="28" t="s">
        <v>576</v>
      </c>
      <c r="C58" s="28" t="s">
        <v>559</v>
      </c>
      <c r="D58" s="28" t="s">
        <v>577</v>
      </c>
      <c r="E58" s="28" t="s">
        <v>605</v>
      </c>
      <c r="F58" s="28" t="s">
        <v>579</v>
      </c>
      <c r="G58" s="29">
        <v>224</v>
      </c>
      <c r="H58" s="29">
        <v>2</v>
      </c>
      <c r="I58" s="29">
        <v>3</v>
      </c>
      <c r="J58" s="29">
        <v>2</v>
      </c>
      <c r="K58" s="29">
        <v>1</v>
      </c>
      <c r="L58" s="29">
        <v>0</v>
      </c>
      <c r="M58" s="29">
        <v>0</v>
      </c>
      <c r="N58" s="29">
        <v>0</v>
      </c>
      <c r="O58" s="29">
        <v>0</v>
      </c>
    </row>
    <row r="59" spans="1:15" x14ac:dyDescent="0.3">
      <c r="A59" s="28" t="s">
        <v>575</v>
      </c>
      <c r="B59" s="28" t="s">
        <v>576</v>
      </c>
      <c r="C59" s="28" t="s">
        <v>559</v>
      </c>
      <c r="D59" s="28" t="s">
        <v>577</v>
      </c>
      <c r="E59" s="28" t="s">
        <v>605</v>
      </c>
      <c r="F59" s="28" t="s">
        <v>588</v>
      </c>
      <c r="G59" s="29">
        <v>226</v>
      </c>
      <c r="H59" s="29">
        <v>2</v>
      </c>
      <c r="I59" s="29">
        <v>0</v>
      </c>
      <c r="J59" s="29">
        <v>0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</row>
    <row r="60" spans="1:15" x14ac:dyDescent="0.3">
      <c r="A60" s="28" t="s">
        <v>575</v>
      </c>
      <c r="B60" s="28" t="s">
        <v>576</v>
      </c>
      <c r="C60" s="28" t="s">
        <v>559</v>
      </c>
      <c r="D60" s="28" t="s">
        <v>577</v>
      </c>
      <c r="E60" s="28" t="s">
        <v>605</v>
      </c>
      <c r="F60" s="28" t="s">
        <v>589</v>
      </c>
      <c r="G60" s="29">
        <v>217</v>
      </c>
      <c r="H60" s="29">
        <v>3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</row>
    <row r="61" spans="1:15" x14ac:dyDescent="0.3">
      <c r="A61" s="28" t="s">
        <v>575</v>
      </c>
      <c r="B61" s="28" t="s">
        <v>576</v>
      </c>
      <c r="C61" s="28" t="s">
        <v>559</v>
      </c>
      <c r="D61" s="28" t="s">
        <v>577</v>
      </c>
      <c r="E61" s="28" t="s">
        <v>605</v>
      </c>
      <c r="F61" s="28" t="s">
        <v>590</v>
      </c>
      <c r="G61" s="29">
        <v>207</v>
      </c>
      <c r="H61" s="29">
        <v>0</v>
      </c>
      <c r="I61" s="29">
        <v>2</v>
      </c>
      <c r="J61" s="29">
        <v>0</v>
      </c>
      <c r="K61" s="29">
        <v>2</v>
      </c>
      <c r="L61" s="29">
        <v>0</v>
      </c>
      <c r="M61" s="29">
        <v>0</v>
      </c>
      <c r="N61" s="29">
        <v>0</v>
      </c>
      <c r="O61" s="29">
        <v>0</v>
      </c>
    </row>
    <row r="62" spans="1:15" x14ac:dyDescent="0.3">
      <c r="A62" s="28" t="s">
        <v>575</v>
      </c>
      <c r="B62" s="28" t="s">
        <v>576</v>
      </c>
      <c r="C62" s="28" t="s">
        <v>559</v>
      </c>
      <c r="D62" s="28" t="s">
        <v>577</v>
      </c>
      <c r="E62" s="28" t="s">
        <v>605</v>
      </c>
      <c r="F62" s="28" t="s">
        <v>591</v>
      </c>
      <c r="G62" s="29">
        <v>240</v>
      </c>
      <c r="H62" s="29">
        <v>1</v>
      </c>
      <c r="I62" s="29">
        <v>2</v>
      </c>
      <c r="J62" s="29">
        <v>2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</row>
    <row r="63" spans="1:15" x14ac:dyDescent="0.3">
      <c r="A63" s="28" t="s">
        <v>575</v>
      </c>
      <c r="B63" s="28" t="s">
        <v>576</v>
      </c>
      <c r="C63" s="28" t="s">
        <v>559</v>
      </c>
      <c r="D63" s="28" t="s">
        <v>577</v>
      </c>
      <c r="E63" s="28" t="s">
        <v>605</v>
      </c>
      <c r="F63" s="28" t="s">
        <v>592</v>
      </c>
      <c r="G63" s="29">
        <v>228</v>
      </c>
      <c r="H63" s="29">
        <v>0</v>
      </c>
      <c r="I63" s="29">
        <v>0</v>
      </c>
      <c r="J63" s="29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</row>
    <row r="64" spans="1:15" x14ac:dyDescent="0.3">
      <c r="A64" s="28" t="s">
        <v>575</v>
      </c>
      <c r="B64" s="28" t="s">
        <v>576</v>
      </c>
      <c r="C64" s="28" t="s">
        <v>559</v>
      </c>
      <c r="D64" s="28" t="s">
        <v>577</v>
      </c>
      <c r="E64" s="28" t="s">
        <v>605</v>
      </c>
      <c r="F64" s="28" t="s">
        <v>593</v>
      </c>
      <c r="G64" s="29">
        <v>140</v>
      </c>
      <c r="H64" s="29">
        <v>2</v>
      </c>
      <c r="I64" s="29">
        <v>1</v>
      </c>
      <c r="J64" s="29">
        <v>1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</row>
    <row r="65" spans="1:15" x14ac:dyDescent="0.3">
      <c r="A65" s="28" t="s">
        <v>575</v>
      </c>
      <c r="B65" s="28" t="s">
        <v>576</v>
      </c>
      <c r="C65" s="28" t="s">
        <v>559</v>
      </c>
      <c r="D65" s="28" t="s">
        <v>577</v>
      </c>
      <c r="E65" s="28" t="s">
        <v>605</v>
      </c>
      <c r="F65" s="28" t="s">
        <v>594</v>
      </c>
      <c r="G65" s="29">
        <v>231</v>
      </c>
      <c r="H65" s="29">
        <v>5</v>
      </c>
      <c r="I65" s="29">
        <v>1</v>
      </c>
      <c r="J65" s="29">
        <v>1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</row>
    <row r="66" spans="1:15" x14ac:dyDescent="0.3">
      <c r="A66" s="28" t="s">
        <v>575</v>
      </c>
      <c r="B66" s="28" t="s">
        <v>576</v>
      </c>
      <c r="C66" s="28" t="s">
        <v>559</v>
      </c>
      <c r="D66" s="28" t="s">
        <v>577</v>
      </c>
      <c r="E66" s="28" t="s">
        <v>605</v>
      </c>
      <c r="F66" s="28" t="s">
        <v>595</v>
      </c>
      <c r="G66" s="29">
        <v>205</v>
      </c>
      <c r="H66" s="29">
        <v>1</v>
      </c>
      <c r="I66" s="29">
        <v>1</v>
      </c>
      <c r="J66" s="29">
        <v>1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</row>
    <row r="67" spans="1:15" x14ac:dyDescent="0.3">
      <c r="A67" s="28" t="s">
        <v>575</v>
      </c>
      <c r="B67" s="28" t="s">
        <v>576</v>
      </c>
      <c r="C67" s="28" t="s">
        <v>559</v>
      </c>
      <c r="D67" s="28" t="s">
        <v>577</v>
      </c>
      <c r="E67" s="28" t="s">
        <v>606</v>
      </c>
      <c r="F67" s="28" t="s">
        <v>597</v>
      </c>
      <c r="G67" s="29">
        <v>174</v>
      </c>
      <c r="H67" s="29">
        <v>2</v>
      </c>
      <c r="I67" s="29">
        <v>0</v>
      </c>
      <c r="J67" s="29">
        <v>0</v>
      </c>
      <c r="K67" s="29">
        <v>0</v>
      </c>
      <c r="L67" s="29">
        <v>0</v>
      </c>
      <c r="M67" s="29">
        <v>0</v>
      </c>
      <c r="N67" s="29">
        <v>0</v>
      </c>
      <c r="O67" s="29">
        <v>0</v>
      </c>
    </row>
    <row r="68" spans="1:15" x14ac:dyDescent="0.3">
      <c r="A68" s="28" t="s">
        <v>575</v>
      </c>
      <c r="B68" s="28" t="s">
        <v>576</v>
      </c>
      <c r="C68" s="28" t="s">
        <v>559</v>
      </c>
      <c r="D68" s="28" t="s">
        <v>577</v>
      </c>
      <c r="E68" s="28" t="s">
        <v>606</v>
      </c>
      <c r="F68" s="28" t="s">
        <v>598</v>
      </c>
      <c r="G68" s="29">
        <v>133</v>
      </c>
      <c r="H68" s="29">
        <v>2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</row>
    <row r="69" spans="1:15" x14ac:dyDescent="0.3">
      <c r="A69" s="28" t="s">
        <v>575</v>
      </c>
      <c r="B69" s="28" t="s">
        <v>576</v>
      </c>
      <c r="C69" s="28" t="s">
        <v>559</v>
      </c>
      <c r="D69" s="28" t="s">
        <v>577</v>
      </c>
      <c r="E69" s="28" t="s">
        <v>606</v>
      </c>
      <c r="F69" s="28" t="s">
        <v>599</v>
      </c>
      <c r="G69" s="29">
        <v>78</v>
      </c>
      <c r="H69" s="29">
        <v>1</v>
      </c>
      <c r="I69" s="29">
        <v>1</v>
      </c>
      <c r="J69" s="29">
        <v>1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</row>
    <row r="70" spans="1:15" x14ac:dyDescent="0.3">
      <c r="A70" s="28" t="s">
        <v>575</v>
      </c>
      <c r="B70" s="28" t="s">
        <v>576</v>
      </c>
      <c r="C70" s="28" t="s">
        <v>559</v>
      </c>
      <c r="D70" s="28" t="s">
        <v>577</v>
      </c>
      <c r="E70" s="28" t="s">
        <v>606</v>
      </c>
      <c r="F70" s="28" t="s">
        <v>600</v>
      </c>
      <c r="G70" s="29">
        <v>69</v>
      </c>
      <c r="H70" s="29">
        <v>1</v>
      </c>
      <c r="I70" s="29">
        <v>2</v>
      </c>
      <c r="J70" s="29">
        <v>2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</row>
    <row r="71" spans="1:15" x14ac:dyDescent="0.3">
      <c r="A71" s="28" t="s">
        <v>575</v>
      </c>
      <c r="B71" s="28" t="s">
        <v>576</v>
      </c>
      <c r="C71" s="28" t="s">
        <v>559</v>
      </c>
      <c r="D71" s="28" t="s">
        <v>577</v>
      </c>
      <c r="E71" s="28" t="s">
        <v>606</v>
      </c>
      <c r="F71" s="28" t="s">
        <v>601</v>
      </c>
      <c r="G71" s="29">
        <v>73</v>
      </c>
      <c r="H71" s="29">
        <v>1</v>
      </c>
      <c r="I71" s="29">
        <v>0</v>
      </c>
      <c r="J71" s="29">
        <v>0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</row>
    <row r="72" spans="1:15" x14ac:dyDescent="0.3">
      <c r="A72" s="28" t="s">
        <v>575</v>
      </c>
      <c r="B72" s="28" t="s">
        <v>576</v>
      </c>
      <c r="C72" s="28" t="s">
        <v>559</v>
      </c>
      <c r="D72" s="28" t="s">
        <v>577</v>
      </c>
      <c r="E72" s="28" t="s">
        <v>606</v>
      </c>
      <c r="F72" s="28" t="s">
        <v>602</v>
      </c>
      <c r="G72" s="29">
        <v>162</v>
      </c>
      <c r="H72" s="29">
        <v>2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</row>
    <row r="73" spans="1:15" x14ac:dyDescent="0.3">
      <c r="A73" s="28" t="s">
        <v>575</v>
      </c>
      <c r="B73" s="28" t="s">
        <v>576</v>
      </c>
      <c r="C73" s="28" t="s">
        <v>559</v>
      </c>
      <c r="D73" s="28" t="s">
        <v>577</v>
      </c>
      <c r="E73" s="28" t="s">
        <v>606</v>
      </c>
      <c r="F73" s="28" t="s">
        <v>603</v>
      </c>
      <c r="G73" s="29">
        <v>771</v>
      </c>
      <c r="H73" s="29">
        <v>3</v>
      </c>
      <c r="I73" s="29">
        <v>2</v>
      </c>
      <c r="J73" s="29">
        <v>2</v>
      </c>
      <c r="K73" s="29">
        <v>0</v>
      </c>
      <c r="L73" s="29">
        <v>0</v>
      </c>
      <c r="M73" s="29">
        <v>0</v>
      </c>
      <c r="N73" s="29">
        <v>0</v>
      </c>
      <c r="O73" s="29">
        <v>0</v>
      </c>
    </row>
    <row r="74" spans="1:15" x14ac:dyDescent="0.3">
      <c r="A74" s="28" t="s">
        <v>575</v>
      </c>
      <c r="B74" s="28" t="s">
        <v>576</v>
      </c>
      <c r="C74" s="28" t="s">
        <v>559</v>
      </c>
      <c r="D74" s="28" t="s">
        <v>577</v>
      </c>
      <c r="E74" s="28" t="s">
        <v>606</v>
      </c>
      <c r="F74" s="28" t="s">
        <v>604</v>
      </c>
      <c r="G74" s="29">
        <v>438</v>
      </c>
      <c r="H74" s="29">
        <v>4</v>
      </c>
      <c r="I74" s="29">
        <v>3</v>
      </c>
      <c r="J74" s="29">
        <v>2</v>
      </c>
      <c r="K74" s="29">
        <v>1</v>
      </c>
      <c r="L74" s="29">
        <v>0</v>
      </c>
      <c r="M74" s="29">
        <v>0</v>
      </c>
      <c r="N74" s="29">
        <v>0</v>
      </c>
      <c r="O74" s="29">
        <v>0</v>
      </c>
    </row>
    <row r="75" spans="1:15" x14ac:dyDescent="0.3">
      <c r="A75" s="28" t="s">
        <v>575</v>
      </c>
      <c r="B75" s="28" t="s">
        <v>576</v>
      </c>
      <c r="C75" s="28" t="s">
        <v>559</v>
      </c>
      <c r="D75" s="28" t="s">
        <v>577</v>
      </c>
      <c r="E75" s="28" t="s">
        <v>606</v>
      </c>
      <c r="F75" s="28" t="s">
        <v>581</v>
      </c>
      <c r="G75" s="29">
        <v>227</v>
      </c>
      <c r="H75" s="29">
        <v>7</v>
      </c>
      <c r="I75" s="29">
        <v>5</v>
      </c>
      <c r="J75" s="29">
        <v>4</v>
      </c>
      <c r="K75" s="29">
        <v>1</v>
      </c>
      <c r="L75" s="29">
        <v>0</v>
      </c>
      <c r="M75" s="29">
        <v>0</v>
      </c>
      <c r="N75" s="29">
        <v>0</v>
      </c>
      <c r="O75" s="29">
        <v>0</v>
      </c>
    </row>
    <row r="76" spans="1:15" x14ac:dyDescent="0.3">
      <c r="A76" s="28" t="s">
        <v>575</v>
      </c>
      <c r="B76" s="28" t="s">
        <v>576</v>
      </c>
      <c r="C76" s="28" t="s">
        <v>559</v>
      </c>
      <c r="D76" s="28" t="s">
        <v>577</v>
      </c>
      <c r="E76" s="28" t="s">
        <v>606</v>
      </c>
      <c r="F76" s="28" t="s">
        <v>582</v>
      </c>
      <c r="G76" s="29">
        <v>223</v>
      </c>
      <c r="H76" s="29">
        <v>3</v>
      </c>
      <c r="I76" s="29">
        <v>1</v>
      </c>
      <c r="J76" s="29">
        <v>0</v>
      </c>
      <c r="K76" s="29">
        <v>1</v>
      </c>
      <c r="L76" s="29">
        <v>0</v>
      </c>
      <c r="M76" s="29">
        <v>0</v>
      </c>
      <c r="N76" s="29">
        <v>0</v>
      </c>
      <c r="O76" s="29">
        <v>0</v>
      </c>
    </row>
    <row r="77" spans="1:15" x14ac:dyDescent="0.3">
      <c r="A77" s="28" t="s">
        <v>575</v>
      </c>
      <c r="B77" s="28" t="s">
        <v>576</v>
      </c>
      <c r="C77" s="28" t="s">
        <v>559</v>
      </c>
      <c r="D77" s="28" t="s">
        <v>577</v>
      </c>
      <c r="E77" s="28" t="s">
        <v>606</v>
      </c>
      <c r="F77" s="28" t="s">
        <v>583</v>
      </c>
      <c r="G77" s="29">
        <v>224</v>
      </c>
      <c r="H77" s="29">
        <v>3</v>
      </c>
      <c r="I77" s="29">
        <v>3</v>
      </c>
      <c r="J77" s="29">
        <v>3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</row>
    <row r="78" spans="1:15" x14ac:dyDescent="0.3">
      <c r="A78" s="28" t="s">
        <v>575</v>
      </c>
      <c r="B78" s="28" t="s">
        <v>576</v>
      </c>
      <c r="C78" s="28" t="s">
        <v>559</v>
      </c>
      <c r="D78" s="28" t="s">
        <v>577</v>
      </c>
      <c r="E78" s="28" t="s">
        <v>606</v>
      </c>
      <c r="F78" s="28" t="s">
        <v>584</v>
      </c>
      <c r="G78" s="29">
        <v>244</v>
      </c>
      <c r="H78" s="29">
        <v>1</v>
      </c>
      <c r="I78" s="29">
        <v>3</v>
      </c>
      <c r="J78" s="29">
        <v>1</v>
      </c>
      <c r="K78" s="29">
        <v>2</v>
      </c>
      <c r="L78" s="29">
        <v>500</v>
      </c>
      <c r="M78" s="29">
        <v>0</v>
      </c>
      <c r="N78" s="29">
        <v>500</v>
      </c>
      <c r="O78" s="29">
        <v>0</v>
      </c>
    </row>
    <row r="79" spans="1:15" x14ac:dyDescent="0.3">
      <c r="A79" s="28" t="s">
        <v>575</v>
      </c>
      <c r="B79" s="28" t="s">
        <v>576</v>
      </c>
      <c r="C79" s="28" t="s">
        <v>559</v>
      </c>
      <c r="D79" s="28" t="s">
        <v>577</v>
      </c>
      <c r="E79" s="28" t="s">
        <v>606</v>
      </c>
      <c r="F79" s="28" t="s">
        <v>585</v>
      </c>
      <c r="G79" s="29">
        <v>233</v>
      </c>
      <c r="H79" s="29">
        <v>1</v>
      </c>
      <c r="I79" s="29">
        <v>1</v>
      </c>
      <c r="J79" s="29">
        <v>0</v>
      </c>
      <c r="K79" s="29">
        <v>1</v>
      </c>
      <c r="L79" s="29">
        <v>0</v>
      </c>
      <c r="M79" s="29">
        <v>0</v>
      </c>
      <c r="N79" s="29">
        <v>0</v>
      </c>
      <c r="O79" s="29">
        <v>0</v>
      </c>
    </row>
    <row r="80" spans="1:15" x14ac:dyDescent="0.3">
      <c r="A80" s="28" t="s">
        <v>575</v>
      </c>
      <c r="B80" s="28" t="s">
        <v>576</v>
      </c>
      <c r="C80" s="28" t="s">
        <v>559</v>
      </c>
      <c r="D80" s="28" t="s">
        <v>577</v>
      </c>
      <c r="E80" s="28" t="s">
        <v>606</v>
      </c>
      <c r="F80" s="28" t="s">
        <v>586</v>
      </c>
      <c r="G80" s="29">
        <v>222</v>
      </c>
      <c r="H80" s="29">
        <v>1</v>
      </c>
      <c r="I80" s="29">
        <v>1</v>
      </c>
      <c r="J80" s="29">
        <v>1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</row>
    <row r="81" spans="1:15" x14ac:dyDescent="0.3">
      <c r="A81" s="28" t="s">
        <v>575</v>
      </c>
      <c r="B81" s="28" t="s">
        <v>576</v>
      </c>
      <c r="C81" s="28" t="s">
        <v>559</v>
      </c>
      <c r="D81" s="28" t="s">
        <v>577</v>
      </c>
      <c r="E81" s="28" t="s">
        <v>606</v>
      </c>
      <c r="F81" s="28" t="s">
        <v>587</v>
      </c>
      <c r="G81" s="29">
        <v>234</v>
      </c>
      <c r="H81" s="29">
        <v>2</v>
      </c>
      <c r="I81" s="29">
        <v>0</v>
      </c>
      <c r="J81" s="29">
        <v>0</v>
      </c>
      <c r="K81" s="29">
        <v>0</v>
      </c>
      <c r="L81" s="29">
        <v>0</v>
      </c>
      <c r="M81" s="29">
        <v>0</v>
      </c>
      <c r="N81" s="29">
        <v>0</v>
      </c>
      <c r="O81" s="29">
        <v>0</v>
      </c>
    </row>
    <row r="82" spans="1:15" x14ac:dyDescent="0.3">
      <c r="A82" s="28" t="s">
        <v>575</v>
      </c>
      <c r="B82" s="28" t="s">
        <v>576</v>
      </c>
      <c r="C82" s="28" t="s">
        <v>559</v>
      </c>
      <c r="D82" s="28" t="s">
        <v>577</v>
      </c>
      <c r="E82" s="28" t="s">
        <v>606</v>
      </c>
      <c r="F82" s="28" t="s">
        <v>579</v>
      </c>
      <c r="G82" s="29">
        <v>210</v>
      </c>
      <c r="H82" s="29">
        <v>2</v>
      </c>
      <c r="I82" s="29">
        <v>3</v>
      </c>
      <c r="J82" s="29">
        <v>3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</row>
    <row r="83" spans="1:15" x14ac:dyDescent="0.3">
      <c r="A83" s="28" t="s">
        <v>575</v>
      </c>
      <c r="B83" s="28" t="s">
        <v>576</v>
      </c>
      <c r="C83" s="28" t="s">
        <v>559</v>
      </c>
      <c r="D83" s="28" t="s">
        <v>577</v>
      </c>
      <c r="E83" s="28" t="s">
        <v>606</v>
      </c>
      <c r="F83" s="28" t="s">
        <v>588</v>
      </c>
      <c r="G83" s="29">
        <v>228</v>
      </c>
      <c r="H83" s="29">
        <v>2</v>
      </c>
      <c r="I83" s="29">
        <v>2</v>
      </c>
      <c r="J83" s="29">
        <v>1</v>
      </c>
      <c r="K83" s="29">
        <v>1</v>
      </c>
      <c r="L83" s="29">
        <v>0</v>
      </c>
      <c r="M83" s="29">
        <v>0</v>
      </c>
      <c r="N83" s="29">
        <v>0</v>
      </c>
      <c r="O83" s="29">
        <v>0</v>
      </c>
    </row>
    <row r="84" spans="1:15" x14ac:dyDescent="0.3">
      <c r="A84" s="28" t="s">
        <v>575</v>
      </c>
      <c r="B84" s="28" t="s">
        <v>576</v>
      </c>
      <c r="C84" s="28" t="s">
        <v>559</v>
      </c>
      <c r="D84" s="28" t="s">
        <v>577</v>
      </c>
      <c r="E84" s="28" t="s">
        <v>606</v>
      </c>
      <c r="F84" s="28" t="s">
        <v>589</v>
      </c>
      <c r="G84" s="29">
        <v>209</v>
      </c>
      <c r="H84" s="29">
        <v>3</v>
      </c>
      <c r="I84" s="29">
        <v>3</v>
      </c>
      <c r="J84" s="29">
        <v>3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</row>
    <row r="85" spans="1:15" x14ac:dyDescent="0.3">
      <c r="A85" s="28" t="s">
        <v>575</v>
      </c>
      <c r="B85" s="28" t="s">
        <v>576</v>
      </c>
      <c r="C85" s="28" t="s">
        <v>559</v>
      </c>
      <c r="D85" s="28" t="s">
        <v>577</v>
      </c>
      <c r="E85" s="28" t="s">
        <v>606</v>
      </c>
      <c r="F85" s="28" t="s">
        <v>590</v>
      </c>
      <c r="G85" s="29">
        <v>249</v>
      </c>
      <c r="H85" s="29">
        <v>3</v>
      </c>
      <c r="I85" s="29">
        <v>2</v>
      </c>
      <c r="J85" s="29">
        <v>2</v>
      </c>
      <c r="K85" s="29">
        <v>0</v>
      </c>
      <c r="L85" s="29">
        <v>0</v>
      </c>
      <c r="M85" s="29">
        <v>0</v>
      </c>
      <c r="N85" s="29">
        <v>0</v>
      </c>
      <c r="O85" s="29">
        <v>0</v>
      </c>
    </row>
    <row r="86" spans="1:15" x14ac:dyDescent="0.3">
      <c r="A86" s="28" t="s">
        <v>575</v>
      </c>
      <c r="B86" s="28" t="s">
        <v>576</v>
      </c>
      <c r="C86" s="28" t="s">
        <v>559</v>
      </c>
      <c r="D86" s="28" t="s">
        <v>577</v>
      </c>
      <c r="E86" s="28" t="s">
        <v>606</v>
      </c>
      <c r="F86" s="28" t="s">
        <v>591</v>
      </c>
      <c r="G86" s="29">
        <v>220</v>
      </c>
      <c r="H86" s="29">
        <v>2</v>
      </c>
      <c r="I86" s="29">
        <v>1</v>
      </c>
      <c r="J86" s="29">
        <v>1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</row>
    <row r="87" spans="1:15" x14ac:dyDescent="0.3">
      <c r="A87" s="28" t="s">
        <v>575</v>
      </c>
      <c r="B87" s="28" t="s">
        <v>576</v>
      </c>
      <c r="C87" s="28" t="s">
        <v>559</v>
      </c>
      <c r="D87" s="28" t="s">
        <v>577</v>
      </c>
      <c r="E87" s="28" t="s">
        <v>606</v>
      </c>
      <c r="F87" s="28" t="s">
        <v>592</v>
      </c>
      <c r="G87" s="29">
        <v>260</v>
      </c>
      <c r="H87" s="29">
        <v>4</v>
      </c>
      <c r="I87" s="29">
        <v>1</v>
      </c>
      <c r="J87" s="29">
        <v>0</v>
      </c>
      <c r="K87" s="29">
        <v>1</v>
      </c>
      <c r="L87" s="29">
        <v>0</v>
      </c>
      <c r="M87" s="29">
        <v>0</v>
      </c>
      <c r="N87" s="29">
        <v>0</v>
      </c>
      <c r="O87" s="29">
        <v>0</v>
      </c>
    </row>
    <row r="88" spans="1:15" x14ac:dyDescent="0.3">
      <c r="A88" s="28" t="s">
        <v>575</v>
      </c>
      <c r="B88" s="28" t="s">
        <v>576</v>
      </c>
      <c r="C88" s="28" t="s">
        <v>559</v>
      </c>
      <c r="D88" s="28" t="s">
        <v>577</v>
      </c>
      <c r="E88" s="28" t="s">
        <v>606</v>
      </c>
      <c r="F88" s="28" t="s">
        <v>593</v>
      </c>
      <c r="G88" s="29">
        <v>198</v>
      </c>
      <c r="H88" s="29">
        <v>8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</row>
    <row r="89" spans="1:15" x14ac:dyDescent="0.3">
      <c r="A89" s="28" t="s">
        <v>575</v>
      </c>
      <c r="B89" s="28" t="s">
        <v>576</v>
      </c>
      <c r="C89" s="28" t="s">
        <v>559</v>
      </c>
      <c r="D89" s="28" t="s">
        <v>577</v>
      </c>
      <c r="E89" s="28" t="s">
        <v>606</v>
      </c>
      <c r="F89" s="28" t="s">
        <v>594</v>
      </c>
      <c r="G89" s="29">
        <v>233</v>
      </c>
      <c r="H89" s="29">
        <v>6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</row>
    <row r="90" spans="1:15" x14ac:dyDescent="0.3">
      <c r="A90" s="28" t="s">
        <v>575</v>
      </c>
      <c r="B90" s="28" t="s">
        <v>576</v>
      </c>
      <c r="C90" s="28" t="s">
        <v>559</v>
      </c>
      <c r="D90" s="28" t="s">
        <v>577</v>
      </c>
      <c r="E90" s="28" t="s">
        <v>606</v>
      </c>
      <c r="F90" s="28" t="s">
        <v>595</v>
      </c>
      <c r="G90" s="29">
        <v>191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</row>
    <row r="91" spans="1:15" x14ac:dyDescent="0.3">
      <c r="A91" s="28" t="s">
        <v>575</v>
      </c>
      <c r="B91" s="28" t="s">
        <v>576</v>
      </c>
      <c r="C91" s="28" t="s">
        <v>559</v>
      </c>
      <c r="D91" s="28" t="s">
        <v>577</v>
      </c>
      <c r="E91" s="28" t="s">
        <v>607</v>
      </c>
      <c r="F91" s="28" t="s">
        <v>597</v>
      </c>
      <c r="G91" s="29">
        <v>174</v>
      </c>
      <c r="H91" s="29">
        <v>1</v>
      </c>
      <c r="I91" s="29">
        <v>0</v>
      </c>
      <c r="J91" s="29">
        <v>0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</row>
    <row r="92" spans="1:15" x14ac:dyDescent="0.3">
      <c r="A92" s="28" t="s">
        <v>575</v>
      </c>
      <c r="B92" s="28" t="s">
        <v>576</v>
      </c>
      <c r="C92" s="28" t="s">
        <v>559</v>
      </c>
      <c r="D92" s="28" t="s">
        <v>577</v>
      </c>
      <c r="E92" s="28" t="s">
        <v>607</v>
      </c>
      <c r="F92" s="28" t="s">
        <v>598</v>
      </c>
      <c r="G92" s="29">
        <v>107</v>
      </c>
      <c r="H92" s="29">
        <v>2</v>
      </c>
      <c r="I92" s="29">
        <v>1</v>
      </c>
      <c r="J92" s="29">
        <v>1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</row>
    <row r="93" spans="1:15" x14ac:dyDescent="0.3">
      <c r="A93" s="28" t="s">
        <v>575</v>
      </c>
      <c r="B93" s="28" t="s">
        <v>576</v>
      </c>
      <c r="C93" s="28" t="s">
        <v>559</v>
      </c>
      <c r="D93" s="28" t="s">
        <v>577</v>
      </c>
      <c r="E93" s="28" t="s">
        <v>607</v>
      </c>
      <c r="F93" s="28" t="s">
        <v>599</v>
      </c>
      <c r="G93" s="29">
        <v>65</v>
      </c>
      <c r="H93" s="29">
        <v>1</v>
      </c>
      <c r="I93" s="29">
        <v>0</v>
      </c>
      <c r="J93" s="29">
        <v>0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</row>
    <row r="94" spans="1:15" x14ac:dyDescent="0.3">
      <c r="A94" s="28" t="s">
        <v>575</v>
      </c>
      <c r="B94" s="28" t="s">
        <v>576</v>
      </c>
      <c r="C94" s="28" t="s">
        <v>559</v>
      </c>
      <c r="D94" s="28" t="s">
        <v>577</v>
      </c>
      <c r="E94" s="28" t="s">
        <v>607</v>
      </c>
      <c r="F94" s="28" t="s">
        <v>600</v>
      </c>
      <c r="G94" s="29">
        <v>42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</row>
    <row r="95" spans="1:15" x14ac:dyDescent="0.3">
      <c r="A95" s="28" t="s">
        <v>575</v>
      </c>
      <c r="B95" s="28" t="s">
        <v>576</v>
      </c>
      <c r="C95" s="28" t="s">
        <v>559</v>
      </c>
      <c r="D95" s="28" t="s">
        <v>577</v>
      </c>
      <c r="E95" s="28" t="s">
        <v>607</v>
      </c>
      <c r="F95" s="28" t="s">
        <v>601</v>
      </c>
      <c r="G95" s="29">
        <v>79</v>
      </c>
      <c r="H95" s="29">
        <v>1</v>
      </c>
      <c r="I95" s="29">
        <v>4</v>
      </c>
      <c r="J95" s="29">
        <v>4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</row>
    <row r="96" spans="1:15" x14ac:dyDescent="0.3">
      <c r="A96" s="28" t="s">
        <v>575</v>
      </c>
      <c r="B96" s="28" t="s">
        <v>576</v>
      </c>
      <c r="C96" s="28" t="s">
        <v>559</v>
      </c>
      <c r="D96" s="28" t="s">
        <v>577</v>
      </c>
      <c r="E96" s="28" t="s">
        <v>607</v>
      </c>
      <c r="F96" s="28" t="s">
        <v>602</v>
      </c>
      <c r="G96" s="29">
        <v>181</v>
      </c>
      <c r="H96" s="29">
        <v>1</v>
      </c>
      <c r="I96" s="29">
        <v>2</v>
      </c>
      <c r="J96" s="29">
        <v>2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</row>
    <row r="97" spans="1:15" x14ac:dyDescent="0.3">
      <c r="A97" s="28" t="s">
        <v>575</v>
      </c>
      <c r="B97" s="28" t="s">
        <v>576</v>
      </c>
      <c r="C97" s="28" t="s">
        <v>559</v>
      </c>
      <c r="D97" s="28" t="s">
        <v>577</v>
      </c>
      <c r="E97" s="28" t="s">
        <v>607</v>
      </c>
      <c r="F97" s="28" t="s">
        <v>603</v>
      </c>
      <c r="G97" s="29">
        <v>782</v>
      </c>
      <c r="H97" s="29">
        <v>5</v>
      </c>
      <c r="I97" s="29">
        <v>1</v>
      </c>
      <c r="J97" s="29">
        <v>1</v>
      </c>
      <c r="K97" s="29">
        <v>0</v>
      </c>
      <c r="L97" s="29">
        <v>0</v>
      </c>
      <c r="M97" s="29">
        <v>0</v>
      </c>
      <c r="N97" s="29">
        <v>0</v>
      </c>
      <c r="O97" s="29">
        <v>0</v>
      </c>
    </row>
    <row r="98" spans="1:15" x14ac:dyDescent="0.3">
      <c r="A98" s="28" t="s">
        <v>575</v>
      </c>
      <c r="B98" s="28" t="s">
        <v>576</v>
      </c>
      <c r="C98" s="28" t="s">
        <v>559</v>
      </c>
      <c r="D98" s="28" t="s">
        <v>577</v>
      </c>
      <c r="E98" s="28" t="s">
        <v>607</v>
      </c>
      <c r="F98" s="28" t="s">
        <v>604</v>
      </c>
      <c r="G98" s="29">
        <v>471</v>
      </c>
      <c r="H98" s="29">
        <v>6</v>
      </c>
      <c r="I98" s="29">
        <v>1</v>
      </c>
      <c r="J98" s="29">
        <v>1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</row>
    <row r="99" spans="1:15" x14ac:dyDescent="0.3">
      <c r="A99" s="28" t="s">
        <v>575</v>
      </c>
      <c r="B99" s="28" t="s">
        <v>576</v>
      </c>
      <c r="C99" s="28" t="s">
        <v>559</v>
      </c>
      <c r="D99" s="28" t="s">
        <v>577</v>
      </c>
      <c r="E99" s="28" t="s">
        <v>607</v>
      </c>
      <c r="F99" s="28" t="s">
        <v>581</v>
      </c>
      <c r="G99" s="29">
        <v>197</v>
      </c>
      <c r="H99" s="29">
        <v>1</v>
      </c>
      <c r="I99" s="29">
        <v>1</v>
      </c>
      <c r="J99" s="29">
        <v>0</v>
      </c>
      <c r="K99" s="29">
        <v>1</v>
      </c>
      <c r="L99" s="29">
        <v>0</v>
      </c>
      <c r="M99" s="29">
        <v>0</v>
      </c>
      <c r="N99" s="29">
        <v>0</v>
      </c>
      <c r="O99" s="29">
        <v>0</v>
      </c>
    </row>
    <row r="100" spans="1:15" x14ac:dyDescent="0.3">
      <c r="A100" s="28" t="s">
        <v>575</v>
      </c>
      <c r="B100" s="28" t="s">
        <v>576</v>
      </c>
      <c r="C100" s="28" t="s">
        <v>559</v>
      </c>
      <c r="D100" s="28" t="s">
        <v>577</v>
      </c>
      <c r="E100" s="28" t="s">
        <v>607</v>
      </c>
      <c r="F100" s="28" t="s">
        <v>582</v>
      </c>
      <c r="G100" s="29">
        <v>252</v>
      </c>
      <c r="H100" s="29">
        <v>0</v>
      </c>
      <c r="I100" s="29">
        <v>0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</row>
    <row r="101" spans="1:15" x14ac:dyDescent="0.3">
      <c r="A101" s="28" t="s">
        <v>575</v>
      </c>
      <c r="B101" s="28" t="s">
        <v>576</v>
      </c>
      <c r="C101" s="28" t="s">
        <v>559</v>
      </c>
      <c r="D101" s="28" t="s">
        <v>577</v>
      </c>
      <c r="E101" s="28" t="s">
        <v>607</v>
      </c>
      <c r="F101" s="28" t="s">
        <v>583</v>
      </c>
      <c r="G101" s="29">
        <v>215</v>
      </c>
      <c r="H101" s="29">
        <v>3</v>
      </c>
      <c r="I101" s="29">
        <v>2</v>
      </c>
      <c r="J101" s="29">
        <v>2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</row>
    <row r="102" spans="1:15" x14ac:dyDescent="0.3">
      <c r="A102" s="28" t="s">
        <v>575</v>
      </c>
      <c r="B102" s="28" t="s">
        <v>576</v>
      </c>
      <c r="C102" s="28" t="s">
        <v>559</v>
      </c>
      <c r="D102" s="28" t="s">
        <v>577</v>
      </c>
      <c r="E102" s="28" t="s">
        <v>607</v>
      </c>
      <c r="F102" s="28" t="s">
        <v>584</v>
      </c>
      <c r="G102" s="29">
        <v>226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</row>
    <row r="103" spans="1:15" x14ac:dyDescent="0.3">
      <c r="A103" s="28" t="s">
        <v>575</v>
      </c>
      <c r="B103" s="28" t="s">
        <v>576</v>
      </c>
      <c r="C103" s="28" t="s">
        <v>559</v>
      </c>
      <c r="D103" s="28" t="s">
        <v>577</v>
      </c>
      <c r="E103" s="28" t="s">
        <v>607</v>
      </c>
      <c r="F103" s="28" t="s">
        <v>585</v>
      </c>
      <c r="G103" s="29">
        <v>227</v>
      </c>
      <c r="H103" s="29">
        <v>1</v>
      </c>
      <c r="I103" s="29">
        <v>0</v>
      </c>
      <c r="J103" s="29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</row>
    <row r="104" spans="1:15" x14ac:dyDescent="0.3">
      <c r="A104" s="28" t="s">
        <v>575</v>
      </c>
      <c r="B104" s="28" t="s">
        <v>576</v>
      </c>
      <c r="C104" s="28" t="s">
        <v>559</v>
      </c>
      <c r="D104" s="28" t="s">
        <v>577</v>
      </c>
      <c r="E104" s="28" t="s">
        <v>607</v>
      </c>
      <c r="F104" s="28" t="s">
        <v>586</v>
      </c>
      <c r="G104" s="29">
        <v>219</v>
      </c>
      <c r="H104" s="29">
        <v>2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</row>
    <row r="105" spans="1:15" x14ac:dyDescent="0.3">
      <c r="A105" s="28" t="s">
        <v>575</v>
      </c>
      <c r="B105" s="28" t="s">
        <v>576</v>
      </c>
      <c r="C105" s="28" t="s">
        <v>559</v>
      </c>
      <c r="D105" s="28" t="s">
        <v>577</v>
      </c>
      <c r="E105" s="28" t="s">
        <v>607</v>
      </c>
      <c r="F105" s="28" t="s">
        <v>587</v>
      </c>
      <c r="G105" s="29">
        <v>247</v>
      </c>
      <c r="H105" s="29">
        <v>1</v>
      </c>
      <c r="I105" s="29">
        <v>0</v>
      </c>
      <c r="J105" s="29">
        <v>0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</row>
    <row r="106" spans="1:15" x14ac:dyDescent="0.3">
      <c r="A106" s="28" t="s">
        <v>575</v>
      </c>
      <c r="B106" s="28" t="s">
        <v>576</v>
      </c>
      <c r="C106" s="28" t="s">
        <v>559</v>
      </c>
      <c r="D106" s="28" t="s">
        <v>577</v>
      </c>
      <c r="E106" s="28" t="s">
        <v>607</v>
      </c>
      <c r="F106" s="28" t="s">
        <v>579</v>
      </c>
      <c r="G106" s="29">
        <v>251</v>
      </c>
      <c r="H106" s="29">
        <v>0</v>
      </c>
      <c r="I106" s="29">
        <v>3</v>
      </c>
      <c r="J106" s="29">
        <v>0</v>
      </c>
      <c r="K106" s="29">
        <v>3</v>
      </c>
      <c r="L106" s="29">
        <v>0</v>
      </c>
      <c r="M106" s="29">
        <v>0</v>
      </c>
      <c r="N106" s="29">
        <v>0</v>
      </c>
      <c r="O106" s="29">
        <v>0</v>
      </c>
    </row>
    <row r="107" spans="1:15" x14ac:dyDescent="0.3">
      <c r="A107" s="28" t="s">
        <v>575</v>
      </c>
      <c r="B107" s="28" t="s">
        <v>576</v>
      </c>
      <c r="C107" s="28" t="s">
        <v>559</v>
      </c>
      <c r="D107" s="28" t="s">
        <v>577</v>
      </c>
      <c r="E107" s="28" t="s">
        <v>607</v>
      </c>
      <c r="F107" s="28" t="s">
        <v>588</v>
      </c>
      <c r="G107" s="29">
        <v>234</v>
      </c>
      <c r="H107" s="29">
        <v>2</v>
      </c>
      <c r="I107" s="29">
        <v>2</v>
      </c>
      <c r="J107" s="29">
        <v>1</v>
      </c>
      <c r="K107" s="29">
        <v>1</v>
      </c>
      <c r="L107" s="29">
        <v>0</v>
      </c>
      <c r="M107" s="29">
        <v>0</v>
      </c>
      <c r="N107" s="29">
        <v>0</v>
      </c>
      <c r="O107" s="29">
        <v>0</v>
      </c>
    </row>
    <row r="108" spans="1:15" x14ac:dyDescent="0.3">
      <c r="A108" s="28" t="s">
        <v>575</v>
      </c>
      <c r="B108" s="28" t="s">
        <v>576</v>
      </c>
      <c r="C108" s="28" t="s">
        <v>559</v>
      </c>
      <c r="D108" s="28" t="s">
        <v>577</v>
      </c>
      <c r="E108" s="28" t="s">
        <v>607</v>
      </c>
      <c r="F108" s="28" t="s">
        <v>589</v>
      </c>
      <c r="G108" s="29">
        <v>220</v>
      </c>
      <c r="H108" s="29">
        <v>2</v>
      </c>
      <c r="I108" s="29">
        <v>1</v>
      </c>
      <c r="J108" s="29">
        <v>1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</row>
    <row r="109" spans="1:15" x14ac:dyDescent="0.3">
      <c r="A109" s="28" t="s">
        <v>575</v>
      </c>
      <c r="B109" s="28" t="s">
        <v>576</v>
      </c>
      <c r="C109" s="28" t="s">
        <v>559</v>
      </c>
      <c r="D109" s="28" t="s">
        <v>577</v>
      </c>
      <c r="E109" s="28" t="s">
        <v>607</v>
      </c>
      <c r="F109" s="28" t="s">
        <v>590</v>
      </c>
      <c r="G109" s="29">
        <v>239</v>
      </c>
      <c r="H109" s="29">
        <v>1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</row>
    <row r="110" spans="1:15" x14ac:dyDescent="0.3">
      <c r="A110" s="28" t="s">
        <v>575</v>
      </c>
      <c r="B110" s="28" t="s">
        <v>576</v>
      </c>
      <c r="C110" s="28" t="s">
        <v>559</v>
      </c>
      <c r="D110" s="28" t="s">
        <v>577</v>
      </c>
      <c r="E110" s="28" t="s">
        <v>607</v>
      </c>
      <c r="F110" s="28" t="s">
        <v>591</v>
      </c>
      <c r="G110" s="29">
        <v>223</v>
      </c>
      <c r="H110" s="29">
        <v>2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</row>
    <row r="111" spans="1:15" x14ac:dyDescent="0.3">
      <c r="A111" s="28" t="s">
        <v>575</v>
      </c>
      <c r="B111" s="28" t="s">
        <v>576</v>
      </c>
      <c r="C111" s="28" t="s">
        <v>559</v>
      </c>
      <c r="D111" s="28" t="s">
        <v>577</v>
      </c>
      <c r="E111" s="28" t="s">
        <v>607</v>
      </c>
      <c r="F111" s="28" t="s">
        <v>592</v>
      </c>
      <c r="G111" s="29">
        <v>179</v>
      </c>
      <c r="H111" s="29">
        <v>2</v>
      </c>
      <c r="I111" s="29">
        <v>1</v>
      </c>
      <c r="J111" s="29">
        <v>1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</row>
    <row r="112" spans="1:15" x14ac:dyDescent="0.3">
      <c r="A112" s="28" t="s">
        <v>575</v>
      </c>
      <c r="B112" s="28" t="s">
        <v>576</v>
      </c>
      <c r="C112" s="28" t="s">
        <v>559</v>
      </c>
      <c r="D112" s="28" t="s">
        <v>577</v>
      </c>
      <c r="E112" s="28" t="s">
        <v>607</v>
      </c>
      <c r="F112" s="28" t="s">
        <v>593</v>
      </c>
      <c r="G112" s="29">
        <v>244</v>
      </c>
      <c r="H112" s="29">
        <v>3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</row>
    <row r="113" spans="1:15" x14ac:dyDescent="0.3">
      <c r="A113" s="28" t="s">
        <v>575</v>
      </c>
      <c r="B113" s="28" t="s">
        <v>576</v>
      </c>
      <c r="C113" s="28" t="s">
        <v>559</v>
      </c>
      <c r="D113" s="28" t="s">
        <v>577</v>
      </c>
      <c r="E113" s="28" t="s">
        <v>607</v>
      </c>
      <c r="F113" s="28" t="s">
        <v>594</v>
      </c>
      <c r="G113" s="29">
        <v>155</v>
      </c>
      <c r="H113" s="29">
        <v>0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</row>
    <row r="114" spans="1:15" x14ac:dyDescent="0.3">
      <c r="A114" s="28" t="s">
        <v>575</v>
      </c>
      <c r="B114" s="28" t="s">
        <v>576</v>
      </c>
      <c r="C114" s="28" t="s">
        <v>559</v>
      </c>
      <c r="D114" s="28" t="s">
        <v>577</v>
      </c>
      <c r="E114" s="28" t="s">
        <v>607</v>
      </c>
      <c r="F114" s="28" t="s">
        <v>595</v>
      </c>
      <c r="G114" s="29">
        <v>125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</row>
    <row r="115" spans="1:15" x14ac:dyDescent="0.3">
      <c r="A115" s="28" t="s">
        <v>575</v>
      </c>
      <c r="B115" s="28" t="s">
        <v>576</v>
      </c>
      <c r="C115" s="28" t="s">
        <v>559</v>
      </c>
      <c r="D115" s="28" t="s">
        <v>577</v>
      </c>
      <c r="E115" s="28" t="s">
        <v>608</v>
      </c>
      <c r="F115" s="28" t="s">
        <v>597</v>
      </c>
      <c r="G115" s="29">
        <v>118</v>
      </c>
      <c r="H115" s="29">
        <v>2</v>
      </c>
      <c r="I115" s="29">
        <v>1</v>
      </c>
      <c r="J115" s="29">
        <v>1</v>
      </c>
      <c r="K115" s="29">
        <v>0</v>
      </c>
      <c r="L115" s="29">
        <v>0</v>
      </c>
      <c r="M115" s="29">
        <v>0</v>
      </c>
      <c r="N115" s="29">
        <v>0</v>
      </c>
      <c r="O115" s="29">
        <v>0</v>
      </c>
    </row>
    <row r="116" spans="1:15" x14ac:dyDescent="0.3">
      <c r="A116" s="28" t="s">
        <v>575</v>
      </c>
      <c r="B116" s="28" t="s">
        <v>576</v>
      </c>
      <c r="C116" s="28" t="s">
        <v>559</v>
      </c>
      <c r="D116" s="28" t="s">
        <v>577</v>
      </c>
      <c r="E116" s="28" t="s">
        <v>608</v>
      </c>
      <c r="F116" s="28" t="s">
        <v>598</v>
      </c>
      <c r="G116" s="29">
        <v>86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</row>
    <row r="117" spans="1:15" x14ac:dyDescent="0.3">
      <c r="A117" s="28" t="s">
        <v>575</v>
      </c>
      <c r="B117" s="28" t="s">
        <v>576</v>
      </c>
      <c r="C117" s="28" t="s">
        <v>559</v>
      </c>
      <c r="D117" s="28" t="s">
        <v>577</v>
      </c>
      <c r="E117" s="28" t="s">
        <v>608</v>
      </c>
      <c r="F117" s="28" t="s">
        <v>599</v>
      </c>
      <c r="G117" s="29">
        <v>48</v>
      </c>
      <c r="H117" s="29">
        <v>0</v>
      </c>
      <c r="I117" s="29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</row>
    <row r="118" spans="1:15" x14ac:dyDescent="0.3">
      <c r="A118" s="28" t="s">
        <v>575</v>
      </c>
      <c r="B118" s="28" t="s">
        <v>576</v>
      </c>
      <c r="C118" s="28" t="s">
        <v>559</v>
      </c>
      <c r="D118" s="28" t="s">
        <v>577</v>
      </c>
      <c r="E118" s="28" t="s">
        <v>608</v>
      </c>
      <c r="F118" s="28" t="s">
        <v>600</v>
      </c>
      <c r="G118" s="29">
        <v>32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</row>
    <row r="119" spans="1:15" x14ac:dyDescent="0.3">
      <c r="A119" s="28" t="s">
        <v>575</v>
      </c>
      <c r="B119" s="28" t="s">
        <v>576</v>
      </c>
      <c r="C119" s="28" t="s">
        <v>559</v>
      </c>
      <c r="D119" s="28" t="s">
        <v>577</v>
      </c>
      <c r="E119" s="28" t="s">
        <v>608</v>
      </c>
      <c r="F119" s="28" t="s">
        <v>601</v>
      </c>
      <c r="G119" s="29">
        <v>35</v>
      </c>
      <c r="H119" s="29">
        <v>0</v>
      </c>
      <c r="I119" s="29">
        <v>0</v>
      </c>
      <c r="J119" s="29">
        <v>0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</row>
    <row r="120" spans="1:15" x14ac:dyDescent="0.3">
      <c r="A120" s="28" t="s">
        <v>575</v>
      </c>
      <c r="B120" s="28" t="s">
        <v>576</v>
      </c>
      <c r="C120" s="28" t="s">
        <v>559</v>
      </c>
      <c r="D120" s="28" t="s">
        <v>577</v>
      </c>
      <c r="E120" s="28" t="s">
        <v>608</v>
      </c>
      <c r="F120" s="28" t="s">
        <v>602</v>
      </c>
      <c r="G120" s="29">
        <v>64</v>
      </c>
      <c r="H120" s="29">
        <v>1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</row>
    <row r="121" spans="1:15" x14ac:dyDescent="0.3">
      <c r="A121" s="28" t="s">
        <v>575</v>
      </c>
      <c r="B121" s="28" t="s">
        <v>576</v>
      </c>
      <c r="C121" s="28" t="s">
        <v>559</v>
      </c>
      <c r="D121" s="28" t="s">
        <v>577</v>
      </c>
      <c r="E121" s="28" t="s">
        <v>608</v>
      </c>
      <c r="F121" s="28" t="s">
        <v>603</v>
      </c>
      <c r="G121" s="29">
        <v>92</v>
      </c>
      <c r="H121" s="29">
        <v>0</v>
      </c>
      <c r="I121" s="29">
        <v>0</v>
      </c>
      <c r="J121" s="29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</row>
    <row r="122" spans="1:15" x14ac:dyDescent="0.3">
      <c r="A122" s="28" t="s">
        <v>575</v>
      </c>
      <c r="B122" s="28" t="s">
        <v>576</v>
      </c>
      <c r="C122" s="28" t="s">
        <v>559</v>
      </c>
      <c r="D122" s="28" t="s">
        <v>577</v>
      </c>
      <c r="E122" s="28" t="s">
        <v>608</v>
      </c>
      <c r="F122" s="28" t="s">
        <v>604</v>
      </c>
      <c r="G122" s="29">
        <v>211</v>
      </c>
      <c r="H122" s="29">
        <v>7</v>
      </c>
      <c r="I122" s="29">
        <v>2</v>
      </c>
      <c r="J122" s="29">
        <v>2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</row>
    <row r="123" spans="1:15" x14ac:dyDescent="0.3">
      <c r="A123" s="28" t="s">
        <v>575</v>
      </c>
      <c r="B123" s="28" t="s">
        <v>576</v>
      </c>
      <c r="C123" s="28" t="s">
        <v>559</v>
      </c>
      <c r="D123" s="28" t="s">
        <v>577</v>
      </c>
      <c r="E123" s="28" t="s">
        <v>608</v>
      </c>
      <c r="F123" s="28" t="s">
        <v>581</v>
      </c>
      <c r="G123" s="29">
        <v>404</v>
      </c>
      <c r="H123" s="29">
        <v>6</v>
      </c>
      <c r="I123" s="29">
        <v>8</v>
      </c>
      <c r="J123" s="29">
        <v>0</v>
      </c>
      <c r="K123" s="29">
        <v>8</v>
      </c>
      <c r="L123" s="29">
        <v>500</v>
      </c>
      <c r="M123" s="29">
        <v>0</v>
      </c>
      <c r="N123" s="29">
        <v>500</v>
      </c>
      <c r="O123" s="29">
        <v>0</v>
      </c>
    </row>
    <row r="124" spans="1:15" x14ac:dyDescent="0.3">
      <c r="A124" s="28" t="s">
        <v>575</v>
      </c>
      <c r="B124" s="28" t="s">
        <v>576</v>
      </c>
      <c r="C124" s="28" t="s">
        <v>559</v>
      </c>
      <c r="D124" s="28" t="s">
        <v>577</v>
      </c>
      <c r="E124" s="28" t="s">
        <v>608</v>
      </c>
      <c r="F124" s="28" t="s">
        <v>582</v>
      </c>
      <c r="G124" s="29">
        <v>442</v>
      </c>
      <c r="H124" s="29">
        <v>1</v>
      </c>
      <c r="I124" s="29">
        <v>1</v>
      </c>
      <c r="J124" s="29">
        <v>1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</row>
    <row r="125" spans="1:15" x14ac:dyDescent="0.3">
      <c r="A125" s="28" t="s">
        <v>575</v>
      </c>
      <c r="B125" s="28" t="s">
        <v>576</v>
      </c>
      <c r="C125" s="28" t="s">
        <v>559</v>
      </c>
      <c r="D125" s="28" t="s">
        <v>577</v>
      </c>
      <c r="E125" s="28" t="s">
        <v>608</v>
      </c>
      <c r="F125" s="28" t="s">
        <v>583</v>
      </c>
      <c r="G125" s="29">
        <v>171</v>
      </c>
      <c r="H125" s="29">
        <v>1</v>
      </c>
      <c r="I125" s="29">
        <v>0</v>
      </c>
      <c r="J125" s="29">
        <v>0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</row>
    <row r="126" spans="1:15" x14ac:dyDescent="0.3">
      <c r="A126" s="28" t="s">
        <v>575</v>
      </c>
      <c r="B126" s="28" t="s">
        <v>576</v>
      </c>
      <c r="C126" s="28" t="s">
        <v>559</v>
      </c>
      <c r="D126" s="28" t="s">
        <v>577</v>
      </c>
      <c r="E126" s="28" t="s">
        <v>608</v>
      </c>
      <c r="F126" s="28" t="s">
        <v>584</v>
      </c>
      <c r="G126" s="29">
        <v>153</v>
      </c>
      <c r="H126" s="29">
        <v>2</v>
      </c>
      <c r="I126" s="29">
        <v>3</v>
      </c>
      <c r="J126" s="29">
        <v>2</v>
      </c>
      <c r="K126" s="29">
        <v>1</v>
      </c>
      <c r="L126" s="29">
        <v>0</v>
      </c>
      <c r="M126" s="29">
        <v>0</v>
      </c>
      <c r="N126" s="29">
        <v>0</v>
      </c>
      <c r="O126" s="29">
        <v>0</v>
      </c>
    </row>
    <row r="127" spans="1:15" x14ac:dyDescent="0.3">
      <c r="A127" s="28" t="s">
        <v>575</v>
      </c>
      <c r="B127" s="28" t="s">
        <v>576</v>
      </c>
      <c r="C127" s="28" t="s">
        <v>559</v>
      </c>
      <c r="D127" s="28" t="s">
        <v>577</v>
      </c>
      <c r="E127" s="28" t="s">
        <v>608</v>
      </c>
      <c r="F127" s="28" t="s">
        <v>585</v>
      </c>
      <c r="G127" s="29">
        <v>150</v>
      </c>
      <c r="H127" s="29">
        <v>1</v>
      </c>
      <c r="I127" s="29">
        <v>1</v>
      </c>
      <c r="J127" s="29">
        <v>1</v>
      </c>
      <c r="K127" s="29">
        <v>0</v>
      </c>
      <c r="L127" s="29">
        <v>0</v>
      </c>
      <c r="M127" s="29">
        <v>0</v>
      </c>
      <c r="N127" s="29">
        <v>0</v>
      </c>
      <c r="O127" s="29">
        <v>0</v>
      </c>
    </row>
    <row r="128" spans="1:15" x14ac:dyDescent="0.3">
      <c r="A128" s="28" t="s">
        <v>575</v>
      </c>
      <c r="B128" s="28" t="s">
        <v>576</v>
      </c>
      <c r="C128" s="28" t="s">
        <v>559</v>
      </c>
      <c r="D128" s="28" t="s">
        <v>577</v>
      </c>
      <c r="E128" s="28" t="s">
        <v>608</v>
      </c>
      <c r="F128" s="28" t="s">
        <v>586</v>
      </c>
      <c r="G128" s="29">
        <v>150</v>
      </c>
      <c r="H128" s="29">
        <v>2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</row>
    <row r="129" spans="1:15" x14ac:dyDescent="0.3">
      <c r="A129" s="28" t="s">
        <v>575</v>
      </c>
      <c r="B129" s="28" t="s">
        <v>576</v>
      </c>
      <c r="C129" s="28" t="s">
        <v>559</v>
      </c>
      <c r="D129" s="28" t="s">
        <v>577</v>
      </c>
      <c r="E129" s="28" t="s">
        <v>608</v>
      </c>
      <c r="F129" s="28" t="s">
        <v>587</v>
      </c>
      <c r="G129" s="29">
        <v>142</v>
      </c>
      <c r="H129" s="29">
        <v>1</v>
      </c>
      <c r="I129" s="29">
        <v>2</v>
      </c>
      <c r="J129" s="29">
        <v>0</v>
      </c>
      <c r="K129" s="29">
        <v>2</v>
      </c>
      <c r="L129" s="29">
        <v>0</v>
      </c>
      <c r="M129" s="29">
        <v>0</v>
      </c>
      <c r="N129" s="29">
        <v>0</v>
      </c>
      <c r="O129" s="29">
        <v>0</v>
      </c>
    </row>
    <row r="130" spans="1:15" x14ac:dyDescent="0.3">
      <c r="A130" s="28" t="s">
        <v>575</v>
      </c>
      <c r="B130" s="28" t="s">
        <v>576</v>
      </c>
      <c r="C130" s="28" t="s">
        <v>559</v>
      </c>
      <c r="D130" s="28" t="s">
        <v>577</v>
      </c>
      <c r="E130" s="28" t="s">
        <v>608</v>
      </c>
      <c r="F130" s="28" t="s">
        <v>579</v>
      </c>
      <c r="G130" s="29">
        <v>167</v>
      </c>
      <c r="H130" s="29">
        <v>2</v>
      </c>
      <c r="I130" s="29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</row>
    <row r="131" spans="1:15" x14ac:dyDescent="0.3">
      <c r="A131" s="28" t="s">
        <v>575</v>
      </c>
      <c r="B131" s="28" t="s">
        <v>576</v>
      </c>
      <c r="C131" s="28" t="s">
        <v>559</v>
      </c>
      <c r="D131" s="28" t="s">
        <v>577</v>
      </c>
      <c r="E131" s="28" t="s">
        <v>608</v>
      </c>
      <c r="F131" s="28" t="s">
        <v>588</v>
      </c>
      <c r="G131" s="29">
        <v>61</v>
      </c>
      <c r="H131" s="29">
        <v>2</v>
      </c>
      <c r="I131" s="29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</row>
    <row r="132" spans="1:15" x14ac:dyDescent="0.3">
      <c r="A132" s="28" t="s">
        <v>575</v>
      </c>
      <c r="B132" s="28" t="s">
        <v>576</v>
      </c>
      <c r="C132" s="28" t="s">
        <v>559</v>
      </c>
      <c r="D132" s="28" t="s">
        <v>577</v>
      </c>
      <c r="E132" s="28" t="s">
        <v>608</v>
      </c>
      <c r="F132" s="28" t="s">
        <v>589</v>
      </c>
      <c r="G132" s="29">
        <v>26</v>
      </c>
      <c r="H132" s="29">
        <v>0</v>
      </c>
      <c r="I132" s="29">
        <v>2</v>
      </c>
      <c r="J132" s="29">
        <v>2</v>
      </c>
      <c r="K132" s="29">
        <v>0</v>
      </c>
      <c r="L132" s="29">
        <v>130</v>
      </c>
      <c r="M132" s="29">
        <v>130</v>
      </c>
      <c r="N132" s="29">
        <v>0</v>
      </c>
      <c r="O132" s="29">
        <v>0</v>
      </c>
    </row>
    <row r="133" spans="1:15" x14ac:dyDescent="0.3">
      <c r="A133" s="28" t="s">
        <v>575</v>
      </c>
      <c r="B133" s="28" t="s">
        <v>576</v>
      </c>
      <c r="C133" s="28" t="s">
        <v>559</v>
      </c>
      <c r="D133" s="28" t="s">
        <v>577</v>
      </c>
      <c r="E133" s="28" t="s">
        <v>608</v>
      </c>
      <c r="F133" s="28" t="s">
        <v>590</v>
      </c>
      <c r="G133" s="29">
        <v>26</v>
      </c>
      <c r="H133" s="29">
        <v>0</v>
      </c>
      <c r="I133" s="29">
        <v>0</v>
      </c>
      <c r="J133" s="29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</row>
    <row r="134" spans="1:15" x14ac:dyDescent="0.3">
      <c r="A134" s="28" t="s">
        <v>575</v>
      </c>
      <c r="B134" s="28" t="s">
        <v>576</v>
      </c>
      <c r="C134" s="28" t="s">
        <v>559</v>
      </c>
      <c r="D134" s="28" t="s">
        <v>577</v>
      </c>
      <c r="E134" s="28" t="s">
        <v>608</v>
      </c>
      <c r="F134" s="28" t="s">
        <v>591</v>
      </c>
      <c r="G134" s="29">
        <v>34</v>
      </c>
      <c r="H134" s="29">
        <v>0</v>
      </c>
      <c r="I134" s="29">
        <v>2</v>
      </c>
      <c r="J134" s="29">
        <v>0</v>
      </c>
      <c r="K134" s="29">
        <v>2</v>
      </c>
      <c r="L134" s="29">
        <v>0</v>
      </c>
      <c r="M134" s="29">
        <v>0</v>
      </c>
      <c r="N134" s="29">
        <v>0</v>
      </c>
      <c r="O134" s="29">
        <v>0</v>
      </c>
    </row>
    <row r="135" spans="1:15" x14ac:dyDescent="0.3">
      <c r="A135" s="28" t="s">
        <v>575</v>
      </c>
      <c r="B135" s="28" t="s">
        <v>576</v>
      </c>
      <c r="C135" s="28" t="s">
        <v>559</v>
      </c>
      <c r="D135" s="28" t="s">
        <v>577</v>
      </c>
      <c r="E135" s="28" t="s">
        <v>608</v>
      </c>
      <c r="F135" s="28" t="s">
        <v>592</v>
      </c>
      <c r="G135" s="29">
        <v>21</v>
      </c>
      <c r="H135" s="29">
        <v>0</v>
      </c>
      <c r="I135" s="29">
        <v>0</v>
      </c>
      <c r="J135" s="29">
        <v>0</v>
      </c>
      <c r="K135" s="29">
        <v>0</v>
      </c>
      <c r="L135" s="29">
        <v>0</v>
      </c>
      <c r="M135" s="29">
        <v>0</v>
      </c>
      <c r="N135" s="29">
        <v>0</v>
      </c>
      <c r="O135" s="29">
        <v>0</v>
      </c>
    </row>
    <row r="136" spans="1:15" x14ac:dyDescent="0.3">
      <c r="A136" s="28" t="s">
        <v>575</v>
      </c>
      <c r="B136" s="28" t="s">
        <v>576</v>
      </c>
      <c r="C136" s="28" t="s">
        <v>559</v>
      </c>
      <c r="D136" s="28" t="s">
        <v>577</v>
      </c>
      <c r="E136" s="28" t="s">
        <v>608</v>
      </c>
      <c r="F136" s="28" t="s">
        <v>593</v>
      </c>
      <c r="G136" s="29">
        <v>0</v>
      </c>
      <c r="H136" s="29">
        <v>0</v>
      </c>
      <c r="I136" s="29">
        <v>1</v>
      </c>
      <c r="J136" s="29">
        <v>0</v>
      </c>
      <c r="K136" s="29">
        <v>1</v>
      </c>
      <c r="L136" s="29">
        <v>0</v>
      </c>
      <c r="M136" s="29">
        <v>0</v>
      </c>
      <c r="N136" s="29">
        <v>0</v>
      </c>
      <c r="O136" s="29">
        <v>0</v>
      </c>
    </row>
    <row r="137" spans="1:15" x14ac:dyDescent="0.3">
      <c r="A137" s="28" t="s">
        <v>575</v>
      </c>
      <c r="B137" s="28" t="s">
        <v>576</v>
      </c>
      <c r="C137" s="28" t="s">
        <v>559</v>
      </c>
      <c r="D137" s="28" t="s">
        <v>577</v>
      </c>
      <c r="E137" s="28" t="s">
        <v>608</v>
      </c>
      <c r="F137" s="28" t="s">
        <v>594</v>
      </c>
      <c r="G137" s="29">
        <v>169</v>
      </c>
      <c r="H137" s="29">
        <v>4</v>
      </c>
      <c r="I137" s="29">
        <v>0</v>
      </c>
      <c r="J137" s="29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</row>
    <row r="138" spans="1:15" x14ac:dyDescent="0.3">
      <c r="A138" s="28" t="s">
        <v>575</v>
      </c>
      <c r="B138" s="28" t="s">
        <v>576</v>
      </c>
      <c r="C138" s="28" t="s">
        <v>559</v>
      </c>
      <c r="D138" s="28" t="s">
        <v>577</v>
      </c>
      <c r="E138" s="28" t="s">
        <v>608</v>
      </c>
      <c r="F138" s="28" t="s">
        <v>595</v>
      </c>
      <c r="G138" s="29">
        <v>167</v>
      </c>
      <c r="H138" s="29">
        <v>0</v>
      </c>
      <c r="I138" s="29">
        <v>4</v>
      </c>
      <c r="J138" s="29">
        <v>1</v>
      </c>
      <c r="K138" s="29">
        <v>3</v>
      </c>
      <c r="L138" s="29">
        <v>0</v>
      </c>
      <c r="M138" s="29">
        <v>0</v>
      </c>
      <c r="N138" s="29">
        <v>0</v>
      </c>
      <c r="O138" s="29">
        <v>0</v>
      </c>
    </row>
    <row r="139" spans="1:15" x14ac:dyDescent="0.3">
      <c r="A139" s="28" t="s">
        <v>575</v>
      </c>
      <c r="B139" s="28" t="s">
        <v>576</v>
      </c>
      <c r="C139" s="28" t="s">
        <v>559</v>
      </c>
      <c r="D139" s="28" t="s">
        <v>577</v>
      </c>
      <c r="E139" s="28" t="s">
        <v>609</v>
      </c>
      <c r="F139" s="28" t="s">
        <v>597</v>
      </c>
      <c r="G139" s="29">
        <v>149</v>
      </c>
      <c r="H139" s="29">
        <v>1</v>
      </c>
      <c r="I139" s="29">
        <v>1</v>
      </c>
      <c r="J139" s="29">
        <v>1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</row>
    <row r="140" spans="1:15" x14ac:dyDescent="0.3">
      <c r="A140" s="28" t="s">
        <v>575</v>
      </c>
      <c r="B140" s="28" t="s">
        <v>576</v>
      </c>
      <c r="C140" s="28" t="s">
        <v>559</v>
      </c>
      <c r="D140" s="28" t="s">
        <v>577</v>
      </c>
      <c r="E140" s="28" t="s">
        <v>609</v>
      </c>
      <c r="F140" s="28" t="s">
        <v>598</v>
      </c>
      <c r="G140" s="29">
        <v>79</v>
      </c>
      <c r="H140" s="29">
        <v>0</v>
      </c>
      <c r="I140" s="29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</row>
    <row r="141" spans="1:15" x14ac:dyDescent="0.3">
      <c r="A141" s="28" t="s">
        <v>575</v>
      </c>
      <c r="B141" s="28" t="s">
        <v>576</v>
      </c>
      <c r="C141" s="28" t="s">
        <v>559</v>
      </c>
      <c r="D141" s="28" t="s">
        <v>577</v>
      </c>
      <c r="E141" s="28" t="s">
        <v>609</v>
      </c>
      <c r="F141" s="28" t="s">
        <v>599</v>
      </c>
      <c r="G141" s="29">
        <v>65</v>
      </c>
      <c r="H141" s="29">
        <v>0</v>
      </c>
      <c r="I141" s="29">
        <v>0</v>
      </c>
      <c r="J141" s="29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</row>
    <row r="142" spans="1:15" x14ac:dyDescent="0.3">
      <c r="A142" s="28" t="s">
        <v>575</v>
      </c>
      <c r="B142" s="28" t="s">
        <v>576</v>
      </c>
      <c r="C142" s="28" t="s">
        <v>559</v>
      </c>
      <c r="D142" s="28" t="s">
        <v>577</v>
      </c>
      <c r="E142" s="28" t="s">
        <v>609</v>
      </c>
      <c r="F142" s="28" t="s">
        <v>600</v>
      </c>
      <c r="G142" s="29">
        <v>39</v>
      </c>
      <c r="H142" s="29">
        <v>0</v>
      </c>
      <c r="I142" s="29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</row>
    <row r="143" spans="1:15" x14ac:dyDescent="0.3">
      <c r="A143" s="28" t="s">
        <v>575</v>
      </c>
      <c r="B143" s="28" t="s">
        <v>576</v>
      </c>
      <c r="C143" s="28" t="s">
        <v>559</v>
      </c>
      <c r="D143" s="28" t="s">
        <v>577</v>
      </c>
      <c r="E143" s="28" t="s">
        <v>609</v>
      </c>
      <c r="F143" s="28" t="s">
        <v>601</v>
      </c>
      <c r="G143" s="29">
        <v>50</v>
      </c>
      <c r="H143" s="29">
        <v>0</v>
      </c>
      <c r="I143" s="29">
        <v>0</v>
      </c>
      <c r="J143" s="29">
        <v>0</v>
      </c>
      <c r="K143" s="29">
        <v>0</v>
      </c>
      <c r="L143" s="29">
        <v>0</v>
      </c>
      <c r="M143" s="29">
        <v>0</v>
      </c>
      <c r="N143" s="29">
        <v>0</v>
      </c>
      <c r="O143" s="29">
        <v>0</v>
      </c>
    </row>
    <row r="144" spans="1:15" x14ac:dyDescent="0.3">
      <c r="A144" s="28" t="s">
        <v>575</v>
      </c>
      <c r="B144" s="28" t="s">
        <v>576</v>
      </c>
      <c r="C144" s="28" t="s">
        <v>559</v>
      </c>
      <c r="D144" s="28" t="s">
        <v>577</v>
      </c>
      <c r="E144" s="28" t="s">
        <v>609</v>
      </c>
      <c r="F144" s="28" t="s">
        <v>602</v>
      </c>
      <c r="G144" s="29">
        <v>60</v>
      </c>
      <c r="H144" s="29">
        <v>0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</row>
    <row r="145" spans="1:15" x14ac:dyDescent="0.3">
      <c r="A145" s="28" t="s">
        <v>575</v>
      </c>
      <c r="B145" s="28" t="s">
        <v>576</v>
      </c>
      <c r="C145" s="28" t="s">
        <v>559</v>
      </c>
      <c r="D145" s="28" t="s">
        <v>577</v>
      </c>
      <c r="E145" s="28" t="s">
        <v>609</v>
      </c>
      <c r="F145" s="28" t="s">
        <v>603</v>
      </c>
      <c r="G145" s="29">
        <v>214</v>
      </c>
      <c r="H145" s="29">
        <v>0</v>
      </c>
      <c r="I145" s="29">
        <v>0</v>
      </c>
      <c r="J145" s="29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0</v>
      </c>
    </row>
    <row r="146" spans="1:15" x14ac:dyDescent="0.3">
      <c r="A146" s="28" t="s">
        <v>575</v>
      </c>
      <c r="B146" s="28" t="s">
        <v>576</v>
      </c>
      <c r="C146" s="28" t="s">
        <v>559</v>
      </c>
      <c r="D146" s="28" t="s">
        <v>577</v>
      </c>
      <c r="E146" s="28" t="s">
        <v>609</v>
      </c>
      <c r="F146" s="28" t="s">
        <v>604</v>
      </c>
      <c r="G146" s="29">
        <v>525</v>
      </c>
      <c r="H146" s="29">
        <v>1</v>
      </c>
      <c r="I146" s="29">
        <v>3</v>
      </c>
      <c r="J146" s="29">
        <v>3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</row>
    <row r="147" spans="1:15" x14ac:dyDescent="0.3">
      <c r="A147" s="28" t="s">
        <v>575</v>
      </c>
      <c r="B147" s="28" t="s">
        <v>576</v>
      </c>
      <c r="C147" s="28" t="s">
        <v>559</v>
      </c>
      <c r="D147" s="28" t="s">
        <v>577</v>
      </c>
      <c r="E147" s="28" t="s">
        <v>609</v>
      </c>
      <c r="F147" s="28" t="s">
        <v>581</v>
      </c>
      <c r="G147" s="29">
        <v>490</v>
      </c>
      <c r="H147" s="29">
        <v>3</v>
      </c>
      <c r="I147" s="29">
        <v>1</v>
      </c>
      <c r="J147" s="29">
        <v>1</v>
      </c>
      <c r="K147" s="29">
        <v>0</v>
      </c>
      <c r="L147" s="29">
        <v>0</v>
      </c>
      <c r="M147" s="29">
        <v>0</v>
      </c>
      <c r="N147" s="29">
        <v>0</v>
      </c>
      <c r="O147" s="29">
        <v>0</v>
      </c>
    </row>
    <row r="148" spans="1:15" x14ac:dyDescent="0.3">
      <c r="A148" s="28" t="s">
        <v>575</v>
      </c>
      <c r="B148" s="28" t="s">
        <v>576</v>
      </c>
      <c r="C148" s="28" t="s">
        <v>559</v>
      </c>
      <c r="D148" s="28" t="s">
        <v>577</v>
      </c>
      <c r="E148" s="28" t="s">
        <v>609</v>
      </c>
      <c r="F148" s="28" t="s">
        <v>582</v>
      </c>
      <c r="G148" s="29">
        <v>175</v>
      </c>
      <c r="H148" s="29">
        <v>4</v>
      </c>
      <c r="I148" s="29">
        <v>1</v>
      </c>
      <c r="J148" s="29">
        <v>0</v>
      </c>
      <c r="K148" s="29">
        <v>1</v>
      </c>
      <c r="L148" s="29">
        <v>0</v>
      </c>
      <c r="M148" s="29">
        <v>0</v>
      </c>
      <c r="N148" s="29">
        <v>0</v>
      </c>
      <c r="O148" s="29">
        <v>0</v>
      </c>
    </row>
    <row r="149" spans="1:15" x14ac:dyDescent="0.3">
      <c r="A149" s="28" t="s">
        <v>575</v>
      </c>
      <c r="B149" s="28" t="s">
        <v>576</v>
      </c>
      <c r="C149" s="28" t="s">
        <v>559</v>
      </c>
      <c r="D149" s="28" t="s">
        <v>577</v>
      </c>
      <c r="E149" s="28" t="s">
        <v>609</v>
      </c>
      <c r="F149" s="28" t="s">
        <v>583</v>
      </c>
      <c r="G149" s="29">
        <v>162</v>
      </c>
      <c r="H149" s="29">
        <v>1</v>
      </c>
      <c r="I149" s="29">
        <v>1</v>
      </c>
      <c r="J149" s="29">
        <v>1</v>
      </c>
      <c r="K149" s="29">
        <v>0</v>
      </c>
      <c r="L149" s="29">
        <v>0</v>
      </c>
      <c r="M149" s="29">
        <v>0</v>
      </c>
      <c r="N149" s="29">
        <v>0</v>
      </c>
      <c r="O149" s="29">
        <v>0</v>
      </c>
    </row>
    <row r="150" spans="1:15" x14ac:dyDescent="0.3">
      <c r="A150" s="28" t="s">
        <v>575</v>
      </c>
      <c r="B150" s="28" t="s">
        <v>576</v>
      </c>
      <c r="C150" s="28" t="s">
        <v>559</v>
      </c>
      <c r="D150" s="28" t="s">
        <v>577</v>
      </c>
      <c r="E150" s="28" t="s">
        <v>609</v>
      </c>
      <c r="F150" s="28" t="s">
        <v>584</v>
      </c>
      <c r="G150" s="29">
        <v>196</v>
      </c>
      <c r="H150" s="29">
        <v>2</v>
      </c>
      <c r="I150" s="29">
        <v>2</v>
      </c>
      <c r="J150" s="29">
        <v>0</v>
      </c>
      <c r="K150" s="29">
        <v>2</v>
      </c>
      <c r="L150" s="29">
        <v>0</v>
      </c>
      <c r="M150" s="29">
        <v>0</v>
      </c>
      <c r="N150" s="29">
        <v>0</v>
      </c>
      <c r="O150" s="29">
        <v>0</v>
      </c>
    </row>
    <row r="151" spans="1:15" x14ac:dyDescent="0.3">
      <c r="A151" s="28" t="s">
        <v>575</v>
      </c>
      <c r="B151" s="28" t="s">
        <v>576</v>
      </c>
      <c r="C151" s="28" t="s">
        <v>559</v>
      </c>
      <c r="D151" s="28" t="s">
        <v>577</v>
      </c>
      <c r="E151" s="28" t="s">
        <v>609</v>
      </c>
      <c r="F151" s="28" t="s">
        <v>585</v>
      </c>
      <c r="G151" s="29">
        <v>178</v>
      </c>
      <c r="H151" s="29">
        <v>2</v>
      </c>
      <c r="I151" s="29">
        <v>2</v>
      </c>
      <c r="J151" s="29">
        <v>0</v>
      </c>
      <c r="K151" s="29">
        <v>2</v>
      </c>
      <c r="L151" s="29">
        <v>0</v>
      </c>
      <c r="M151" s="29">
        <v>0</v>
      </c>
      <c r="N151" s="29">
        <v>0</v>
      </c>
      <c r="O151" s="29">
        <v>0</v>
      </c>
    </row>
    <row r="152" spans="1:15" x14ac:dyDescent="0.3">
      <c r="A152" s="28" t="s">
        <v>575</v>
      </c>
      <c r="B152" s="28" t="s">
        <v>576</v>
      </c>
      <c r="C152" s="28" t="s">
        <v>559</v>
      </c>
      <c r="D152" s="28" t="s">
        <v>577</v>
      </c>
      <c r="E152" s="28" t="s">
        <v>609</v>
      </c>
      <c r="F152" s="28" t="s">
        <v>586</v>
      </c>
      <c r="G152" s="29">
        <v>161</v>
      </c>
      <c r="H152" s="29">
        <v>2</v>
      </c>
      <c r="I152" s="29">
        <v>2</v>
      </c>
      <c r="J152" s="29">
        <v>1</v>
      </c>
      <c r="K152" s="29">
        <v>1</v>
      </c>
      <c r="L152" s="29">
        <v>0</v>
      </c>
      <c r="M152" s="29">
        <v>0</v>
      </c>
      <c r="N152" s="29">
        <v>0</v>
      </c>
      <c r="O152" s="29">
        <v>0</v>
      </c>
    </row>
    <row r="153" spans="1:15" x14ac:dyDescent="0.3">
      <c r="A153" s="28" t="s">
        <v>575</v>
      </c>
      <c r="B153" s="28" t="s">
        <v>576</v>
      </c>
      <c r="C153" s="28" t="s">
        <v>559</v>
      </c>
      <c r="D153" s="28" t="s">
        <v>577</v>
      </c>
      <c r="E153" s="28" t="s">
        <v>609</v>
      </c>
      <c r="F153" s="28" t="s">
        <v>587</v>
      </c>
      <c r="G153" s="29">
        <v>193</v>
      </c>
      <c r="H153" s="29">
        <v>2</v>
      </c>
      <c r="I153" s="29">
        <v>1</v>
      </c>
      <c r="J153" s="29">
        <v>1</v>
      </c>
      <c r="K153" s="29">
        <v>0</v>
      </c>
      <c r="L153" s="29">
        <v>0</v>
      </c>
      <c r="M153" s="29">
        <v>0</v>
      </c>
      <c r="N153" s="29">
        <v>0</v>
      </c>
      <c r="O153" s="29">
        <v>0</v>
      </c>
    </row>
    <row r="154" spans="1:15" x14ac:dyDescent="0.3">
      <c r="A154" s="28" t="s">
        <v>575</v>
      </c>
      <c r="B154" s="28" t="s">
        <v>576</v>
      </c>
      <c r="C154" s="28" t="s">
        <v>559</v>
      </c>
      <c r="D154" s="28" t="s">
        <v>577</v>
      </c>
      <c r="E154" s="28" t="s">
        <v>609</v>
      </c>
      <c r="F154" s="28" t="s">
        <v>579</v>
      </c>
      <c r="G154" s="29">
        <v>201</v>
      </c>
      <c r="H154" s="29">
        <v>1</v>
      </c>
      <c r="I154" s="29">
        <v>2</v>
      </c>
      <c r="J154" s="29">
        <v>1</v>
      </c>
      <c r="K154" s="29">
        <v>1</v>
      </c>
      <c r="L154" s="29">
        <v>0</v>
      </c>
      <c r="M154" s="29">
        <v>0</v>
      </c>
      <c r="N154" s="29">
        <v>0</v>
      </c>
      <c r="O154" s="29">
        <v>0</v>
      </c>
    </row>
    <row r="155" spans="1:15" x14ac:dyDescent="0.3">
      <c r="A155" s="28" t="s">
        <v>575</v>
      </c>
      <c r="B155" s="28" t="s">
        <v>576</v>
      </c>
      <c r="C155" s="28" t="s">
        <v>559</v>
      </c>
      <c r="D155" s="28" t="s">
        <v>577</v>
      </c>
      <c r="E155" s="28" t="s">
        <v>609</v>
      </c>
      <c r="F155" s="28" t="s">
        <v>588</v>
      </c>
      <c r="G155" s="29">
        <v>162</v>
      </c>
      <c r="H155" s="29">
        <v>1</v>
      </c>
      <c r="I155" s="29">
        <v>0</v>
      </c>
      <c r="J155" s="29">
        <v>0</v>
      </c>
      <c r="K155" s="29">
        <v>0</v>
      </c>
      <c r="L155" s="29">
        <v>0</v>
      </c>
      <c r="M155" s="29">
        <v>0</v>
      </c>
      <c r="N155" s="29">
        <v>0</v>
      </c>
      <c r="O155" s="29">
        <v>0</v>
      </c>
    </row>
    <row r="156" spans="1:15" x14ac:dyDescent="0.3">
      <c r="A156" s="28" t="s">
        <v>575</v>
      </c>
      <c r="B156" s="28" t="s">
        <v>576</v>
      </c>
      <c r="C156" s="28" t="s">
        <v>559</v>
      </c>
      <c r="D156" s="28" t="s">
        <v>577</v>
      </c>
      <c r="E156" s="28" t="s">
        <v>609</v>
      </c>
      <c r="F156" s="28" t="s">
        <v>589</v>
      </c>
      <c r="G156" s="29">
        <v>178</v>
      </c>
      <c r="H156" s="29">
        <v>2</v>
      </c>
      <c r="I156" s="29">
        <v>0</v>
      </c>
      <c r="J156" s="29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</row>
    <row r="157" spans="1:15" x14ac:dyDescent="0.3">
      <c r="A157" s="28" t="s">
        <v>575</v>
      </c>
      <c r="B157" s="28" t="s">
        <v>576</v>
      </c>
      <c r="C157" s="28" t="s">
        <v>559</v>
      </c>
      <c r="D157" s="28" t="s">
        <v>577</v>
      </c>
      <c r="E157" s="28" t="s">
        <v>609</v>
      </c>
      <c r="F157" s="28" t="s">
        <v>590</v>
      </c>
      <c r="G157" s="29">
        <v>201</v>
      </c>
      <c r="H157" s="29">
        <v>0</v>
      </c>
      <c r="I157" s="29">
        <v>0</v>
      </c>
      <c r="J157" s="29">
        <v>0</v>
      </c>
      <c r="K157" s="29">
        <v>0</v>
      </c>
      <c r="L157" s="29">
        <v>0</v>
      </c>
      <c r="M157" s="29">
        <v>0</v>
      </c>
      <c r="N157" s="29">
        <v>0</v>
      </c>
      <c r="O157" s="29">
        <v>0</v>
      </c>
    </row>
    <row r="158" spans="1:15" x14ac:dyDescent="0.3">
      <c r="A158" s="28" t="s">
        <v>575</v>
      </c>
      <c r="B158" s="28" t="s">
        <v>576</v>
      </c>
      <c r="C158" s="28" t="s">
        <v>559</v>
      </c>
      <c r="D158" s="28" t="s">
        <v>577</v>
      </c>
      <c r="E158" s="28" t="s">
        <v>609</v>
      </c>
      <c r="F158" s="28" t="s">
        <v>591</v>
      </c>
      <c r="G158" s="29">
        <v>168</v>
      </c>
      <c r="H158" s="29">
        <v>2</v>
      </c>
      <c r="I158" s="29">
        <v>1</v>
      </c>
      <c r="J158" s="29">
        <v>1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</row>
    <row r="159" spans="1:15" x14ac:dyDescent="0.3">
      <c r="A159" s="28" t="s">
        <v>575</v>
      </c>
      <c r="B159" s="28" t="s">
        <v>576</v>
      </c>
      <c r="C159" s="28" t="s">
        <v>559</v>
      </c>
      <c r="D159" s="28" t="s">
        <v>577</v>
      </c>
      <c r="E159" s="28" t="s">
        <v>609</v>
      </c>
      <c r="F159" s="28" t="s">
        <v>592</v>
      </c>
      <c r="G159" s="29">
        <v>160</v>
      </c>
      <c r="H159" s="29">
        <v>0</v>
      </c>
      <c r="I159" s="29">
        <v>0</v>
      </c>
      <c r="J159" s="29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</row>
    <row r="160" spans="1:15" x14ac:dyDescent="0.3">
      <c r="A160" s="28" t="s">
        <v>575</v>
      </c>
      <c r="B160" s="28" t="s">
        <v>576</v>
      </c>
      <c r="C160" s="28" t="s">
        <v>559</v>
      </c>
      <c r="D160" s="28" t="s">
        <v>577</v>
      </c>
      <c r="E160" s="28" t="s">
        <v>609</v>
      </c>
      <c r="F160" s="28" t="s">
        <v>593</v>
      </c>
      <c r="G160" s="29">
        <v>162</v>
      </c>
      <c r="H160" s="29">
        <v>3</v>
      </c>
      <c r="I160" s="29">
        <v>2</v>
      </c>
      <c r="J160" s="29">
        <v>2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</row>
    <row r="161" spans="1:15" x14ac:dyDescent="0.3">
      <c r="A161" s="28" t="s">
        <v>575</v>
      </c>
      <c r="B161" s="28" t="s">
        <v>576</v>
      </c>
      <c r="C161" s="28" t="s">
        <v>559</v>
      </c>
      <c r="D161" s="28" t="s">
        <v>577</v>
      </c>
      <c r="E161" s="28" t="s">
        <v>609</v>
      </c>
      <c r="F161" s="28" t="s">
        <v>594</v>
      </c>
      <c r="G161" s="29">
        <v>257</v>
      </c>
      <c r="H161" s="29">
        <v>3</v>
      </c>
      <c r="I161" s="29">
        <v>3</v>
      </c>
      <c r="J161" s="29">
        <v>3</v>
      </c>
      <c r="K161" s="29">
        <v>0</v>
      </c>
      <c r="L161" s="29">
        <v>0</v>
      </c>
      <c r="M161" s="29">
        <v>0</v>
      </c>
      <c r="N161" s="29">
        <v>0</v>
      </c>
      <c r="O161" s="29">
        <v>0</v>
      </c>
    </row>
    <row r="162" spans="1:15" x14ac:dyDescent="0.3">
      <c r="A162" s="28" t="s">
        <v>575</v>
      </c>
      <c r="B162" s="28" t="s">
        <v>576</v>
      </c>
      <c r="C162" s="28" t="s">
        <v>559</v>
      </c>
      <c r="D162" s="28" t="s">
        <v>577</v>
      </c>
      <c r="E162" s="28" t="s">
        <v>609</v>
      </c>
      <c r="F162" s="28" t="s">
        <v>595</v>
      </c>
      <c r="G162" s="29">
        <v>209</v>
      </c>
      <c r="H162" s="29">
        <v>4</v>
      </c>
      <c r="I162" s="29">
        <v>3</v>
      </c>
      <c r="J162" s="29">
        <v>1</v>
      </c>
      <c r="K162" s="29">
        <v>2</v>
      </c>
      <c r="L162" s="29">
        <v>0</v>
      </c>
      <c r="M162" s="29">
        <v>0</v>
      </c>
      <c r="N162" s="29">
        <v>0</v>
      </c>
      <c r="O162" s="29">
        <v>0</v>
      </c>
    </row>
    <row r="163" spans="1:15" x14ac:dyDescent="0.3">
      <c r="A163" s="28" t="s">
        <v>575</v>
      </c>
      <c r="B163" s="28" t="s">
        <v>576</v>
      </c>
      <c r="C163" s="28" t="s">
        <v>559</v>
      </c>
      <c r="D163" s="28" t="s">
        <v>577</v>
      </c>
      <c r="E163" s="28" t="s">
        <v>610</v>
      </c>
      <c r="F163" s="28" t="s">
        <v>597</v>
      </c>
      <c r="G163" s="29">
        <v>157</v>
      </c>
      <c r="H163" s="29">
        <v>0</v>
      </c>
      <c r="I163" s="29">
        <v>1</v>
      </c>
      <c r="J163" s="29">
        <v>0</v>
      </c>
      <c r="K163" s="29">
        <v>1</v>
      </c>
      <c r="L163" s="29">
        <v>0</v>
      </c>
      <c r="M163" s="29">
        <v>0</v>
      </c>
      <c r="N163" s="29">
        <v>0</v>
      </c>
      <c r="O163" s="29">
        <v>0</v>
      </c>
    </row>
    <row r="164" spans="1:15" x14ac:dyDescent="0.3">
      <c r="A164" s="28" t="s">
        <v>575</v>
      </c>
      <c r="B164" s="28" t="s">
        <v>576</v>
      </c>
      <c r="C164" s="28" t="s">
        <v>559</v>
      </c>
      <c r="D164" s="28" t="s">
        <v>577</v>
      </c>
      <c r="E164" s="28" t="s">
        <v>610</v>
      </c>
      <c r="F164" s="28" t="s">
        <v>598</v>
      </c>
      <c r="G164" s="29">
        <v>76</v>
      </c>
      <c r="H164" s="29">
        <v>0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</row>
    <row r="165" spans="1:15" x14ac:dyDescent="0.3">
      <c r="A165" s="28" t="s">
        <v>575</v>
      </c>
      <c r="B165" s="28" t="s">
        <v>576</v>
      </c>
      <c r="C165" s="28" t="s">
        <v>559</v>
      </c>
      <c r="D165" s="28" t="s">
        <v>577</v>
      </c>
      <c r="E165" s="28" t="s">
        <v>610</v>
      </c>
      <c r="F165" s="28" t="s">
        <v>599</v>
      </c>
      <c r="G165" s="29">
        <v>71</v>
      </c>
      <c r="H165" s="29">
        <v>0</v>
      </c>
      <c r="I165" s="29">
        <v>0</v>
      </c>
      <c r="J165" s="29">
        <v>0</v>
      </c>
      <c r="K165" s="29">
        <v>0</v>
      </c>
      <c r="L165" s="29">
        <v>0</v>
      </c>
      <c r="M165" s="29">
        <v>0</v>
      </c>
      <c r="N165" s="29">
        <v>0</v>
      </c>
      <c r="O165" s="29">
        <v>0</v>
      </c>
    </row>
    <row r="166" spans="1:15" x14ac:dyDescent="0.3">
      <c r="A166" s="28" t="s">
        <v>575</v>
      </c>
      <c r="B166" s="28" t="s">
        <v>576</v>
      </c>
      <c r="C166" s="28" t="s">
        <v>559</v>
      </c>
      <c r="D166" s="28" t="s">
        <v>577</v>
      </c>
      <c r="E166" s="28" t="s">
        <v>610</v>
      </c>
      <c r="F166" s="28" t="s">
        <v>600</v>
      </c>
      <c r="G166" s="29">
        <v>51</v>
      </c>
      <c r="H166" s="29">
        <v>0</v>
      </c>
      <c r="I166" s="29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</row>
    <row r="167" spans="1:15" x14ac:dyDescent="0.3">
      <c r="A167" s="28" t="s">
        <v>575</v>
      </c>
      <c r="B167" s="28" t="s">
        <v>576</v>
      </c>
      <c r="C167" s="28" t="s">
        <v>559</v>
      </c>
      <c r="D167" s="28" t="s">
        <v>577</v>
      </c>
      <c r="E167" s="28" t="s">
        <v>610</v>
      </c>
      <c r="F167" s="28" t="s">
        <v>601</v>
      </c>
      <c r="G167" s="29">
        <v>57</v>
      </c>
      <c r="H167" s="29">
        <v>0</v>
      </c>
      <c r="I167" s="29">
        <v>0</v>
      </c>
      <c r="J167" s="29">
        <v>0</v>
      </c>
      <c r="K167" s="29">
        <v>0</v>
      </c>
      <c r="L167" s="29">
        <v>0</v>
      </c>
      <c r="M167" s="29">
        <v>0</v>
      </c>
      <c r="N167" s="29">
        <v>0</v>
      </c>
      <c r="O167" s="29">
        <v>0</v>
      </c>
    </row>
    <row r="168" spans="1:15" x14ac:dyDescent="0.3">
      <c r="A168" s="28" t="s">
        <v>575</v>
      </c>
      <c r="B168" s="28" t="s">
        <v>576</v>
      </c>
      <c r="C168" s="28" t="s">
        <v>559</v>
      </c>
      <c r="D168" s="28" t="s">
        <v>577</v>
      </c>
      <c r="E168" s="28" t="s">
        <v>610</v>
      </c>
      <c r="F168" s="28" t="s">
        <v>602</v>
      </c>
      <c r="G168" s="29">
        <v>136</v>
      </c>
      <c r="H168" s="29">
        <v>2</v>
      </c>
      <c r="I168" s="29">
        <v>1</v>
      </c>
      <c r="J168" s="29">
        <v>1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</row>
    <row r="169" spans="1:15" x14ac:dyDescent="0.3">
      <c r="A169" s="28" t="s">
        <v>575</v>
      </c>
      <c r="B169" s="28" t="s">
        <v>576</v>
      </c>
      <c r="C169" s="28" t="s">
        <v>559</v>
      </c>
      <c r="D169" s="28" t="s">
        <v>577</v>
      </c>
      <c r="E169" s="28" t="s">
        <v>610</v>
      </c>
      <c r="F169" s="28" t="s">
        <v>603</v>
      </c>
      <c r="G169" s="29">
        <v>899</v>
      </c>
      <c r="H169" s="29">
        <v>3</v>
      </c>
      <c r="I169" s="29">
        <v>2</v>
      </c>
      <c r="J169" s="29">
        <v>2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</row>
    <row r="170" spans="1:15" x14ac:dyDescent="0.3">
      <c r="A170" s="28" t="s">
        <v>575</v>
      </c>
      <c r="B170" s="28" t="s">
        <v>576</v>
      </c>
      <c r="C170" s="28" t="s">
        <v>559</v>
      </c>
      <c r="D170" s="28" t="s">
        <v>577</v>
      </c>
      <c r="E170" s="28" t="s">
        <v>610</v>
      </c>
      <c r="F170" s="28" t="s">
        <v>604</v>
      </c>
      <c r="G170" s="29">
        <v>530</v>
      </c>
      <c r="H170" s="29">
        <v>8</v>
      </c>
      <c r="I170" s="29">
        <v>6</v>
      </c>
      <c r="J170" s="29">
        <v>4</v>
      </c>
      <c r="K170" s="29">
        <v>2</v>
      </c>
      <c r="L170" s="29">
        <v>1000</v>
      </c>
      <c r="M170" s="29">
        <v>1000</v>
      </c>
      <c r="N170" s="29">
        <v>0</v>
      </c>
      <c r="O170" s="29">
        <v>0</v>
      </c>
    </row>
    <row r="171" spans="1:15" x14ac:dyDescent="0.3">
      <c r="A171" s="28" t="s">
        <v>575</v>
      </c>
      <c r="B171" s="28" t="s">
        <v>576</v>
      </c>
      <c r="C171" s="28" t="s">
        <v>559</v>
      </c>
      <c r="D171" s="28" t="s">
        <v>577</v>
      </c>
      <c r="E171" s="28" t="s">
        <v>610</v>
      </c>
      <c r="F171" s="28" t="s">
        <v>581</v>
      </c>
      <c r="G171" s="29">
        <v>256</v>
      </c>
      <c r="H171" s="29">
        <v>1</v>
      </c>
      <c r="I171" s="29">
        <v>2</v>
      </c>
      <c r="J171" s="29">
        <v>0</v>
      </c>
      <c r="K171" s="29">
        <v>2</v>
      </c>
      <c r="L171" s="29">
        <v>0</v>
      </c>
      <c r="M171" s="29">
        <v>0</v>
      </c>
      <c r="N171" s="29">
        <v>0</v>
      </c>
      <c r="O171" s="29">
        <v>0</v>
      </c>
    </row>
    <row r="172" spans="1:15" x14ac:dyDescent="0.3">
      <c r="A172" s="28" t="s">
        <v>575</v>
      </c>
      <c r="B172" s="28" t="s">
        <v>576</v>
      </c>
      <c r="C172" s="28" t="s">
        <v>559</v>
      </c>
      <c r="D172" s="28" t="s">
        <v>577</v>
      </c>
      <c r="E172" s="28" t="s">
        <v>610</v>
      </c>
      <c r="F172" s="28" t="s">
        <v>582</v>
      </c>
      <c r="G172" s="29">
        <v>243</v>
      </c>
      <c r="H172" s="29">
        <v>5</v>
      </c>
      <c r="I172" s="29">
        <v>3</v>
      </c>
      <c r="J172" s="29">
        <v>3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</row>
    <row r="173" spans="1:15" x14ac:dyDescent="0.3">
      <c r="A173" s="28" t="s">
        <v>575</v>
      </c>
      <c r="B173" s="28" t="s">
        <v>576</v>
      </c>
      <c r="C173" s="28" t="s">
        <v>559</v>
      </c>
      <c r="D173" s="28" t="s">
        <v>577</v>
      </c>
      <c r="E173" s="28" t="s">
        <v>610</v>
      </c>
      <c r="F173" s="28" t="s">
        <v>583</v>
      </c>
      <c r="G173" s="29">
        <v>253</v>
      </c>
      <c r="H173" s="29">
        <v>2</v>
      </c>
      <c r="I173" s="29">
        <v>1</v>
      </c>
      <c r="J173" s="29">
        <v>0</v>
      </c>
      <c r="K173" s="29">
        <v>1</v>
      </c>
      <c r="L173" s="29">
        <v>0</v>
      </c>
      <c r="M173" s="29">
        <v>0</v>
      </c>
      <c r="N173" s="29">
        <v>0</v>
      </c>
      <c r="O173" s="29">
        <v>0</v>
      </c>
    </row>
    <row r="174" spans="1:15" x14ac:dyDescent="0.3">
      <c r="A174" s="28" t="s">
        <v>575</v>
      </c>
      <c r="B174" s="28" t="s">
        <v>576</v>
      </c>
      <c r="C174" s="28" t="s">
        <v>559</v>
      </c>
      <c r="D174" s="28" t="s">
        <v>577</v>
      </c>
      <c r="E174" s="28" t="s">
        <v>610</v>
      </c>
      <c r="F174" s="28" t="s">
        <v>584</v>
      </c>
      <c r="G174" s="29">
        <v>211</v>
      </c>
      <c r="H174" s="29">
        <v>1</v>
      </c>
      <c r="I174" s="29">
        <v>1</v>
      </c>
      <c r="J174" s="29">
        <v>0</v>
      </c>
      <c r="K174" s="29">
        <v>1</v>
      </c>
      <c r="L174" s="29">
        <v>0</v>
      </c>
      <c r="M174" s="29">
        <v>0</v>
      </c>
      <c r="N174" s="29">
        <v>0</v>
      </c>
      <c r="O174" s="29">
        <v>0</v>
      </c>
    </row>
    <row r="175" spans="1:15" x14ac:dyDescent="0.3">
      <c r="A175" s="28" t="s">
        <v>575</v>
      </c>
      <c r="B175" s="28" t="s">
        <v>576</v>
      </c>
      <c r="C175" s="28" t="s">
        <v>559</v>
      </c>
      <c r="D175" s="28" t="s">
        <v>577</v>
      </c>
      <c r="E175" s="28" t="s">
        <v>610</v>
      </c>
      <c r="F175" s="28" t="s">
        <v>585</v>
      </c>
      <c r="G175" s="29">
        <v>260</v>
      </c>
      <c r="H175" s="29">
        <v>3</v>
      </c>
      <c r="I175" s="29">
        <v>5</v>
      </c>
      <c r="J175" s="29">
        <v>4</v>
      </c>
      <c r="K175" s="29">
        <v>1</v>
      </c>
      <c r="L175" s="29">
        <v>0</v>
      </c>
      <c r="M175" s="29">
        <v>0</v>
      </c>
      <c r="N175" s="29">
        <v>0</v>
      </c>
      <c r="O175" s="29">
        <v>0</v>
      </c>
    </row>
    <row r="176" spans="1:15" x14ac:dyDescent="0.3">
      <c r="A176" s="28" t="s">
        <v>575</v>
      </c>
      <c r="B176" s="28" t="s">
        <v>576</v>
      </c>
      <c r="C176" s="28" t="s">
        <v>559</v>
      </c>
      <c r="D176" s="28" t="s">
        <v>577</v>
      </c>
      <c r="E176" s="28" t="s">
        <v>610</v>
      </c>
      <c r="F176" s="28" t="s">
        <v>586</v>
      </c>
      <c r="G176" s="29">
        <v>242</v>
      </c>
      <c r="H176" s="29">
        <v>2</v>
      </c>
      <c r="I176" s="29">
        <v>3</v>
      </c>
      <c r="J176" s="29">
        <v>1</v>
      </c>
      <c r="K176" s="29">
        <v>2</v>
      </c>
      <c r="L176" s="29">
        <v>500</v>
      </c>
      <c r="M176" s="29">
        <v>500</v>
      </c>
      <c r="N176" s="29">
        <v>0</v>
      </c>
      <c r="O176" s="29">
        <v>0</v>
      </c>
    </row>
    <row r="177" spans="1:15" x14ac:dyDescent="0.3">
      <c r="A177" s="28" t="s">
        <v>575</v>
      </c>
      <c r="B177" s="28" t="s">
        <v>576</v>
      </c>
      <c r="C177" s="28" t="s">
        <v>559</v>
      </c>
      <c r="D177" s="28" t="s">
        <v>577</v>
      </c>
      <c r="E177" s="28" t="s">
        <v>610</v>
      </c>
      <c r="F177" s="28" t="s">
        <v>587</v>
      </c>
      <c r="G177" s="29">
        <v>250</v>
      </c>
      <c r="H177" s="29">
        <v>0</v>
      </c>
      <c r="I177" s="29">
        <v>6</v>
      </c>
      <c r="J177" s="29">
        <v>0</v>
      </c>
      <c r="K177" s="29">
        <v>6</v>
      </c>
      <c r="L177" s="29">
        <v>500</v>
      </c>
      <c r="M177" s="29">
        <v>0</v>
      </c>
      <c r="N177" s="29">
        <v>500</v>
      </c>
      <c r="O177" s="29">
        <v>0</v>
      </c>
    </row>
    <row r="178" spans="1:15" x14ac:dyDescent="0.3">
      <c r="A178" s="28" t="s">
        <v>575</v>
      </c>
      <c r="B178" s="28" t="s">
        <v>576</v>
      </c>
      <c r="C178" s="28" t="s">
        <v>559</v>
      </c>
      <c r="D178" s="28" t="s">
        <v>577</v>
      </c>
      <c r="E178" s="28" t="s">
        <v>610</v>
      </c>
      <c r="F178" s="28" t="s">
        <v>579</v>
      </c>
      <c r="G178" s="29">
        <v>248</v>
      </c>
      <c r="H178" s="29">
        <v>1</v>
      </c>
      <c r="I178" s="29">
        <v>1</v>
      </c>
      <c r="J178" s="29">
        <v>1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</row>
    <row r="179" spans="1:15" x14ac:dyDescent="0.3">
      <c r="A179" s="28" t="s">
        <v>575</v>
      </c>
      <c r="B179" s="28" t="s">
        <v>576</v>
      </c>
      <c r="C179" s="28" t="s">
        <v>559</v>
      </c>
      <c r="D179" s="28" t="s">
        <v>577</v>
      </c>
      <c r="E179" s="28" t="s">
        <v>610</v>
      </c>
      <c r="F179" s="28" t="s">
        <v>588</v>
      </c>
      <c r="G179" s="29">
        <v>233</v>
      </c>
      <c r="H179" s="29">
        <v>0</v>
      </c>
      <c r="I179" s="29">
        <v>4</v>
      </c>
      <c r="J179" s="29">
        <v>1</v>
      </c>
      <c r="K179" s="29">
        <v>3</v>
      </c>
      <c r="L179" s="29">
        <v>0</v>
      </c>
      <c r="M179" s="29">
        <v>0</v>
      </c>
      <c r="N179" s="29">
        <v>0</v>
      </c>
      <c r="O179" s="29">
        <v>0</v>
      </c>
    </row>
    <row r="180" spans="1:15" x14ac:dyDescent="0.3">
      <c r="A180" s="28" t="s">
        <v>575</v>
      </c>
      <c r="B180" s="28" t="s">
        <v>576</v>
      </c>
      <c r="C180" s="28" t="s">
        <v>559</v>
      </c>
      <c r="D180" s="28" t="s">
        <v>577</v>
      </c>
      <c r="E180" s="28" t="s">
        <v>610</v>
      </c>
      <c r="F180" s="28" t="s">
        <v>589</v>
      </c>
      <c r="G180" s="29">
        <v>242</v>
      </c>
      <c r="H180" s="29">
        <v>2</v>
      </c>
      <c r="I180" s="29">
        <v>5</v>
      </c>
      <c r="J180" s="29">
        <v>1</v>
      </c>
      <c r="K180" s="29">
        <v>4</v>
      </c>
      <c r="L180" s="29">
        <v>500</v>
      </c>
      <c r="M180" s="29">
        <v>0</v>
      </c>
      <c r="N180" s="29">
        <v>500</v>
      </c>
      <c r="O180" s="29">
        <v>0</v>
      </c>
    </row>
    <row r="181" spans="1:15" x14ac:dyDescent="0.3">
      <c r="A181" s="28" t="s">
        <v>575</v>
      </c>
      <c r="B181" s="28" t="s">
        <v>576</v>
      </c>
      <c r="C181" s="28" t="s">
        <v>559</v>
      </c>
      <c r="D181" s="28" t="s">
        <v>577</v>
      </c>
      <c r="E181" s="28" t="s">
        <v>610</v>
      </c>
      <c r="F181" s="28" t="s">
        <v>590</v>
      </c>
      <c r="G181" s="29">
        <v>239</v>
      </c>
      <c r="H181" s="29">
        <v>2</v>
      </c>
      <c r="I181" s="29">
        <v>3</v>
      </c>
      <c r="J181" s="29">
        <v>1</v>
      </c>
      <c r="K181" s="29">
        <v>2</v>
      </c>
      <c r="L181" s="29">
        <v>1000</v>
      </c>
      <c r="M181" s="29">
        <v>0</v>
      </c>
      <c r="N181" s="29">
        <v>1000</v>
      </c>
      <c r="O181" s="29">
        <v>0</v>
      </c>
    </row>
    <row r="182" spans="1:15" x14ac:dyDescent="0.3">
      <c r="A182" s="28" t="s">
        <v>575</v>
      </c>
      <c r="B182" s="28" t="s">
        <v>576</v>
      </c>
      <c r="C182" s="28" t="s">
        <v>559</v>
      </c>
      <c r="D182" s="28" t="s">
        <v>577</v>
      </c>
      <c r="E182" s="28" t="s">
        <v>610</v>
      </c>
      <c r="F182" s="28" t="s">
        <v>591</v>
      </c>
      <c r="G182" s="29">
        <v>255</v>
      </c>
      <c r="H182" s="29">
        <v>2</v>
      </c>
      <c r="I182" s="29">
        <v>0</v>
      </c>
      <c r="J182" s="29">
        <v>0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</row>
    <row r="183" spans="1:15" x14ac:dyDescent="0.3">
      <c r="A183" s="28" t="s">
        <v>575</v>
      </c>
      <c r="B183" s="28" t="s">
        <v>576</v>
      </c>
      <c r="C183" s="28" t="s">
        <v>559</v>
      </c>
      <c r="D183" s="28" t="s">
        <v>577</v>
      </c>
      <c r="E183" s="28" t="s">
        <v>610</v>
      </c>
      <c r="F183" s="28" t="s">
        <v>592</v>
      </c>
      <c r="G183" s="29">
        <v>231</v>
      </c>
      <c r="H183" s="29">
        <v>1</v>
      </c>
      <c r="I183" s="29">
        <v>1</v>
      </c>
      <c r="J183" s="29">
        <v>1</v>
      </c>
      <c r="K183" s="29">
        <v>0</v>
      </c>
      <c r="L183" s="29">
        <v>0</v>
      </c>
      <c r="M183" s="29">
        <v>0</v>
      </c>
      <c r="N183" s="29">
        <v>0</v>
      </c>
      <c r="O183" s="29">
        <v>0</v>
      </c>
    </row>
    <row r="184" spans="1:15" x14ac:dyDescent="0.3">
      <c r="A184" s="28" t="s">
        <v>575</v>
      </c>
      <c r="B184" s="28" t="s">
        <v>576</v>
      </c>
      <c r="C184" s="28" t="s">
        <v>559</v>
      </c>
      <c r="D184" s="28" t="s">
        <v>577</v>
      </c>
      <c r="E184" s="28" t="s">
        <v>610</v>
      </c>
      <c r="F184" s="28" t="s">
        <v>593</v>
      </c>
      <c r="G184" s="29">
        <v>235</v>
      </c>
      <c r="H184" s="29">
        <v>1</v>
      </c>
      <c r="I184" s="29">
        <v>2</v>
      </c>
      <c r="J184" s="29">
        <v>0</v>
      </c>
      <c r="K184" s="29">
        <v>2</v>
      </c>
      <c r="L184" s="29">
        <v>0</v>
      </c>
      <c r="M184" s="29">
        <v>0</v>
      </c>
      <c r="N184" s="29">
        <v>0</v>
      </c>
      <c r="O184" s="29">
        <v>0</v>
      </c>
    </row>
    <row r="185" spans="1:15" x14ac:dyDescent="0.3">
      <c r="A185" s="28" t="s">
        <v>575</v>
      </c>
      <c r="B185" s="28" t="s">
        <v>576</v>
      </c>
      <c r="C185" s="28" t="s">
        <v>559</v>
      </c>
      <c r="D185" s="28" t="s">
        <v>577</v>
      </c>
      <c r="E185" s="28" t="s">
        <v>610</v>
      </c>
      <c r="F185" s="28" t="s">
        <v>594</v>
      </c>
      <c r="G185" s="29">
        <v>224</v>
      </c>
      <c r="H185" s="29">
        <v>3</v>
      </c>
      <c r="I185" s="29">
        <v>3</v>
      </c>
      <c r="J185" s="29">
        <v>3</v>
      </c>
      <c r="K185" s="29">
        <v>0</v>
      </c>
      <c r="L185" s="29">
        <v>0</v>
      </c>
      <c r="M185" s="29">
        <v>0</v>
      </c>
      <c r="N185" s="29">
        <v>0</v>
      </c>
      <c r="O185" s="29">
        <v>0</v>
      </c>
    </row>
    <row r="186" spans="1:15" x14ac:dyDescent="0.3">
      <c r="A186" s="28" t="s">
        <v>575</v>
      </c>
      <c r="B186" s="28" t="s">
        <v>576</v>
      </c>
      <c r="C186" s="28" t="s">
        <v>559</v>
      </c>
      <c r="D186" s="28" t="s">
        <v>577</v>
      </c>
      <c r="E186" s="28" t="s">
        <v>610</v>
      </c>
      <c r="F186" s="28" t="s">
        <v>595</v>
      </c>
      <c r="G186" s="29">
        <v>207</v>
      </c>
      <c r="H186" s="29">
        <v>2</v>
      </c>
      <c r="I186" s="29">
        <v>1</v>
      </c>
      <c r="J186" s="29">
        <v>1</v>
      </c>
      <c r="K186" s="29">
        <v>0</v>
      </c>
      <c r="L186" s="29">
        <v>100</v>
      </c>
      <c r="M186" s="29">
        <v>100</v>
      </c>
      <c r="N186" s="29">
        <v>0</v>
      </c>
      <c r="O186" s="29">
        <v>0</v>
      </c>
    </row>
    <row r="187" spans="1:15" x14ac:dyDescent="0.3">
      <c r="A187" s="28" t="s">
        <v>575</v>
      </c>
      <c r="B187" s="28" t="s">
        <v>576</v>
      </c>
      <c r="C187" s="28" t="s">
        <v>559</v>
      </c>
      <c r="D187" s="28" t="s">
        <v>577</v>
      </c>
      <c r="E187" s="28" t="s">
        <v>611</v>
      </c>
      <c r="F187" s="28" t="s">
        <v>597</v>
      </c>
      <c r="G187" s="29">
        <v>108</v>
      </c>
      <c r="H187" s="29">
        <v>1</v>
      </c>
      <c r="I187" s="29">
        <v>1</v>
      </c>
      <c r="J187" s="29">
        <v>1</v>
      </c>
      <c r="K187" s="29">
        <v>0</v>
      </c>
      <c r="L187" s="29">
        <v>0</v>
      </c>
      <c r="M187" s="29">
        <v>0</v>
      </c>
      <c r="N187" s="29">
        <v>0</v>
      </c>
      <c r="O187" s="29">
        <v>0</v>
      </c>
    </row>
    <row r="188" spans="1:15" x14ac:dyDescent="0.3">
      <c r="A188" s="28" t="s">
        <v>575</v>
      </c>
      <c r="B188" s="28" t="s">
        <v>576</v>
      </c>
      <c r="C188" s="28" t="s">
        <v>559</v>
      </c>
      <c r="D188" s="28" t="s">
        <v>577</v>
      </c>
      <c r="E188" s="28" t="s">
        <v>611</v>
      </c>
      <c r="F188" s="28" t="s">
        <v>598</v>
      </c>
      <c r="G188" s="29">
        <v>72</v>
      </c>
      <c r="H188" s="29">
        <v>0</v>
      </c>
      <c r="I188" s="29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</row>
    <row r="189" spans="1:15" x14ac:dyDescent="0.3">
      <c r="A189" s="28" t="s">
        <v>575</v>
      </c>
      <c r="B189" s="28" t="s">
        <v>576</v>
      </c>
      <c r="C189" s="28" t="s">
        <v>559</v>
      </c>
      <c r="D189" s="28" t="s">
        <v>577</v>
      </c>
      <c r="E189" s="28" t="s">
        <v>611</v>
      </c>
      <c r="F189" s="28" t="s">
        <v>599</v>
      </c>
      <c r="G189" s="29">
        <v>49</v>
      </c>
      <c r="H189" s="29">
        <v>0</v>
      </c>
      <c r="I189" s="29">
        <v>0</v>
      </c>
      <c r="J189" s="29">
        <v>0</v>
      </c>
      <c r="K189" s="29">
        <v>0</v>
      </c>
      <c r="L189" s="29">
        <v>0</v>
      </c>
      <c r="M189" s="29">
        <v>0</v>
      </c>
      <c r="N189" s="29">
        <v>0</v>
      </c>
      <c r="O189" s="29">
        <v>0</v>
      </c>
    </row>
    <row r="190" spans="1:15" x14ac:dyDescent="0.3">
      <c r="A190" s="28" t="s">
        <v>575</v>
      </c>
      <c r="B190" s="28" t="s">
        <v>576</v>
      </c>
      <c r="C190" s="28" t="s">
        <v>559</v>
      </c>
      <c r="D190" s="28" t="s">
        <v>577</v>
      </c>
      <c r="E190" s="28" t="s">
        <v>611</v>
      </c>
      <c r="F190" s="28" t="s">
        <v>600</v>
      </c>
      <c r="G190" s="29">
        <v>45</v>
      </c>
      <c r="H190" s="29">
        <v>1</v>
      </c>
      <c r="I190" s="29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</row>
    <row r="191" spans="1:15" x14ac:dyDescent="0.3">
      <c r="A191" s="28" t="s">
        <v>575</v>
      </c>
      <c r="B191" s="28" t="s">
        <v>576</v>
      </c>
      <c r="C191" s="28" t="s">
        <v>559</v>
      </c>
      <c r="D191" s="28" t="s">
        <v>577</v>
      </c>
      <c r="E191" s="28" t="s">
        <v>611</v>
      </c>
      <c r="F191" s="28" t="s">
        <v>601</v>
      </c>
      <c r="G191" s="29">
        <v>53</v>
      </c>
      <c r="H191" s="29">
        <v>0</v>
      </c>
      <c r="I191" s="29">
        <v>0</v>
      </c>
      <c r="J191" s="29">
        <v>0</v>
      </c>
      <c r="K191" s="29">
        <v>0</v>
      </c>
      <c r="L191" s="29">
        <v>0</v>
      </c>
      <c r="M191" s="29">
        <v>0</v>
      </c>
      <c r="N191" s="29">
        <v>0</v>
      </c>
      <c r="O191" s="29">
        <v>0</v>
      </c>
    </row>
    <row r="192" spans="1:15" x14ac:dyDescent="0.3">
      <c r="A192" s="28" t="s">
        <v>575</v>
      </c>
      <c r="B192" s="28" t="s">
        <v>576</v>
      </c>
      <c r="C192" s="28" t="s">
        <v>559</v>
      </c>
      <c r="D192" s="28" t="s">
        <v>577</v>
      </c>
      <c r="E192" s="28" t="s">
        <v>611</v>
      </c>
      <c r="F192" s="28" t="s">
        <v>602</v>
      </c>
      <c r="G192" s="29">
        <v>99</v>
      </c>
      <c r="H192" s="29">
        <v>1</v>
      </c>
      <c r="I192" s="29">
        <v>5</v>
      </c>
      <c r="J192" s="29">
        <v>5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</row>
    <row r="193" spans="1:15" x14ac:dyDescent="0.3">
      <c r="A193" s="28" t="s">
        <v>575</v>
      </c>
      <c r="B193" s="28" t="s">
        <v>576</v>
      </c>
      <c r="C193" s="28" t="s">
        <v>559</v>
      </c>
      <c r="D193" s="28" t="s">
        <v>577</v>
      </c>
      <c r="E193" s="28" t="s">
        <v>611</v>
      </c>
      <c r="F193" s="28" t="s">
        <v>603</v>
      </c>
      <c r="G193" s="29">
        <v>593</v>
      </c>
      <c r="H193" s="29">
        <v>5</v>
      </c>
      <c r="I193" s="29">
        <v>2</v>
      </c>
      <c r="J193" s="29">
        <v>2</v>
      </c>
      <c r="K193" s="29">
        <v>0</v>
      </c>
      <c r="L193" s="29">
        <v>0</v>
      </c>
      <c r="M193" s="29">
        <v>0</v>
      </c>
      <c r="N193" s="29">
        <v>0</v>
      </c>
      <c r="O193" s="29">
        <v>0</v>
      </c>
    </row>
    <row r="194" spans="1:15" x14ac:dyDescent="0.3">
      <c r="A194" s="28" t="s">
        <v>575</v>
      </c>
      <c r="B194" s="28" t="s">
        <v>576</v>
      </c>
      <c r="C194" s="28" t="s">
        <v>559</v>
      </c>
      <c r="D194" s="28" t="s">
        <v>577</v>
      </c>
      <c r="E194" s="28" t="s">
        <v>611</v>
      </c>
      <c r="F194" s="28" t="s">
        <v>604</v>
      </c>
      <c r="G194" s="29">
        <v>986</v>
      </c>
      <c r="H194" s="29">
        <v>6</v>
      </c>
      <c r="I194" s="29">
        <v>2</v>
      </c>
      <c r="J194" s="29">
        <v>0</v>
      </c>
      <c r="K194" s="29">
        <v>2</v>
      </c>
      <c r="L194" s="29">
        <v>0</v>
      </c>
      <c r="M194" s="29">
        <v>0</v>
      </c>
      <c r="N194" s="29">
        <v>0</v>
      </c>
      <c r="O194" s="29">
        <v>0</v>
      </c>
    </row>
    <row r="195" spans="1:15" x14ac:dyDescent="0.3">
      <c r="A195" s="28" t="s">
        <v>575</v>
      </c>
      <c r="B195" s="28" t="s">
        <v>576</v>
      </c>
      <c r="C195" s="28" t="s">
        <v>559</v>
      </c>
      <c r="D195" s="28" t="s">
        <v>577</v>
      </c>
      <c r="E195" s="28" t="s">
        <v>611</v>
      </c>
      <c r="F195" s="28" t="s">
        <v>581</v>
      </c>
      <c r="G195" s="29">
        <v>234</v>
      </c>
      <c r="H195" s="29">
        <v>1</v>
      </c>
      <c r="I195" s="29">
        <v>5</v>
      </c>
      <c r="J195" s="29">
        <v>3</v>
      </c>
      <c r="K195" s="29">
        <v>2</v>
      </c>
      <c r="L195" s="29">
        <v>100</v>
      </c>
      <c r="M195" s="29">
        <v>0</v>
      </c>
      <c r="N195" s="29">
        <v>100</v>
      </c>
      <c r="O195" s="29">
        <v>0</v>
      </c>
    </row>
    <row r="196" spans="1:15" x14ac:dyDescent="0.3">
      <c r="A196" s="28" t="s">
        <v>575</v>
      </c>
      <c r="B196" s="28" t="s">
        <v>576</v>
      </c>
      <c r="C196" s="28" t="s">
        <v>559</v>
      </c>
      <c r="D196" s="28" t="s">
        <v>577</v>
      </c>
      <c r="E196" s="28" t="s">
        <v>611</v>
      </c>
      <c r="F196" s="28" t="s">
        <v>582</v>
      </c>
      <c r="G196" s="29">
        <v>256</v>
      </c>
      <c r="H196" s="29">
        <v>3</v>
      </c>
      <c r="I196" s="29">
        <v>4</v>
      </c>
      <c r="J196" s="29">
        <v>0</v>
      </c>
      <c r="K196" s="29">
        <v>4</v>
      </c>
      <c r="L196" s="29">
        <v>0</v>
      </c>
      <c r="M196" s="29">
        <v>0</v>
      </c>
      <c r="N196" s="29">
        <v>0</v>
      </c>
      <c r="O196" s="29">
        <v>0</v>
      </c>
    </row>
    <row r="197" spans="1:15" x14ac:dyDescent="0.3">
      <c r="A197" s="28" t="s">
        <v>575</v>
      </c>
      <c r="B197" s="28" t="s">
        <v>576</v>
      </c>
      <c r="C197" s="28" t="s">
        <v>559</v>
      </c>
      <c r="D197" s="28" t="s">
        <v>577</v>
      </c>
      <c r="E197" s="28" t="s">
        <v>611</v>
      </c>
      <c r="F197" s="28" t="s">
        <v>583</v>
      </c>
      <c r="G197" s="29">
        <v>221</v>
      </c>
      <c r="H197" s="29">
        <v>2</v>
      </c>
      <c r="I197" s="29">
        <v>0</v>
      </c>
      <c r="J197" s="29">
        <v>0</v>
      </c>
      <c r="K197" s="29">
        <v>0</v>
      </c>
      <c r="L197" s="29">
        <v>0</v>
      </c>
      <c r="M197" s="29">
        <v>0</v>
      </c>
      <c r="N197" s="29">
        <v>0</v>
      </c>
      <c r="O197" s="29">
        <v>0</v>
      </c>
    </row>
    <row r="198" spans="1:15" x14ac:dyDescent="0.3">
      <c r="A198" s="28" t="s">
        <v>575</v>
      </c>
      <c r="B198" s="28" t="s">
        <v>576</v>
      </c>
      <c r="C198" s="28" t="s">
        <v>559</v>
      </c>
      <c r="D198" s="28" t="s">
        <v>577</v>
      </c>
      <c r="E198" s="28" t="s">
        <v>611</v>
      </c>
      <c r="F198" s="28" t="s">
        <v>584</v>
      </c>
      <c r="G198" s="29">
        <v>250</v>
      </c>
      <c r="H198" s="29">
        <v>2</v>
      </c>
      <c r="I198" s="29">
        <v>1</v>
      </c>
      <c r="J198" s="29">
        <v>0</v>
      </c>
      <c r="K198" s="29">
        <v>1</v>
      </c>
      <c r="L198" s="29">
        <v>0</v>
      </c>
      <c r="M198" s="29">
        <v>0</v>
      </c>
      <c r="N198" s="29">
        <v>0</v>
      </c>
      <c r="O198" s="29">
        <v>0</v>
      </c>
    </row>
    <row r="199" spans="1:15" x14ac:dyDescent="0.3">
      <c r="A199" s="28" t="s">
        <v>575</v>
      </c>
      <c r="B199" s="28" t="s">
        <v>576</v>
      </c>
      <c r="C199" s="28" t="s">
        <v>559</v>
      </c>
      <c r="D199" s="28" t="s">
        <v>577</v>
      </c>
      <c r="E199" s="28" t="s">
        <v>611</v>
      </c>
      <c r="F199" s="28" t="s">
        <v>585</v>
      </c>
      <c r="G199" s="29">
        <v>237</v>
      </c>
      <c r="H199" s="29">
        <v>2</v>
      </c>
      <c r="I199" s="29">
        <v>2</v>
      </c>
      <c r="J199" s="29">
        <v>1</v>
      </c>
      <c r="K199" s="29">
        <v>1</v>
      </c>
      <c r="L199" s="29">
        <v>0</v>
      </c>
      <c r="M199" s="29">
        <v>0</v>
      </c>
      <c r="N199" s="29">
        <v>0</v>
      </c>
      <c r="O199" s="29">
        <v>0</v>
      </c>
    </row>
    <row r="200" spans="1:15" x14ac:dyDescent="0.3">
      <c r="A200" s="28" t="s">
        <v>575</v>
      </c>
      <c r="B200" s="28" t="s">
        <v>576</v>
      </c>
      <c r="C200" s="28" t="s">
        <v>559</v>
      </c>
      <c r="D200" s="28" t="s">
        <v>577</v>
      </c>
      <c r="E200" s="28" t="s">
        <v>611</v>
      </c>
      <c r="F200" s="28" t="s">
        <v>586</v>
      </c>
      <c r="G200" s="29">
        <v>244</v>
      </c>
      <c r="H200" s="29">
        <v>1</v>
      </c>
      <c r="I200" s="29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</row>
    <row r="201" spans="1:15" x14ac:dyDescent="0.3">
      <c r="A201" s="28" t="s">
        <v>575</v>
      </c>
      <c r="B201" s="28" t="s">
        <v>576</v>
      </c>
      <c r="C201" s="28" t="s">
        <v>559</v>
      </c>
      <c r="D201" s="28" t="s">
        <v>577</v>
      </c>
      <c r="E201" s="28" t="s">
        <v>611</v>
      </c>
      <c r="F201" s="28" t="s">
        <v>587</v>
      </c>
      <c r="G201" s="29">
        <v>242</v>
      </c>
      <c r="H201" s="29">
        <v>3</v>
      </c>
      <c r="I201" s="29">
        <v>4</v>
      </c>
      <c r="J201" s="29">
        <v>1</v>
      </c>
      <c r="K201" s="29">
        <v>3</v>
      </c>
      <c r="L201" s="29">
        <v>500</v>
      </c>
      <c r="M201" s="29">
        <v>0</v>
      </c>
      <c r="N201" s="29">
        <v>500</v>
      </c>
      <c r="O201" s="29">
        <v>0</v>
      </c>
    </row>
    <row r="202" spans="1:15" x14ac:dyDescent="0.3">
      <c r="A202" s="28" t="s">
        <v>575</v>
      </c>
      <c r="B202" s="28" t="s">
        <v>576</v>
      </c>
      <c r="C202" s="28" t="s">
        <v>559</v>
      </c>
      <c r="D202" s="28" t="s">
        <v>577</v>
      </c>
      <c r="E202" s="28" t="s">
        <v>611</v>
      </c>
      <c r="F202" s="28" t="s">
        <v>579</v>
      </c>
      <c r="G202" s="29">
        <v>241</v>
      </c>
      <c r="H202" s="29">
        <v>3</v>
      </c>
      <c r="I202" s="29">
        <v>1</v>
      </c>
      <c r="J202" s="29">
        <v>1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</row>
    <row r="203" spans="1:15" x14ac:dyDescent="0.3">
      <c r="A203" s="28" t="s">
        <v>575</v>
      </c>
      <c r="B203" s="28" t="s">
        <v>576</v>
      </c>
      <c r="C203" s="28" t="s">
        <v>559</v>
      </c>
      <c r="D203" s="28" t="s">
        <v>577</v>
      </c>
      <c r="E203" s="28" t="s">
        <v>611</v>
      </c>
      <c r="F203" s="28" t="s">
        <v>588</v>
      </c>
      <c r="G203" s="29">
        <v>247</v>
      </c>
      <c r="H203" s="29">
        <v>1</v>
      </c>
      <c r="I203" s="29">
        <v>4</v>
      </c>
      <c r="J203" s="29">
        <v>2</v>
      </c>
      <c r="K203" s="29">
        <v>2</v>
      </c>
      <c r="L203" s="29">
        <v>0</v>
      </c>
      <c r="M203" s="29">
        <v>0</v>
      </c>
      <c r="N203" s="29">
        <v>0</v>
      </c>
      <c r="O203" s="29">
        <v>0</v>
      </c>
    </row>
    <row r="204" spans="1:15" x14ac:dyDescent="0.3">
      <c r="A204" s="28" t="s">
        <v>575</v>
      </c>
      <c r="B204" s="28" t="s">
        <v>576</v>
      </c>
      <c r="C204" s="28" t="s">
        <v>559</v>
      </c>
      <c r="D204" s="28" t="s">
        <v>577</v>
      </c>
      <c r="E204" s="28" t="s">
        <v>611</v>
      </c>
      <c r="F204" s="28" t="s">
        <v>589</v>
      </c>
      <c r="G204" s="29">
        <v>232</v>
      </c>
      <c r="H204" s="29">
        <v>1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</row>
    <row r="205" spans="1:15" x14ac:dyDescent="0.3">
      <c r="A205" s="28" t="s">
        <v>575</v>
      </c>
      <c r="B205" s="28" t="s">
        <v>576</v>
      </c>
      <c r="C205" s="28" t="s">
        <v>559</v>
      </c>
      <c r="D205" s="28" t="s">
        <v>577</v>
      </c>
      <c r="E205" s="28" t="s">
        <v>611</v>
      </c>
      <c r="F205" s="28" t="s">
        <v>590</v>
      </c>
      <c r="G205" s="29">
        <v>269</v>
      </c>
      <c r="H205" s="29">
        <v>2</v>
      </c>
      <c r="I205" s="29">
        <v>0</v>
      </c>
      <c r="J205" s="29">
        <v>0</v>
      </c>
      <c r="K205" s="29">
        <v>0</v>
      </c>
      <c r="L205" s="29">
        <v>0</v>
      </c>
      <c r="M205" s="29">
        <v>0</v>
      </c>
      <c r="N205" s="29">
        <v>0</v>
      </c>
      <c r="O205" s="29">
        <v>0</v>
      </c>
    </row>
    <row r="206" spans="1:15" x14ac:dyDescent="0.3">
      <c r="A206" s="28" t="s">
        <v>575</v>
      </c>
      <c r="B206" s="28" t="s">
        <v>576</v>
      </c>
      <c r="C206" s="28" t="s">
        <v>559</v>
      </c>
      <c r="D206" s="28" t="s">
        <v>577</v>
      </c>
      <c r="E206" s="28" t="s">
        <v>611</v>
      </c>
      <c r="F206" s="28" t="s">
        <v>591</v>
      </c>
      <c r="G206" s="29">
        <v>243</v>
      </c>
      <c r="H206" s="29">
        <v>1</v>
      </c>
      <c r="I206" s="29">
        <v>3</v>
      </c>
      <c r="J206" s="29">
        <v>0</v>
      </c>
      <c r="K206" s="29">
        <v>3</v>
      </c>
      <c r="L206" s="29">
        <v>0</v>
      </c>
      <c r="M206" s="29">
        <v>0</v>
      </c>
      <c r="N206" s="29">
        <v>0</v>
      </c>
      <c r="O206" s="29">
        <v>0</v>
      </c>
    </row>
    <row r="207" spans="1:15" x14ac:dyDescent="0.3">
      <c r="A207" s="28" t="s">
        <v>575</v>
      </c>
      <c r="B207" s="28" t="s">
        <v>576</v>
      </c>
      <c r="C207" s="28" t="s">
        <v>559</v>
      </c>
      <c r="D207" s="28" t="s">
        <v>577</v>
      </c>
      <c r="E207" s="28" t="s">
        <v>611</v>
      </c>
      <c r="F207" s="28" t="s">
        <v>592</v>
      </c>
      <c r="G207" s="29">
        <v>267</v>
      </c>
      <c r="H207" s="29">
        <v>1</v>
      </c>
      <c r="I207" s="29">
        <v>1</v>
      </c>
      <c r="J207" s="29">
        <v>0</v>
      </c>
      <c r="K207" s="29">
        <v>1</v>
      </c>
      <c r="L207" s="29">
        <v>0</v>
      </c>
      <c r="M207" s="29">
        <v>0</v>
      </c>
      <c r="N207" s="29">
        <v>0</v>
      </c>
      <c r="O207" s="29">
        <v>0</v>
      </c>
    </row>
    <row r="208" spans="1:15" x14ac:dyDescent="0.3">
      <c r="A208" s="28" t="s">
        <v>575</v>
      </c>
      <c r="B208" s="28" t="s">
        <v>576</v>
      </c>
      <c r="C208" s="28" t="s">
        <v>559</v>
      </c>
      <c r="D208" s="28" t="s">
        <v>577</v>
      </c>
      <c r="E208" s="28" t="s">
        <v>611</v>
      </c>
      <c r="F208" s="28" t="s">
        <v>593</v>
      </c>
      <c r="G208" s="29">
        <v>220</v>
      </c>
      <c r="H208" s="29">
        <v>1</v>
      </c>
      <c r="I208" s="29">
        <v>1</v>
      </c>
      <c r="J208" s="29">
        <v>1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</row>
    <row r="209" spans="1:15" x14ac:dyDescent="0.3">
      <c r="A209" s="28" t="s">
        <v>575</v>
      </c>
      <c r="B209" s="28" t="s">
        <v>576</v>
      </c>
      <c r="C209" s="28" t="s">
        <v>559</v>
      </c>
      <c r="D209" s="28" t="s">
        <v>577</v>
      </c>
      <c r="E209" s="28" t="s">
        <v>611</v>
      </c>
      <c r="F209" s="28" t="s">
        <v>594</v>
      </c>
      <c r="G209" s="29">
        <v>241</v>
      </c>
      <c r="H209" s="29">
        <v>2</v>
      </c>
      <c r="I209" s="29">
        <v>0</v>
      </c>
      <c r="J209" s="29">
        <v>0</v>
      </c>
      <c r="K209" s="29">
        <v>0</v>
      </c>
      <c r="L209" s="29">
        <v>0</v>
      </c>
      <c r="M209" s="29">
        <v>0</v>
      </c>
      <c r="N209" s="29">
        <v>0</v>
      </c>
      <c r="O209" s="29">
        <v>0</v>
      </c>
    </row>
    <row r="210" spans="1:15" x14ac:dyDescent="0.3">
      <c r="A210" s="28" t="s">
        <v>575</v>
      </c>
      <c r="B210" s="28" t="s">
        <v>576</v>
      </c>
      <c r="C210" s="28" t="s">
        <v>559</v>
      </c>
      <c r="D210" s="28" t="s">
        <v>577</v>
      </c>
      <c r="E210" s="28" t="s">
        <v>611</v>
      </c>
      <c r="F210" s="28" t="s">
        <v>595</v>
      </c>
      <c r="G210" s="29">
        <v>212</v>
      </c>
      <c r="H210" s="29">
        <v>1</v>
      </c>
      <c r="I210" s="29">
        <v>1</v>
      </c>
      <c r="J210" s="29">
        <v>1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</row>
    <row r="211" spans="1:15" x14ac:dyDescent="0.3">
      <c r="A211" s="28" t="s">
        <v>575</v>
      </c>
      <c r="B211" s="28" t="s">
        <v>576</v>
      </c>
      <c r="C211" s="28" t="s">
        <v>559</v>
      </c>
      <c r="D211" s="28" t="s">
        <v>577</v>
      </c>
      <c r="E211" s="28" t="s">
        <v>612</v>
      </c>
      <c r="F211" s="28" t="s">
        <v>597</v>
      </c>
      <c r="G211" s="29">
        <v>184</v>
      </c>
      <c r="H211" s="29">
        <v>0</v>
      </c>
      <c r="I211" s="29">
        <v>0</v>
      </c>
      <c r="J211" s="29">
        <v>0</v>
      </c>
      <c r="K211" s="29">
        <v>0</v>
      </c>
      <c r="L211" s="29">
        <v>0</v>
      </c>
      <c r="M211" s="29">
        <v>0</v>
      </c>
      <c r="N211" s="29">
        <v>0</v>
      </c>
      <c r="O211" s="29">
        <v>0</v>
      </c>
    </row>
    <row r="212" spans="1:15" x14ac:dyDescent="0.3">
      <c r="A212" s="28" t="s">
        <v>575</v>
      </c>
      <c r="B212" s="28" t="s">
        <v>576</v>
      </c>
      <c r="C212" s="28" t="s">
        <v>559</v>
      </c>
      <c r="D212" s="28" t="s">
        <v>577</v>
      </c>
      <c r="E212" s="28" t="s">
        <v>612</v>
      </c>
      <c r="F212" s="28" t="s">
        <v>598</v>
      </c>
      <c r="G212" s="29">
        <v>121</v>
      </c>
      <c r="H212" s="29">
        <v>0</v>
      </c>
      <c r="I212" s="29">
        <v>0</v>
      </c>
      <c r="J212" s="29">
        <v>0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</row>
    <row r="213" spans="1:15" x14ac:dyDescent="0.3">
      <c r="A213" s="28" t="s">
        <v>575</v>
      </c>
      <c r="B213" s="28" t="s">
        <v>576</v>
      </c>
      <c r="C213" s="28" t="s">
        <v>559</v>
      </c>
      <c r="D213" s="28" t="s">
        <v>577</v>
      </c>
      <c r="E213" s="28" t="s">
        <v>612</v>
      </c>
      <c r="F213" s="28" t="s">
        <v>599</v>
      </c>
      <c r="G213" s="29">
        <v>84</v>
      </c>
      <c r="H213" s="29">
        <v>0</v>
      </c>
      <c r="I213" s="29">
        <v>0</v>
      </c>
      <c r="J213" s="29">
        <v>0</v>
      </c>
      <c r="K213" s="29">
        <v>0</v>
      </c>
      <c r="L213" s="29">
        <v>0</v>
      </c>
      <c r="M213" s="29">
        <v>0</v>
      </c>
      <c r="N213" s="29">
        <v>0</v>
      </c>
      <c r="O213" s="29">
        <v>0</v>
      </c>
    </row>
    <row r="214" spans="1:15" x14ac:dyDescent="0.3">
      <c r="A214" s="28" t="s">
        <v>575</v>
      </c>
      <c r="B214" s="28" t="s">
        <v>576</v>
      </c>
      <c r="C214" s="28" t="s">
        <v>559</v>
      </c>
      <c r="D214" s="28" t="s">
        <v>577</v>
      </c>
      <c r="E214" s="28" t="s">
        <v>612</v>
      </c>
      <c r="F214" s="28" t="s">
        <v>600</v>
      </c>
      <c r="G214" s="29">
        <v>63</v>
      </c>
      <c r="H214" s="29">
        <v>0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</row>
    <row r="215" spans="1:15" x14ac:dyDescent="0.3">
      <c r="A215" s="28" t="s">
        <v>575</v>
      </c>
      <c r="B215" s="28" t="s">
        <v>576</v>
      </c>
      <c r="C215" s="28" t="s">
        <v>559</v>
      </c>
      <c r="D215" s="28" t="s">
        <v>577</v>
      </c>
      <c r="E215" s="28" t="s">
        <v>612</v>
      </c>
      <c r="F215" s="28" t="s">
        <v>601</v>
      </c>
      <c r="G215" s="29">
        <v>90</v>
      </c>
      <c r="H215" s="29">
        <v>0</v>
      </c>
      <c r="I215" s="29">
        <v>0</v>
      </c>
      <c r="J215" s="29">
        <v>0</v>
      </c>
      <c r="K215" s="29">
        <v>0</v>
      </c>
      <c r="L215" s="29">
        <v>0</v>
      </c>
      <c r="M215" s="29">
        <v>0</v>
      </c>
      <c r="N215" s="29">
        <v>0</v>
      </c>
      <c r="O215" s="29">
        <v>0</v>
      </c>
    </row>
    <row r="216" spans="1:15" x14ac:dyDescent="0.3">
      <c r="A216" s="28" t="s">
        <v>575</v>
      </c>
      <c r="B216" s="28" t="s">
        <v>576</v>
      </c>
      <c r="C216" s="28" t="s">
        <v>559</v>
      </c>
      <c r="D216" s="28" t="s">
        <v>577</v>
      </c>
      <c r="E216" s="28" t="s">
        <v>612</v>
      </c>
      <c r="F216" s="28" t="s">
        <v>602</v>
      </c>
      <c r="G216" s="29">
        <v>202</v>
      </c>
      <c r="H216" s="29">
        <v>0</v>
      </c>
      <c r="I216" s="29">
        <v>0</v>
      </c>
      <c r="J216" s="29">
        <v>0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</row>
    <row r="217" spans="1:15" x14ac:dyDescent="0.3">
      <c r="A217" s="28" t="s">
        <v>575</v>
      </c>
      <c r="B217" s="28" t="s">
        <v>576</v>
      </c>
      <c r="C217" s="28" t="s">
        <v>559</v>
      </c>
      <c r="D217" s="28" t="s">
        <v>577</v>
      </c>
      <c r="E217" s="28" t="s">
        <v>612</v>
      </c>
      <c r="F217" s="28" t="s">
        <v>603</v>
      </c>
      <c r="G217" s="29">
        <v>773</v>
      </c>
      <c r="H217" s="29">
        <v>5</v>
      </c>
      <c r="I217" s="29">
        <v>2</v>
      </c>
      <c r="J217" s="29">
        <v>2</v>
      </c>
      <c r="K217" s="29">
        <v>0</v>
      </c>
      <c r="L217" s="29">
        <v>0</v>
      </c>
      <c r="M217" s="29">
        <v>0</v>
      </c>
      <c r="N217" s="29">
        <v>0</v>
      </c>
      <c r="O217" s="29">
        <v>0</v>
      </c>
    </row>
    <row r="218" spans="1:15" x14ac:dyDescent="0.3">
      <c r="A218" s="28" t="s">
        <v>575</v>
      </c>
      <c r="B218" s="28" t="s">
        <v>576</v>
      </c>
      <c r="C218" s="28" t="s">
        <v>559</v>
      </c>
      <c r="D218" s="28" t="s">
        <v>577</v>
      </c>
      <c r="E218" s="28" t="s">
        <v>612</v>
      </c>
      <c r="F218" s="28" t="s">
        <v>604</v>
      </c>
      <c r="G218" s="29">
        <v>441</v>
      </c>
      <c r="H218" s="29">
        <v>3</v>
      </c>
      <c r="I218" s="29">
        <v>3</v>
      </c>
      <c r="J218" s="29">
        <v>2</v>
      </c>
      <c r="K218" s="29">
        <v>1</v>
      </c>
      <c r="L218" s="29">
        <v>0</v>
      </c>
      <c r="M218" s="29">
        <v>0</v>
      </c>
      <c r="N218" s="29">
        <v>0</v>
      </c>
      <c r="O218" s="29">
        <v>0</v>
      </c>
    </row>
    <row r="219" spans="1:15" x14ac:dyDescent="0.3">
      <c r="A219" s="28" t="s">
        <v>575</v>
      </c>
      <c r="B219" s="28" t="s">
        <v>576</v>
      </c>
      <c r="C219" s="28" t="s">
        <v>559</v>
      </c>
      <c r="D219" s="28" t="s">
        <v>577</v>
      </c>
      <c r="E219" s="28" t="s">
        <v>612</v>
      </c>
      <c r="F219" s="28" t="s">
        <v>581</v>
      </c>
      <c r="G219" s="29">
        <v>233</v>
      </c>
      <c r="H219" s="29">
        <v>1</v>
      </c>
      <c r="I219" s="29">
        <v>1</v>
      </c>
      <c r="J219" s="29">
        <v>0</v>
      </c>
      <c r="K219" s="29">
        <v>1</v>
      </c>
      <c r="L219" s="29">
        <v>0</v>
      </c>
      <c r="M219" s="29">
        <v>0</v>
      </c>
      <c r="N219" s="29">
        <v>0</v>
      </c>
      <c r="O219" s="29">
        <v>0</v>
      </c>
    </row>
    <row r="220" spans="1:15" x14ac:dyDescent="0.3">
      <c r="A220" s="28" t="s">
        <v>575</v>
      </c>
      <c r="B220" s="28" t="s">
        <v>576</v>
      </c>
      <c r="C220" s="28" t="s">
        <v>559</v>
      </c>
      <c r="D220" s="28" t="s">
        <v>577</v>
      </c>
      <c r="E220" s="28" t="s">
        <v>612</v>
      </c>
      <c r="F220" s="28" t="s">
        <v>582</v>
      </c>
      <c r="G220" s="29">
        <v>236</v>
      </c>
      <c r="H220" s="29">
        <v>5</v>
      </c>
      <c r="I220" s="29">
        <v>3</v>
      </c>
      <c r="J220" s="29">
        <v>3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</row>
    <row r="221" spans="1:15" x14ac:dyDescent="0.3">
      <c r="A221" s="28" t="s">
        <v>575</v>
      </c>
      <c r="B221" s="28" t="s">
        <v>576</v>
      </c>
      <c r="C221" s="28" t="s">
        <v>559</v>
      </c>
      <c r="D221" s="28" t="s">
        <v>577</v>
      </c>
      <c r="E221" s="28" t="s">
        <v>612</v>
      </c>
      <c r="F221" s="28" t="s">
        <v>583</v>
      </c>
      <c r="G221" s="29">
        <v>230</v>
      </c>
      <c r="H221" s="29">
        <v>2</v>
      </c>
      <c r="I221" s="29">
        <v>6</v>
      </c>
      <c r="J221" s="29">
        <v>3</v>
      </c>
      <c r="K221" s="29">
        <v>3</v>
      </c>
      <c r="L221" s="29">
        <v>100</v>
      </c>
      <c r="M221" s="29">
        <v>100</v>
      </c>
      <c r="N221" s="29">
        <v>0</v>
      </c>
      <c r="O221" s="29">
        <v>0</v>
      </c>
    </row>
    <row r="222" spans="1:15" x14ac:dyDescent="0.3">
      <c r="A222" s="28" t="s">
        <v>575</v>
      </c>
      <c r="B222" s="28" t="s">
        <v>576</v>
      </c>
      <c r="C222" s="28" t="s">
        <v>559</v>
      </c>
      <c r="D222" s="28" t="s">
        <v>577</v>
      </c>
      <c r="E222" s="28" t="s">
        <v>612</v>
      </c>
      <c r="F222" s="28" t="s">
        <v>584</v>
      </c>
      <c r="G222" s="29">
        <v>252</v>
      </c>
      <c r="H222" s="29">
        <v>1</v>
      </c>
      <c r="I222" s="29">
        <v>2</v>
      </c>
      <c r="J222" s="29">
        <v>1</v>
      </c>
      <c r="K222" s="29">
        <v>1</v>
      </c>
      <c r="L222" s="29">
        <v>100</v>
      </c>
      <c r="M222" s="29">
        <v>100</v>
      </c>
      <c r="N222" s="29">
        <v>0</v>
      </c>
      <c r="O222" s="29">
        <v>0</v>
      </c>
    </row>
    <row r="223" spans="1:15" x14ac:dyDescent="0.3">
      <c r="A223" s="28" t="s">
        <v>575</v>
      </c>
      <c r="B223" s="28" t="s">
        <v>576</v>
      </c>
      <c r="C223" s="28" t="s">
        <v>559</v>
      </c>
      <c r="D223" s="28" t="s">
        <v>577</v>
      </c>
      <c r="E223" s="28" t="s">
        <v>612</v>
      </c>
      <c r="F223" s="28" t="s">
        <v>585</v>
      </c>
      <c r="G223" s="29">
        <v>244</v>
      </c>
      <c r="H223" s="29">
        <v>0</v>
      </c>
      <c r="I223" s="29">
        <v>0</v>
      </c>
      <c r="J223" s="29">
        <v>0</v>
      </c>
      <c r="K223" s="29">
        <v>0</v>
      </c>
      <c r="L223" s="29">
        <v>0</v>
      </c>
      <c r="M223" s="29">
        <v>0</v>
      </c>
      <c r="N223" s="29">
        <v>0</v>
      </c>
      <c r="O223" s="29">
        <v>0</v>
      </c>
    </row>
    <row r="224" spans="1:15" x14ac:dyDescent="0.3">
      <c r="A224" s="28" t="s">
        <v>575</v>
      </c>
      <c r="B224" s="28" t="s">
        <v>576</v>
      </c>
      <c r="C224" s="28" t="s">
        <v>559</v>
      </c>
      <c r="D224" s="28" t="s">
        <v>577</v>
      </c>
      <c r="E224" s="28" t="s">
        <v>612</v>
      </c>
      <c r="F224" s="28" t="s">
        <v>586</v>
      </c>
      <c r="G224" s="29">
        <v>218</v>
      </c>
      <c r="H224" s="29">
        <v>2</v>
      </c>
      <c r="I224" s="29">
        <v>1</v>
      </c>
      <c r="J224" s="29">
        <v>0</v>
      </c>
      <c r="K224" s="29">
        <v>1</v>
      </c>
      <c r="L224" s="29">
        <v>0</v>
      </c>
      <c r="M224" s="29">
        <v>0</v>
      </c>
      <c r="N224" s="29">
        <v>0</v>
      </c>
      <c r="O224" s="29">
        <v>0</v>
      </c>
    </row>
    <row r="225" spans="1:15" x14ac:dyDescent="0.3">
      <c r="A225" s="28" t="s">
        <v>575</v>
      </c>
      <c r="B225" s="28" t="s">
        <v>576</v>
      </c>
      <c r="C225" s="28" t="s">
        <v>559</v>
      </c>
      <c r="D225" s="28" t="s">
        <v>577</v>
      </c>
      <c r="E225" s="28" t="s">
        <v>612</v>
      </c>
      <c r="F225" s="28" t="s">
        <v>587</v>
      </c>
      <c r="G225" s="29">
        <v>239</v>
      </c>
      <c r="H225" s="29">
        <v>0</v>
      </c>
      <c r="I225" s="29">
        <v>4</v>
      </c>
      <c r="J225" s="29">
        <v>0</v>
      </c>
      <c r="K225" s="29">
        <v>4</v>
      </c>
      <c r="L225" s="29">
        <v>0</v>
      </c>
      <c r="M225" s="29">
        <v>0</v>
      </c>
      <c r="N225" s="29">
        <v>0</v>
      </c>
      <c r="O225" s="29">
        <v>0</v>
      </c>
    </row>
    <row r="226" spans="1:15" x14ac:dyDescent="0.3">
      <c r="A226" s="28" t="s">
        <v>575</v>
      </c>
      <c r="B226" s="28" t="s">
        <v>576</v>
      </c>
      <c r="C226" s="28" t="s">
        <v>559</v>
      </c>
      <c r="D226" s="28" t="s">
        <v>577</v>
      </c>
      <c r="E226" s="28" t="s">
        <v>612</v>
      </c>
      <c r="F226" s="28" t="s">
        <v>579</v>
      </c>
      <c r="G226" s="29">
        <v>221</v>
      </c>
      <c r="H226" s="29">
        <v>2</v>
      </c>
      <c r="I226" s="29">
        <v>3</v>
      </c>
      <c r="J226" s="29">
        <v>0</v>
      </c>
      <c r="K226" s="29">
        <v>3</v>
      </c>
      <c r="L226" s="29">
        <v>0</v>
      </c>
      <c r="M226" s="29">
        <v>0</v>
      </c>
      <c r="N226" s="29">
        <v>0</v>
      </c>
      <c r="O226" s="29">
        <v>0</v>
      </c>
    </row>
    <row r="227" spans="1:15" x14ac:dyDescent="0.3">
      <c r="A227" s="28" t="s">
        <v>575</v>
      </c>
      <c r="B227" s="28" t="s">
        <v>576</v>
      </c>
      <c r="C227" s="28" t="s">
        <v>559</v>
      </c>
      <c r="D227" s="28" t="s">
        <v>577</v>
      </c>
      <c r="E227" s="28" t="s">
        <v>612</v>
      </c>
      <c r="F227" s="28" t="s">
        <v>588</v>
      </c>
      <c r="G227" s="29">
        <v>230</v>
      </c>
      <c r="H227" s="29">
        <v>1</v>
      </c>
      <c r="I227" s="29">
        <v>1</v>
      </c>
      <c r="J227" s="29">
        <v>0</v>
      </c>
      <c r="K227" s="29">
        <v>1</v>
      </c>
      <c r="L227" s="29">
        <v>1000</v>
      </c>
      <c r="M227" s="29">
        <v>0</v>
      </c>
      <c r="N227" s="29">
        <v>1000</v>
      </c>
      <c r="O227" s="29">
        <v>0</v>
      </c>
    </row>
    <row r="228" spans="1:15" x14ac:dyDescent="0.3">
      <c r="A228" s="28" t="s">
        <v>575</v>
      </c>
      <c r="B228" s="28" t="s">
        <v>576</v>
      </c>
      <c r="C228" s="28" t="s">
        <v>559</v>
      </c>
      <c r="D228" s="28" t="s">
        <v>577</v>
      </c>
      <c r="E228" s="28" t="s">
        <v>612</v>
      </c>
      <c r="F228" s="28" t="s">
        <v>589</v>
      </c>
      <c r="G228" s="29">
        <v>235</v>
      </c>
      <c r="H228" s="29">
        <v>4</v>
      </c>
      <c r="I228" s="29">
        <v>4</v>
      </c>
      <c r="J228" s="29">
        <v>4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</row>
    <row r="229" spans="1:15" x14ac:dyDescent="0.3">
      <c r="A229" s="28" t="s">
        <v>575</v>
      </c>
      <c r="B229" s="28" t="s">
        <v>576</v>
      </c>
      <c r="C229" s="28" t="s">
        <v>559</v>
      </c>
      <c r="D229" s="28" t="s">
        <v>577</v>
      </c>
      <c r="E229" s="28" t="s">
        <v>612</v>
      </c>
      <c r="F229" s="28" t="s">
        <v>590</v>
      </c>
      <c r="G229" s="29">
        <v>236</v>
      </c>
      <c r="H229" s="29">
        <v>2</v>
      </c>
      <c r="I229" s="29">
        <v>2</v>
      </c>
      <c r="J229" s="29">
        <v>1</v>
      </c>
      <c r="K229" s="29">
        <v>1</v>
      </c>
      <c r="L229" s="29">
        <v>0</v>
      </c>
      <c r="M229" s="29">
        <v>0</v>
      </c>
      <c r="N229" s="29">
        <v>0</v>
      </c>
      <c r="O229" s="29">
        <v>0</v>
      </c>
    </row>
    <row r="230" spans="1:15" x14ac:dyDescent="0.3">
      <c r="A230" s="28" t="s">
        <v>575</v>
      </c>
      <c r="B230" s="28" t="s">
        <v>576</v>
      </c>
      <c r="C230" s="28" t="s">
        <v>559</v>
      </c>
      <c r="D230" s="28" t="s">
        <v>577</v>
      </c>
      <c r="E230" s="28" t="s">
        <v>612</v>
      </c>
      <c r="F230" s="28" t="s">
        <v>591</v>
      </c>
      <c r="G230" s="29">
        <v>227</v>
      </c>
      <c r="H230" s="29">
        <v>1</v>
      </c>
      <c r="I230" s="29">
        <v>2</v>
      </c>
      <c r="J230" s="29">
        <v>0</v>
      </c>
      <c r="K230" s="29">
        <v>2</v>
      </c>
      <c r="L230" s="29">
        <v>0</v>
      </c>
      <c r="M230" s="29">
        <v>0</v>
      </c>
      <c r="N230" s="29">
        <v>0</v>
      </c>
      <c r="O230" s="29">
        <v>0</v>
      </c>
    </row>
    <row r="231" spans="1:15" x14ac:dyDescent="0.3">
      <c r="A231" s="28" t="s">
        <v>575</v>
      </c>
      <c r="B231" s="28" t="s">
        <v>576</v>
      </c>
      <c r="C231" s="28" t="s">
        <v>559</v>
      </c>
      <c r="D231" s="28" t="s">
        <v>577</v>
      </c>
      <c r="E231" s="28" t="s">
        <v>612</v>
      </c>
      <c r="F231" s="28" t="s">
        <v>592</v>
      </c>
      <c r="G231" s="29">
        <v>284</v>
      </c>
      <c r="H231" s="29">
        <v>1</v>
      </c>
      <c r="I231" s="29">
        <v>3</v>
      </c>
      <c r="J231" s="29">
        <v>2</v>
      </c>
      <c r="K231" s="29">
        <v>1</v>
      </c>
      <c r="L231" s="29">
        <v>0</v>
      </c>
      <c r="M231" s="29">
        <v>0</v>
      </c>
      <c r="N231" s="29">
        <v>0</v>
      </c>
      <c r="O231" s="29">
        <v>0</v>
      </c>
    </row>
    <row r="232" spans="1:15" x14ac:dyDescent="0.3">
      <c r="A232" s="28" t="s">
        <v>575</v>
      </c>
      <c r="B232" s="28" t="s">
        <v>576</v>
      </c>
      <c r="C232" s="28" t="s">
        <v>559</v>
      </c>
      <c r="D232" s="28" t="s">
        <v>577</v>
      </c>
      <c r="E232" s="28" t="s">
        <v>612</v>
      </c>
      <c r="F232" s="28" t="s">
        <v>593</v>
      </c>
      <c r="G232" s="29">
        <v>182</v>
      </c>
      <c r="H232" s="29">
        <v>0</v>
      </c>
      <c r="I232" s="29">
        <v>3</v>
      </c>
      <c r="J232" s="29">
        <v>0</v>
      </c>
      <c r="K232" s="29">
        <v>3</v>
      </c>
      <c r="L232" s="29">
        <v>1000</v>
      </c>
      <c r="M232" s="29">
        <v>0</v>
      </c>
      <c r="N232" s="29">
        <v>1000</v>
      </c>
      <c r="O232" s="29">
        <v>0</v>
      </c>
    </row>
    <row r="233" spans="1:15" x14ac:dyDescent="0.3">
      <c r="A233" s="28" t="s">
        <v>575</v>
      </c>
      <c r="B233" s="28" t="s">
        <v>576</v>
      </c>
      <c r="C233" s="28" t="s">
        <v>559</v>
      </c>
      <c r="D233" s="28" t="s">
        <v>577</v>
      </c>
      <c r="E233" s="28" t="s">
        <v>612</v>
      </c>
      <c r="F233" s="28" t="s">
        <v>594</v>
      </c>
      <c r="G233" s="29">
        <v>242</v>
      </c>
      <c r="H233" s="29">
        <v>4</v>
      </c>
      <c r="I233" s="29">
        <v>2</v>
      </c>
      <c r="J233" s="29">
        <v>2</v>
      </c>
      <c r="K233" s="29">
        <v>0</v>
      </c>
      <c r="L233" s="29">
        <v>0</v>
      </c>
      <c r="M233" s="29">
        <v>0</v>
      </c>
      <c r="N233" s="29">
        <v>0</v>
      </c>
      <c r="O233" s="29">
        <v>0</v>
      </c>
    </row>
    <row r="234" spans="1:15" x14ac:dyDescent="0.3">
      <c r="A234" s="28" t="s">
        <v>575</v>
      </c>
      <c r="B234" s="28" t="s">
        <v>576</v>
      </c>
      <c r="C234" s="28" t="s">
        <v>559</v>
      </c>
      <c r="D234" s="28" t="s">
        <v>577</v>
      </c>
      <c r="E234" s="28" t="s">
        <v>612</v>
      </c>
      <c r="F234" s="28" t="s">
        <v>595</v>
      </c>
      <c r="G234" s="29">
        <v>222</v>
      </c>
      <c r="H234" s="29">
        <v>0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</row>
    <row r="235" spans="1:15" x14ac:dyDescent="0.3">
      <c r="A235" s="28" t="s">
        <v>575</v>
      </c>
      <c r="B235" s="28" t="s">
        <v>576</v>
      </c>
      <c r="C235" s="28" t="s">
        <v>559</v>
      </c>
      <c r="D235" s="28" t="s">
        <v>577</v>
      </c>
      <c r="E235" s="28" t="s">
        <v>613</v>
      </c>
      <c r="F235" s="28" t="s">
        <v>597</v>
      </c>
      <c r="G235" s="29">
        <v>181</v>
      </c>
      <c r="H235" s="29">
        <v>1</v>
      </c>
      <c r="I235" s="29">
        <v>0</v>
      </c>
      <c r="J235" s="29">
        <v>0</v>
      </c>
      <c r="K235" s="29">
        <v>0</v>
      </c>
      <c r="L235" s="29">
        <v>0</v>
      </c>
      <c r="M235" s="29">
        <v>0</v>
      </c>
      <c r="N235" s="29">
        <v>0</v>
      </c>
      <c r="O235" s="29">
        <v>0</v>
      </c>
    </row>
    <row r="236" spans="1:15" x14ac:dyDescent="0.3">
      <c r="A236" s="28" t="s">
        <v>575</v>
      </c>
      <c r="B236" s="28" t="s">
        <v>576</v>
      </c>
      <c r="C236" s="28" t="s">
        <v>559</v>
      </c>
      <c r="D236" s="28" t="s">
        <v>577</v>
      </c>
      <c r="E236" s="28" t="s">
        <v>613</v>
      </c>
      <c r="F236" s="28" t="s">
        <v>598</v>
      </c>
      <c r="G236" s="29">
        <v>118</v>
      </c>
      <c r="H236" s="29">
        <v>0</v>
      </c>
      <c r="I236" s="29">
        <v>0</v>
      </c>
      <c r="J236" s="29">
        <v>0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</row>
    <row r="237" spans="1:15" x14ac:dyDescent="0.3">
      <c r="A237" s="28" t="s">
        <v>575</v>
      </c>
      <c r="B237" s="28" t="s">
        <v>576</v>
      </c>
      <c r="C237" s="28" t="s">
        <v>559</v>
      </c>
      <c r="D237" s="28" t="s">
        <v>577</v>
      </c>
      <c r="E237" s="28" t="s">
        <v>613</v>
      </c>
      <c r="F237" s="28" t="s">
        <v>599</v>
      </c>
      <c r="G237" s="29">
        <v>82</v>
      </c>
      <c r="H237" s="29">
        <v>0</v>
      </c>
      <c r="I237" s="29">
        <v>0</v>
      </c>
      <c r="J237" s="29">
        <v>0</v>
      </c>
      <c r="K237" s="29">
        <v>0</v>
      </c>
      <c r="L237" s="29">
        <v>0</v>
      </c>
      <c r="M237" s="29">
        <v>0</v>
      </c>
      <c r="N237" s="29">
        <v>0</v>
      </c>
      <c r="O237" s="29">
        <v>0</v>
      </c>
    </row>
    <row r="238" spans="1:15" x14ac:dyDescent="0.3">
      <c r="A238" s="28" t="s">
        <v>575</v>
      </c>
      <c r="B238" s="28" t="s">
        <v>576</v>
      </c>
      <c r="C238" s="28" t="s">
        <v>559</v>
      </c>
      <c r="D238" s="28" t="s">
        <v>577</v>
      </c>
      <c r="E238" s="28" t="s">
        <v>613</v>
      </c>
      <c r="F238" s="28" t="s">
        <v>600</v>
      </c>
      <c r="G238" s="29">
        <v>61</v>
      </c>
      <c r="H238" s="29">
        <v>0</v>
      </c>
      <c r="I238" s="29">
        <v>0</v>
      </c>
      <c r="J238" s="29">
        <v>0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</row>
    <row r="239" spans="1:15" x14ac:dyDescent="0.3">
      <c r="A239" s="28" t="s">
        <v>575</v>
      </c>
      <c r="B239" s="28" t="s">
        <v>576</v>
      </c>
      <c r="C239" s="28" t="s">
        <v>559</v>
      </c>
      <c r="D239" s="28" t="s">
        <v>577</v>
      </c>
      <c r="E239" s="28" t="s">
        <v>613</v>
      </c>
      <c r="F239" s="28" t="s">
        <v>601</v>
      </c>
      <c r="G239" s="29">
        <v>86</v>
      </c>
      <c r="H239" s="29">
        <v>0</v>
      </c>
      <c r="I239" s="29">
        <v>0</v>
      </c>
      <c r="J239" s="29">
        <v>0</v>
      </c>
      <c r="K239" s="29">
        <v>0</v>
      </c>
      <c r="L239" s="29">
        <v>0</v>
      </c>
      <c r="M239" s="29">
        <v>0</v>
      </c>
      <c r="N239" s="29">
        <v>0</v>
      </c>
      <c r="O239" s="29">
        <v>0</v>
      </c>
    </row>
    <row r="240" spans="1:15" x14ac:dyDescent="0.3">
      <c r="A240" s="28" t="s">
        <v>575</v>
      </c>
      <c r="B240" s="28" t="s">
        <v>576</v>
      </c>
      <c r="C240" s="28" t="s">
        <v>559</v>
      </c>
      <c r="D240" s="28" t="s">
        <v>577</v>
      </c>
      <c r="E240" s="28" t="s">
        <v>613</v>
      </c>
      <c r="F240" s="28" t="s">
        <v>602</v>
      </c>
      <c r="G240" s="29">
        <v>233</v>
      </c>
      <c r="H240" s="29">
        <v>3</v>
      </c>
      <c r="I240" s="29">
        <v>0</v>
      </c>
      <c r="J240" s="29">
        <v>0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</row>
    <row r="241" spans="1:15" x14ac:dyDescent="0.3">
      <c r="A241" s="28" t="s">
        <v>575</v>
      </c>
      <c r="B241" s="28" t="s">
        <v>576</v>
      </c>
      <c r="C241" s="28" t="s">
        <v>559</v>
      </c>
      <c r="D241" s="28" t="s">
        <v>577</v>
      </c>
      <c r="E241" s="28" t="s">
        <v>613</v>
      </c>
      <c r="F241" s="28" t="s">
        <v>603</v>
      </c>
      <c r="G241" s="29">
        <v>749</v>
      </c>
      <c r="H241" s="29">
        <v>2</v>
      </c>
      <c r="I241" s="29">
        <v>2</v>
      </c>
      <c r="J241" s="29">
        <v>2</v>
      </c>
      <c r="K241" s="29">
        <v>0</v>
      </c>
      <c r="L241" s="29">
        <v>0</v>
      </c>
      <c r="M241" s="29">
        <v>0</v>
      </c>
      <c r="N241" s="29">
        <v>0</v>
      </c>
      <c r="O241" s="29">
        <v>0</v>
      </c>
    </row>
    <row r="242" spans="1:15" x14ac:dyDescent="0.3">
      <c r="A242" s="28" t="s">
        <v>575</v>
      </c>
      <c r="B242" s="28" t="s">
        <v>576</v>
      </c>
      <c r="C242" s="28" t="s">
        <v>559</v>
      </c>
      <c r="D242" s="28" t="s">
        <v>577</v>
      </c>
      <c r="E242" s="28" t="s">
        <v>613</v>
      </c>
      <c r="F242" s="28" t="s">
        <v>604</v>
      </c>
      <c r="G242" s="29">
        <v>430</v>
      </c>
      <c r="H242" s="29">
        <v>4</v>
      </c>
      <c r="I242" s="29">
        <v>2</v>
      </c>
      <c r="J242" s="29">
        <v>0</v>
      </c>
      <c r="K242" s="29">
        <v>2</v>
      </c>
      <c r="L242" s="29">
        <v>0</v>
      </c>
      <c r="M242" s="29">
        <v>0</v>
      </c>
      <c r="N242" s="29">
        <v>0</v>
      </c>
      <c r="O242" s="29">
        <v>0</v>
      </c>
    </row>
    <row r="243" spans="1:15" x14ac:dyDescent="0.3">
      <c r="A243" s="28" t="s">
        <v>575</v>
      </c>
      <c r="B243" s="28" t="s">
        <v>576</v>
      </c>
      <c r="C243" s="28" t="s">
        <v>559</v>
      </c>
      <c r="D243" s="28" t="s">
        <v>577</v>
      </c>
      <c r="E243" s="28" t="s">
        <v>613</v>
      </c>
      <c r="F243" s="28" t="s">
        <v>581</v>
      </c>
      <c r="G243" s="29">
        <v>221</v>
      </c>
      <c r="H243" s="29">
        <v>0</v>
      </c>
      <c r="I243" s="29">
        <v>5</v>
      </c>
      <c r="J243" s="29">
        <v>2</v>
      </c>
      <c r="K243" s="29">
        <v>3</v>
      </c>
      <c r="L243" s="29">
        <v>0</v>
      </c>
      <c r="M243" s="29">
        <v>0</v>
      </c>
      <c r="N243" s="29">
        <v>0</v>
      </c>
      <c r="O243" s="29">
        <v>0</v>
      </c>
    </row>
    <row r="244" spans="1:15" x14ac:dyDescent="0.3">
      <c r="A244" s="28" t="s">
        <v>575</v>
      </c>
      <c r="B244" s="28" t="s">
        <v>576</v>
      </c>
      <c r="C244" s="28" t="s">
        <v>559</v>
      </c>
      <c r="D244" s="28" t="s">
        <v>577</v>
      </c>
      <c r="E244" s="28" t="s">
        <v>613</v>
      </c>
      <c r="F244" s="28" t="s">
        <v>582</v>
      </c>
      <c r="G244" s="29">
        <v>234</v>
      </c>
      <c r="H244" s="29">
        <v>0</v>
      </c>
      <c r="I244" s="29">
        <v>0</v>
      </c>
      <c r="J244" s="29">
        <v>0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</row>
    <row r="245" spans="1:15" x14ac:dyDescent="0.3">
      <c r="A245" s="28" t="s">
        <v>575</v>
      </c>
      <c r="B245" s="28" t="s">
        <v>576</v>
      </c>
      <c r="C245" s="28" t="s">
        <v>559</v>
      </c>
      <c r="D245" s="28" t="s">
        <v>577</v>
      </c>
      <c r="E245" s="28" t="s">
        <v>613</v>
      </c>
      <c r="F245" s="28" t="s">
        <v>583</v>
      </c>
      <c r="G245" s="29">
        <v>237</v>
      </c>
      <c r="H245" s="29">
        <v>1</v>
      </c>
      <c r="I245" s="29">
        <v>0</v>
      </c>
      <c r="J245" s="29">
        <v>0</v>
      </c>
      <c r="K245" s="29">
        <v>0</v>
      </c>
      <c r="L245" s="29">
        <v>0</v>
      </c>
      <c r="M245" s="29">
        <v>0</v>
      </c>
      <c r="N245" s="29">
        <v>0</v>
      </c>
      <c r="O245" s="29">
        <v>0</v>
      </c>
    </row>
    <row r="246" spans="1:15" x14ac:dyDescent="0.3">
      <c r="A246" s="28" t="s">
        <v>575</v>
      </c>
      <c r="B246" s="28" t="s">
        <v>576</v>
      </c>
      <c r="C246" s="28" t="s">
        <v>559</v>
      </c>
      <c r="D246" s="28" t="s">
        <v>577</v>
      </c>
      <c r="E246" s="28" t="s">
        <v>613</v>
      </c>
      <c r="F246" s="28" t="s">
        <v>584</v>
      </c>
      <c r="G246" s="29">
        <v>224</v>
      </c>
      <c r="H246" s="29">
        <v>2</v>
      </c>
      <c r="I246" s="29">
        <v>0</v>
      </c>
      <c r="J246" s="29">
        <v>0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</row>
    <row r="247" spans="1:15" x14ac:dyDescent="0.3">
      <c r="A247" s="28" t="s">
        <v>575</v>
      </c>
      <c r="B247" s="28" t="s">
        <v>576</v>
      </c>
      <c r="C247" s="28" t="s">
        <v>559</v>
      </c>
      <c r="D247" s="28" t="s">
        <v>577</v>
      </c>
      <c r="E247" s="28" t="s">
        <v>613</v>
      </c>
      <c r="F247" s="28" t="s">
        <v>585</v>
      </c>
      <c r="G247" s="29">
        <v>239</v>
      </c>
      <c r="H247" s="29">
        <v>2</v>
      </c>
      <c r="I247" s="29">
        <v>7</v>
      </c>
      <c r="J247" s="29">
        <v>5</v>
      </c>
      <c r="K247" s="29">
        <v>2</v>
      </c>
      <c r="L247" s="29">
        <v>0</v>
      </c>
      <c r="M247" s="29">
        <v>0</v>
      </c>
      <c r="N247" s="29">
        <v>0</v>
      </c>
      <c r="O247" s="29">
        <v>0</v>
      </c>
    </row>
    <row r="248" spans="1:15" x14ac:dyDescent="0.3">
      <c r="A248" s="28" t="s">
        <v>575</v>
      </c>
      <c r="B248" s="28" t="s">
        <v>576</v>
      </c>
      <c r="C248" s="28" t="s">
        <v>559</v>
      </c>
      <c r="D248" s="28" t="s">
        <v>577</v>
      </c>
      <c r="E248" s="28" t="s">
        <v>613</v>
      </c>
      <c r="F248" s="28" t="s">
        <v>586</v>
      </c>
      <c r="G248" s="29">
        <v>236</v>
      </c>
      <c r="H248" s="29">
        <v>1</v>
      </c>
      <c r="I248" s="29">
        <v>0</v>
      </c>
      <c r="J248" s="29">
        <v>0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</row>
    <row r="249" spans="1:15" x14ac:dyDescent="0.3">
      <c r="A249" s="28" t="s">
        <v>575</v>
      </c>
      <c r="B249" s="28" t="s">
        <v>576</v>
      </c>
      <c r="C249" s="28" t="s">
        <v>559</v>
      </c>
      <c r="D249" s="28" t="s">
        <v>577</v>
      </c>
      <c r="E249" s="28" t="s">
        <v>613</v>
      </c>
      <c r="F249" s="28" t="s">
        <v>587</v>
      </c>
      <c r="G249" s="29">
        <v>198</v>
      </c>
      <c r="H249" s="29">
        <v>0</v>
      </c>
      <c r="I249" s="29">
        <v>0</v>
      </c>
      <c r="J249" s="29">
        <v>0</v>
      </c>
      <c r="K249" s="29">
        <v>0</v>
      </c>
      <c r="L249" s="29">
        <v>0</v>
      </c>
      <c r="M249" s="29">
        <v>0</v>
      </c>
      <c r="N249" s="29">
        <v>0</v>
      </c>
      <c r="O249" s="29">
        <v>0</v>
      </c>
    </row>
    <row r="250" spans="1:15" x14ac:dyDescent="0.3">
      <c r="A250" s="28" t="s">
        <v>575</v>
      </c>
      <c r="B250" s="28" t="s">
        <v>576</v>
      </c>
      <c r="C250" s="28" t="s">
        <v>559</v>
      </c>
      <c r="D250" s="28" t="s">
        <v>577</v>
      </c>
      <c r="E250" s="28" t="s">
        <v>613</v>
      </c>
      <c r="F250" s="28" t="s">
        <v>579</v>
      </c>
      <c r="G250" s="29">
        <v>163</v>
      </c>
      <c r="H250" s="29">
        <v>1</v>
      </c>
      <c r="I250" s="29">
        <v>0</v>
      </c>
      <c r="J250" s="29">
        <v>0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</row>
    <row r="251" spans="1:15" x14ac:dyDescent="0.3">
      <c r="A251" s="28" t="s">
        <v>575</v>
      </c>
      <c r="B251" s="28" t="s">
        <v>576</v>
      </c>
      <c r="C251" s="28" t="s">
        <v>559</v>
      </c>
      <c r="D251" s="28" t="s">
        <v>577</v>
      </c>
      <c r="E251" s="28" t="s">
        <v>613</v>
      </c>
      <c r="F251" s="28" t="s">
        <v>588</v>
      </c>
      <c r="G251" s="29">
        <v>220</v>
      </c>
      <c r="H251" s="29">
        <v>7</v>
      </c>
      <c r="I251" s="29">
        <v>0</v>
      </c>
      <c r="J251" s="29">
        <v>0</v>
      </c>
      <c r="K251" s="29">
        <v>0</v>
      </c>
      <c r="L251" s="29">
        <v>0</v>
      </c>
      <c r="M251" s="29">
        <v>0</v>
      </c>
      <c r="N251" s="29">
        <v>0</v>
      </c>
      <c r="O251" s="29">
        <v>0</v>
      </c>
    </row>
    <row r="252" spans="1:15" x14ac:dyDescent="0.3">
      <c r="A252" s="28" t="s">
        <v>575</v>
      </c>
      <c r="B252" s="28" t="s">
        <v>576</v>
      </c>
      <c r="C252" s="28" t="s">
        <v>559</v>
      </c>
      <c r="D252" s="28" t="s">
        <v>577</v>
      </c>
      <c r="E252" s="28" t="s">
        <v>613</v>
      </c>
      <c r="F252" s="28" t="s">
        <v>589</v>
      </c>
      <c r="G252" s="29">
        <v>149</v>
      </c>
      <c r="H252" s="29">
        <v>1</v>
      </c>
      <c r="I252" s="29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</row>
    <row r="253" spans="1:15" x14ac:dyDescent="0.3">
      <c r="A253" s="28" t="s">
        <v>575</v>
      </c>
      <c r="B253" s="28" t="s">
        <v>576</v>
      </c>
      <c r="C253" s="28" t="s">
        <v>559</v>
      </c>
      <c r="D253" s="28" t="s">
        <v>577</v>
      </c>
      <c r="E253" s="28" t="s">
        <v>613</v>
      </c>
      <c r="F253" s="28" t="s">
        <v>590</v>
      </c>
      <c r="G253" s="29">
        <v>133</v>
      </c>
      <c r="H253" s="29">
        <v>0</v>
      </c>
      <c r="I253" s="29">
        <v>0</v>
      </c>
      <c r="J253" s="29">
        <v>0</v>
      </c>
      <c r="K253" s="29">
        <v>0</v>
      </c>
      <c r="L253" s="29">
        <v>0</v>
      </c>
      <c r="M253" s="29">
        <v>0</v>
      </c>
      <c r="N253" s="29">
        <v>0</v>
      </c>
      <c r="O253" s="29">
        <v>0</v>
      </c>
    </row>
    <row r="254" spans="1:15" x14ac:dyDescent="0.3">
      <c r="A254" s="28" t="s">
        <v>575</v>
      </c>
      <c r="B254" s="28" t="s">
        <v>576</v>
      </c>
      <c r="C254" s="28" t="s">
        <v>559</v>
      </c>
      <c r="D254" s="28" t="s">
        <v>577</v>
      </c>
      <c r="E254" s="28" t="s">
        <v>613</v>
      </c>
      <c r="F254" s="28" t="s">
        <v>591</v>
      </c>
      <c r="G254" s="29">
        <v>161</v>
      </c>
      <c r="H254" s="29">
        <v>6</v>
      </c>
      <c r="I254" s="29">
        <v>3</v>
      </c>
      <c r="J254" s="29">
        <v>0</v>
      </c>
      <c r="K254" s="29">
        <v>3</v>
      </c>
      <c r="L254" s="29">
        <v>0</v>
      </c>
      <c r="M254" s="29">
        <v>0</v>
      </c>
      <c r="N254" s="29">
        <v>0</v>
      </c>
      <c r="O254" s="29">
        <v>0</v>
      </c>
    </row>
    <row r="255" spans="1:15" x14ac:dyDescent="0.3">
      <c r="A255" s="28" t="s">
        <v>575</v>
      </c>
      <c r="B255" s="28" t="s">
        <v>576</v>
      </c>
      <c r="C255" s="28" t="s">
        <v>559</v>
      </c>
      <c r="D255" s="28" t="s">
        <v>577</v>
      </c>
      <c r="E255" s="28" t="s">
        <v>613</v>
      </c>
      <c r="F255" s="28" t="s">
        <v>592</v>
      </c>
      <c r="G255" s="29">
        <v>184</v>
      </c>
      <c r="H255" s="29">
        <v>2</v>
      </c>
      <c r="I255" s="29">
        <v>2</v>
      </c>
      <c r="J255" s="29">
        <v>0</v>
      </c>
      <c r="K255" s="29">
        <v>2</v>
      </c>
      <c r="L255" s="29">
        <v>0</v>
      </c>
      <c r="M255" s="29">
        <v>0</v>
      </c>
      <c r="N255" s="29">
        <v>0</v>
      </c>
      <c r="O255" s="29">
        <v>0</v>
      </c>
    </row>
    <row r="256" spans="1:15" x14ac:dyDescent="0.3">
      <c r="A256" s="28" t="s">
        <v>575</v>
      </c>
      <c r="B256" s="28" t="s">
        <v>576</v>
      </c>
      <c r="C256" s="28" t="s">
        <v>559</v>
      </c>
      <c r="D256" s="28" t="s">
        <v>577</v>
      </c>
      <c r="E256" s="28" t="s">
        <v>613</v>
      </c>
      <c r="F256" s="28" t="s">
        <v>593</v>
      </c>
      <c r="G256" s="29">
        <v>211</v>
      </c>
      <c r="H256" s="29">
        <v>4</v>
      </c>
      <c r="I256" s="29">
        <v>1</v>
      </c>
      <c r="J256" s="29">
        <v>0</v>
      </c>
      <c r="K256" s="29">
        <v>1</v>
      </c>
      <c r="L256" s="29">
        <v>0</v>
      </c>
      <c r="M256" s="29">
        <v>0</v>
      </c>
      <c r="N256" s="29">
        <v>0</v>
      </c>
      <c r="O256" s="29">
        <v>0</v>
      </c>
    </row>
    <row r="257" spans="1:15" x14ac:dyDescent="0.3">
      <c r="A257" s="28" t="s">
        <v>575</v>
      </c>
      <c r="B257" s="28" t="s">
        <v>576</v>
      </c>
      <c r="C257" s="28" t="s">
        <v>559</v>
      </c>
      <c r="D257" s="28" t="s">
        <v>577</v>
      </c>
      <c r="E257" s="28" t="s">
        <v>613</v>
      </c>
      <c r="F257" s="28" t="s">
        <v>594</v>
      </c>
      <c r="G257" s="29">
        <v>176</v>
      </c>
      <c r="H257" s="29">
        <v>0</v>
      </c>
      <c r="I257" s="29">
        <v>1</v>
      </c>
      <c r="J257" s="29">
        <v>0</v>
      </c>
      <c r="K257" s="29">
        <v>1</v>
      </c>
      <c r="L257" s="29">
        <v>0</v>
      </c>
      <c r="M257" s="29">
        <v>0</v>
      </c>
      <c r="N257" s="29">
        <v>0</v>
      </c>
      <c r="O257" s="29">
        <v>0</v>
      </c>
    </row>
    <row r="258" spans="1:15" x14ac:dyDescent="0.3">
      <c r="A258" s="28" t="s">
        <v>575</v>
      </c>
      <c r="B258" s="28" t="s">
        <v>576</v>
      </c>
      <c r="C258" s="28" t="s">
        <v>559</v>
      </c>
      <c r="D258" s="28" t="s">
        <v>577</v>
      </c>
      <c r="E258" s="28" t="s">
        <v>613</v>
      </c>
      <c r="F258" s="28" t="s">
        <v>595</v>
      </c>
      <c r="G258" s="29">
        <v>156</v>
      </c>
      <c r="H258" s="29">
        <v>0</v>
      </c>
      <c r="I258" s="29">
        <v>0</v>
      </c>
      <c r="J258" s="29">
        <v>0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</row>
    <row r="259" spans="1:15" x14ac:dyDescent="0.3">
      <c r="A259" s="28" t="s">
        <v>575</v>
      </c>
      <c r="B259" s="28" t="s">
        <v>576</v>
      </c>
      <c r="C259" s="28" t="s">
        <v>559</v>
      </c>
      <c r="D259" s="28" t="s">
        <v>577</v>
      </c>
      <c r="E259" s="28" t="s">
        <v>614</v>
      </c>
      <c r="F259" s="28" t="s">
        <v>597</v>
      </c>
      <c r="G259" s="29">
        <v>93</v>
      </c>
      <c r="H259" s="29">
        <v>0</v>
      </c>
      <c r="I259" s="29">
        <v>1</v>
      </c>
      <c r="J259" s="29">
        <v>0</v>
      </c>
      <c r="K259" s="29">
        <v>1</v>
      </c>
      <c r="L259" s="29">
        <v>0</v>
      </c>
      <c r="M259" s="29">
        <v>0</v>
      </c>
      <c r="N259" s="29">
        <v>0</v>
      </c>
      <c r="O259" s="29">
        <v>0</v>
      </c>
    </row>
    <row r="260" spans="1:15" x14ac:dyDescent="0.3">
      <c r="A260" s="28" t="s">
        <v>575</v>
      </c>
      <c r="B260" s="28" t="s">
        <v>576</v>
      </c>
      <c r="C260" s="28" t="s">
        <v>559</v>
      </c>
      <c r="D260" s="28" t="s">
        <v>577</v>
      </c>
      <c r="E260" s="28" t="s">
        <v>614</v>
      </c>
      <c r="F260" s="28" t="s">
        <v>598</v>
      </c>
      <c r="G260" s="29">
        <v>44</v>
      </c>
      <c r="H260" s="29">
        <v>0</v>
      </c>
      <c r="I260" s="29">
        <v>0</v>
      </c>
      <c r="J260" s="29">
        <v>0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</row>
    <row r="261" spans="1:15" x14ac:dyDescent="0.3">
      <c r="A261" s="28" t="s">
        <v>575</v>
      </c>
      <c r="B261" s="28" t="s">
        <v>576</v>
      </c>
      <c r="C261" s="28" t="s">
        <v>559</v>
      </c>
      <c r="D261" s="28" t="s">
        <v>577</v>
      </c>
      <c r="E261" s="28" t="s">
        <v>614</v>
      </c>
      <c r="F261" s="28" t="s">
        <v>599</v>
      </c>
      <c r="G261" s="29">
        <v>51</v>
      </c>
      <c r="H261" s="29">
        <v>0</v>
      </c>
      <c r="I261" s="29">
        <v>0</v>
      </c>
      <c r="J261" s="29">
        <v>0</v>
      </c>
      <c r="K261" s="29">
        <v>0</v>
      </c>
      <c r="L261" s="29">
        <v>0</v>
      </c>
      <c r="M261" s="29">
        <v>0</v>
      </c>
      <c r="N261" s="29">
        <v>0</v>
      </c>
      <c r="O261" s="29">
        <v>0</v>
      </c>
    </row>
    <row r="262" spans="1:15" x14ac:dyDescent="0.3">
      <c r="A262" s="28" t="s">
        <v>575</v>
      </c>
      <c r="B262" s="28" t="s">
        <v>576</v>
      </c>
      <c r="C262" s="28" t="s">
        <v>559</v>
      </c>
      <c r="D262" s="28" t="s">
        <v>577</v>
      </c>
      <c r="E262" s="28" t="s">
        <v>614</v>
      </c>
      <c r="F262" s="28" t="s">
        <v>600</v>
      </c>
      <c r="G262" s="29">
        <v>47</v>
      </c>
      <c r="H262" s="29">
        <v>0</v>
      </c>
      <c r="I262" s="29">
        <v>0</v>
      </c>
      <c r="J262" s="29">
        <v>0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</row>
    <row r="263" spans="1:15" x14ac:dyDescent="0.3">
      <c r="A263" s="28" t="s">
        <v>575</v>
      </c>
      <c r="B263" s="28" t="s">
        <v>576</v>
      </c>
      <c r="C263" s="28" t="s">
        <v>559</v>
      </c>
      <c r="D263" s="28" t="s">
        <v>577</v>
      </c>
      <c r="E263" s="28" t="s">
        <v>614</v>
      </c>
      <c r="F263" s="28" t="s">
        <v>601</v>
      </c>
      <c r="G263" s="29">
        <v>45</v>
      </c>
      <c r="H263" s="29">
        <v>0</v>
      </c>
      <c r="I263" s="29">
        <v>2</v>
      </c>
      <c r="J263" s="29">
        <v>0</v>
      </c>
      <c r="K263" s="29">
        <v>2</v>
      </c>
      <c r="L263" s="29">
        <v>0</v>
      </c>
      <c r="M263" s="29">
        <v>0</v>
      </c>
      <c r="N263" s="29">
        <v>0</v>
      </c>
      <c r="O263" s="29">
        <v>0</v>
      </c>
    </row>
    <row r="264" spans="1:15" x14ac:dyDescent="0.3">
      <c r="A264" s="28" t="s">
        <v>575</v>
      </c>
      <c r="B264" s="28" t="s">
        <v>576</v>
      </c>
      <c r="C264" s="28" t="s">
        <v>559</v>
      </c>
      <c r="D264" s="28" t="s">
        <v>577</v>
      </c>
      <c r="E264" s="28" t="s">
        <v>614</v>
      </c>
      <c r="F264" s="28" t="s">
        <v>602</v>
      </c>
      <c r="G264" s="29">
        <v>81</v>
      </c>
      <c r="H264" s="29">
        <v>2</v>
      </c>
      <c r="I264" s="29">
        <v>2</v>
      </c>
      <c r="J264" s="29">
        <v>2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</row>
    <row r="265" spans="1:15" x14ac:dyDescent="0.3">
      <c r="A265" s="28" t="s">
        <v>575</v>
      </c>
      <c r="B265" s="28" t="s">
        <v>576</v>
      </c>
      <c r="C265" s="28" t="s">
        <v>559</v>
      </c>
      <c r="D265" s="28" t="s">
        <v>577</v>
      </c>
      <c r="E265" s="28" t="s">
        <v>614</v>
      </c>
      <c r="F265" s="28" t="s">
        <v>603</v>
      </c>
      <c r="G265" s="29">
        <v>470</v>
      </c>
      <c r="H265" s="29">
        <v>3</v>
      </c>
      <c r="I265" s="29">
        <v>0</v>
      </c>
      <c r="J265" s="29">
        <v>0</v>
      </c>
      <c r="K265" s="29">
        <v>0</v>
      </c>
      <c r="L265" s="29">
        <v>0</v>
      </c>
      <c r="M265" s="29">
        <v>0</v>
      </c>
      <c r="N265" s="29">
        <v>0</v>
      </c>
      <c r="O265" s="29">
        <v>0</v>
      </c>
    </row>
    <row r="266" spans="1:15" x14ac:dyDescent="0.3">
      <c r="A266" s="28" t="s">
        <v>575</v>
      </c>
      <c r="B266" s="28" t="s">
        <v>576</v>
      </c>
      <c r="C266" s="28" t="s">
        <v>559</v>
      </c>
      <c r="D266" s="28" t="s">
        <v>577</v>
      </c>
      <c r="E266" s="28" t="s">
        <v>614</v>
      </c>
      <c r="F266" s="28" t="s">
        <v>604</v>
      </c>
      <c r="G266" s="29">
        <v>938</v>
      </c>
      <c r="H266" s="29">
        <v>3</v>
      </c>
      <c r="I266" s="29">
        <v>1</v>
      </c>
      <c r="J266" s="29">
        <v>0</v>
      </c>
      <c r="K266" s="29">
        <v>1</v>
      </c>
      <c r="L266" s="29">
        <v>0</v>
      </c>
      <c r="M266" s="29">
        <v>0</v>
      </c>
      <c r="N266" s="29">
        <v>0</v>
      </c>
      <c r="O266" s="29">
        <v>0</v>
      </c>
    </row>
    <row r="267" spans="1:15" x14ac:dyDescent="0.3">
      <c r="A267" s="28" t="s">
        <v>575</v>
      </c>
      <c r="B267" s="28" t="s">
        <v>576</v>
      </c>
      <c r="C267" s="28" t="s">
        <v>559</v>
      </c>
      <c r="D267" s="28" t="s">
        <v>577</v>
      </c>
      <c r="E267" s="28" t="s">
        <v>614</v>
      </c>
      <c r="F267" s="28" t="s">
        <v>581</v>
      </c>
      <c r="G267" s="29">
        <v>224</v>
      </c>
      <c r="H267" s="29">
        <v>3</v>
      </c>
      <c r="I267" s="29">
        <v>3</v>
      </c>
      <c r="J267" s="29">
        <v>3</v>
      </c>
      <c r="K267" s="29">
        <v>0</v>
      </c>
      <c r="L267" s="29">
        <v>0</v>
      </c>
      <c r="M267" s="29">
        <v>0</v>
      </c>
      <c r="N267" s="29">
        <v>0</v>
      </c>
      <c r="O267" s="29">
        <v>0</v>
      </c>
    </row>
    <row r="268" spans="1:15" x14ac:dyDescent="0.3">
      <c r="A268" s="28" t="s">
        <v>575</v>
      </c>
      <c r="B268" s="28" t="s">
        <v>576</v>
      </c>
      <c r="C268" s="28" t="s">
        <v>559</v>
      </c>
      <c r="D268" s="28" t="s">
        <v>577</v>
      </c>
      <c r="E268" s="28" t="s">
        <v>614</v>
      </c>
      <c r="F268" s="28" t="s">
        <v>582</v>
      </c>
      <c r="G268" s="29">
        <v>211</v>
      </c>
      <c r="H268" s="29">
        <v>0</v>
      </c>
      <c r="I268" s="29">
        <v>1</v>
      </c>
      <c r="J268" s="29">
        <v>0</v>
      </c>
      <c r="K268" s="29">
        <v>1</v>
      </c>
      <c r="L268" s="29">
        <v>0</v>
      </c>
      <c r="M268" s="29">
        <v>0</v>
      </c>
      <c r="N268" s="29">
        <v>0</v>
      </c>
      <c r="O268" s="29">
        <v>0</v>
      </c>
    </row>
    <row r="269" spans="1:15" x14ac:dyDescent="0.3">
      <c r="A269" s="28" t="s">
        <v>575</v>
      </c>
      <c r="B269" s="28" t="s">
        <v>576</v>
      </c>
      <c r="C269" s="28" t="s">
        <v>559</v>
      </c>
      <c r="D269" s="28" t="s">
        <v>577</v>
      </c>
      <c r="E269" s="28" t="s">
        <v>614</v>
      </c>
      <c r="F269" s="28" t="s">
        <v>583</v>
      </c>
      <c r="G269" s="29">
        <v>200</v>
      </c>
      <c r="H269" s="29">
        <v>0</v>
      </c>
      <c r="I269" s="29">
        <v>0</v>
      </c>
      <c r="J269" s="29">
        <v>0</v>
      </c>
      <c r="K269" s="29">
        <v>0</v>
      </c>
      <c r="L269" s="29">
        <v>0</v>
      </c>
      <c r="M269" s="29">
        <v>0</v>
      </c>
      <c r="N269" s="29">
        <v>0</v>
      </c>
      <c r="O269" s="29">
        <v>0</v>
      </c>
    </row>
    <row r="270" spans="1:15" x14ac:dyDescent="0.3">
      <c r="A270" s="28" t="s">
        <v>575</v>
      </c>
      <c r="B270" s="28" t="s">
        <v>576</v>
      </c>
      <c r="C270" s="28" t="s">
        <v>559</v>
      </c>
      <c r="D270" s="28" t="s">
        <v>577</v>
      </c>
      <c r="E270" s="28" t="s">
        <v>614</v>
      </c>
      <c r="F270" s="28" t="s">
        <v>584</v>
      </c>
      <c r="G270" s="29">
        <v>204</v>
      </c>
      <c r="H270" s="29">
        <v>0</v>
      </c>
      <c r="I270" s="29">
        <v>1</v>
      </c>
      <c r="J270" s="29">
        <v>0</v>
      </c>
      <c r="K270" s="29">
        <v>1</v>
      </c>
      <c r="L270" s="29">
        <v>0</v>
      </c>
      <c r="M270" s="29">
        <v>0</v>
      </c>
      <c r="N270" s="29">
        <v>0</v>
      </c>
      <c r="O270" s="29">
        <v>0</v>
      </c>
    </row>
    <row r="271" spans="1:15" x14ac:dyDescent="0.3">
      <c r="A271" s="28" t="s">
        <v>575</v>
      </c>
      <c r="B271" s="28" t="s">
        <v>576</v>
      </c>
      <c r="C271" s="28" t="s">
        <v>559</v>
      </c>
      <c r="D271" s="28" t="s">
        <v>577</v>
      </c>
      <c r="E271" s="28" t="s">
        <v>614</v>
      </c>
      <c r="F271" s="28" t="s">
        <v>585</v>
      </c>
      <c r="G271" s="29">
        <v>199</v>
      </c>
      <c r="H271" s="29">
        <v>3</v>
      </c>
      <c r="I271" s="29">
        <v>3</v>
      </c>
      <c r="J271" s="29">
        <v>2</v>
      </c>
      <c r="K271" s="29">
        <v>1</v>
      </c>
      <c r="L271" s="29">
        <v>0</v>
      </c>
      <c r="M271" s="29">
        <v>0</v>
      </c>
      <c r="N271" s="29">
        <v>0</v>
      </c>
      <c r="O271" s="29">
        <v>0</v>
      </c>
    </row>
    <row r="272" spans="1:15" x14ac:dyDescent="0.3">
      <c r="A272" s="28" t="s">
        <v>575</v>
      </c>
      <c r="B272" s="28" t="s">
        <v>576</v>
      </c>
      <c r="C272" s="28" t="s">
        <v>559</v>
      </c>
      <c r="D272" s="28" t="s">
        <v>577</v>
      </c>
      <c r="E272" s="28" t="s">
        <v>614</v>
      </c>
      <c r="F272" s="28" t="s">
        <v>586</v>
      </c>
      <c r="G272" s="29">
        <v>218</v>
      </c>
      <c r="H272" s="29">
        <v>3</v>
      </c>
      <c r="I272" s="29">
        <v>2</v>
      </c>
      <c r="J272" s="29">
        <v>2</v>
      </c>
      <c r="K272" s="29">
        <v>0</v>
      </c>
      <c r="L272" s="29">
        <v>0</v>
      </c>
      <c r="M272" s="29">
        <v>0</v>
      </c>
      <c r="N272" s="29">
        <v>0</v>
      </c>
      <c r="O272" s="29">
        <v>0</v>
      </c>
    </row>
    <row r="273" spans="1:15" x14ac:dyDescent="0.3">
      <c r="A273" s="28" t="s">
        <v>575</v>
      </c>
      <c r="B273" s="28" t="s">
        <v>576</v>
      </c>
      <c r="C273" s="28" t="s">
        <v>559</v>
      </c>
      <c r="D273" s="28" t="s">
        <v>577</v>
      </c>
      <c r="E273" s="28" t="s">
        <v>614</v>
      </c>
      <c r="F273" s="28" t="s">
        <v>587</v>
      </c>
      <c r="G273" s="29">
        <v>221</v>
      </c>
      <c r="H273" s="29">
        <v>2</v>
      </c>
      <c r="I273" s="29">
        <v>0</v>
      </c>
      <c r="J273" s="29">
        <v>0</v>
      </c>
      <c r="K273" s="29">
        <v>0</v>
      </c>
      <c r="L273" s="29">
        <v>0</v>
      </c>
      <c r="M273" s="29">
        <v>0</v>
      </c>
      <c r="N273" s="29">
        <v>0</v>
      </c>
      <c r="O273" s="29">
        <v>0</v>
      </c>
    </row>
    <row r="274" spans="1:15" x14ac:dyDescent="0.3">
      <c r="A274" s="28" t="s">
        <v>575</v>
      </c>
      <c r="B274" s="28" t="s">
        <v>576</v>
      </c>
      <c r="C274" s="28" t="s">
        <v>559</v>
      </c>
      <c r="D274" s="28" t="s">
        <v>577</v>
      </c>
      <c r="E274" s="28" t="s">
        <v>614</v>
      </c>
      <c r="F274" s="28" t="s">
        <v>579</v>
      </c>
      <c r="G274" s="29">
        <v>190</v>
      </c>
      <c r="H274" s="29">
        <v>1</v>
      </c>
      <c r="I274" s="29">
        <v>1</v>
      </c>
      <c r="J274" s="29">
        <v>1</v>
      </c>
      <c r="K274" s="29">
        <v>0</v>
      </c>
      <c r="L274" s="29">
        <v>0</v>
      </c>
      <c r="M274" s="29">
        <v>0</v>
      </c>
      <c r="N274" s="29">
        <v>0</v>
      </c>
      <c r="O274" s="29">
        <v>0</v>
      </c>
    </row>
    <row r="275" spans="1:15" x14ac:dyDescent="0.3">
      <c r="A275" s="28" t="s">
        <v>575</v>
      </c>
      <c r="B275" s="28" t="s">
        <v>576</v>
      </c>
      <c r="C275" s="28" t="s">
        <v>559</v>
      </c>
      <c r="D275" s="28" t="s">
        <v>577</v>
      </c>
      <c r="E275" s="28" t="s">
        <v>614</v>
      </c>
      <c r="F275" s="28" t="s">
        <v>588</v>
      </c>
      <c r="G275" s="29">
        <v>226</v>
      </c>
      <c r="H275" s="29">
        <v>0</v>
      </c>
      <c r="I275" s="29">
        <v>0</v>
      </c>
      <c r="J275" s="29">
        <v>0</v>
      </c>
      <c r="K275" s="29">
        <v>0</v>
      </c>
      <c r="L275" s="29">
        <v>0</v>
      </c>
      <c r="M275" s="29">
        <v>0</v>
      </c>
      <c r="N275" s="29">
        <v>0</v>
      </c>
      <c r="O275" s="29">
        <v>0</v>
      </c>
    </row>
    <row r="276" spans="1:15" x14ac:dyDescent="0.3">
      <c r="A276" s="28" t="s">
        <v>575</v>
      </c>
      <c r="B276" s="28" t="s">
        <v>576</v>
      </c>
      <c r="C276" s="28" t="s">
        <v>559</v>
      </c>
      <c r="D276" s="28" t="s">
        <v>577</v>
      </c>
      <c r="E276" s="28" t="s">
        <v>614</v>
      </c>
      <c r="F276" s="28" t="s">
        <v>589</v>
      </c>
      <c r="G276" s="29">
        <v>211</v>
      </c>
      <c r="H276" s="29">
        <v>2</v>
      </c>
      <c r="I276" s="29">
        <v>0</v>
      </c>
      <c r="J276" s="29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0</v>
      </c>
    </row>
    <row r="277" spans="1:15" x14ac:dyDescent="0.3">
      <c r="A277" s="28" t="s">
        <v>575</v>
      </c>
      <c r="B277" s="28" t="s">
        <v>576</v>
      </c>
      <c r="C277" s="28" t="s">
        <v>559</v>
      </c>
      <c r="D277" s="28" t="s">
        <v>577</v>
      </c>
      <c r="E277" s="28" t="s">
        <v>614</v>
      </c>
      <c r="F277" s="28" t="s">
        <v>590</v>
      </c>
      <c r="G277" s="29">
        <v>207</v>
      </c>
      <c r="H277" s="29">
        <v>4</v>
      </c>
      <c r="I277" s="29">
        <v>1</v>
      </c>
      <c r="J277" s="29">
        <v>1</v>
      </c>
      <c r="K277" s="29">
        <v>0</v>
      </c>
      <c r="L277" s="29">
        <v>0</v>
      </c>
      <c r="M277" s="29">
        <v>0</v>
      </c>
      <c r="N277" s="29">
        <v>0</v>
      </c>
      <c r="O277" s="29">
        <v>0</v>
      </c>
    </row>
    <row r="278" spans="1:15" x14ac:dyDescent="0.3">
      <c r="A278" s="28" t="s">
        <v>575</v>
      </c>
      <c r="B278" s="28" t="s">
        <v>576</v>
      </c>
      <c r="C278" s="28" t="s">
        <v>559</v>
      </c>
      <c r="D278" s="28" t="s">
        <v>577</v>
      </c>
      <c r="E278" s="28" t="s">
        <v>614</v>
      </c>
      <c r="F278" s="28" t="s">
        <v>591</v>
      </c>
      <c r="G278" s="29">
        <v>211</v>
      </c>
      <c r="H278" s="29">
        <v>3</v>
      </c>
      <c r="I278" s="29">
        <v>2</v>
      </c>
      <c r="J278" s="29">
        <v>2</v>
      </c>
      <c r="K278" s="29">
        <v>0</v>
      </c>
      <c r="L278" s="29">
        <v>0</v>
      </c>
      <c r="M278" s="29">
        <v>0</v>
      </c>
      <c r="N278" s="29">
        <v>0</v>
      </c>
      <c r="O278" s="29">
        <v>0</v>
      </c>
    </row>
    <row r="279" spans="1:15" x14ac:dyDescent="0.3">
      <c r="A279" s="28" t="s">
        <v>575</v>
      </c>
      <c r="B279" s="28" t="s">
        <v>576</v>
      </c>
      <c r="C279" s="28" t="s">
        <v>559</v>
      </c>
      <c r="D279" s="28" t="s">
        <v>577</v>
      </c>
      <c r="E279" s="28" t="s">
        <v>614</v>
      </c>
      <c r="F279" s="28" t="s">
        <v>592</v>
      </c>
      <c r="G279" s="29">
        <v>213</v>
      </c>
      <c r="H279" s="29">
        <v>3</v>
      </c>
      <c r="I279" s="29">
        <v>0</v>
      </c>
      <c r="J279" s="29">
        <v>0</v>
      </c>
      <c r="K279" s="29">
        <v>0</v>
      </c>
      <c r="L279" s="29">
        <v>0</v>
      </c>
      <c r="M279" s="29">
        <v>0</v>
      </c>
      <c r="N279" s="29">
        <v>0</v>
      </c>
      <c r="O279" s="29">
        <v>0</v>
      </c>
    </row>
    <row r="280" spans="1:15" x14ac:dyDescent="0.3">
      <c r="A280" s="28" t="s">
        <v>575</v>
      </c>
      <c r="B280" s="28" t="s">
        <v>576</v>
      </c>
      <c r="C280" s="28" t="s">
        <v>559</v>
      </c>
      <c r="D280" s="28" t="s">
        <v>577</v>
      </c>
      <c r="E280" s="28" t="s">
        <v>614</v>
      </c>
      <c r="F280" s="28" t="s">
        <v>593</v>
      </c>
      <c r="G280" s="29">
        <v>184</v>
      </c>
      <c r="H280" s="29">
        <v>2</v>
      </c>
      <c r="I280" s="29">
        <v>3</v>
      </c>
      <c r="J280" s="29">
        <v>0</v>
      </c>
      <c r="K280" s="29">
        <v>3</v>
      </c>
      <c r="L280" s="29">
        <v>0</v>
      </c>
      <c r="M280" s="29">
        <v>0</v>
      </c>
      <c r="N280" s="29">
        <v>0</v>
      </c>
      <c r="O280" s="29">
        <v>0</v>
      </c>
    </row>
    <row r="281" spans="1:15" x14ac:dyDescent="0.3">
      <c r="A281" s="28" t="s">
        <v>575</v>
      </c>
      <c r="B281" s="28" t="s">
        <v>576</v>
      </c>
      <c r="C281" s="28" t="s">
        <v>559</v>
      </c>
      <c r="D281" s="28" t="s">
        <v>577</v>
      </c>
      <c r="E281" s="28" t="s">
        <v>614</v>
      </c>
      <c r="F281" s="28" t="s">
        <v>594</v>
      </c>
      <c r="G281" s="29">
        <v>154</v>
      </c>
      <c r="H281" s="29">
        <v>1</v>
      </c>
      <c r="I281" s="29">
        <v>0</v>
      </c>
      <c r="J281" s="29">
        <v>0</v>
      </c>
      <c r="K281" s="29">
        <v>0</v>
      </c>
      <c r="L281" s="29">
        <v>0</v>
      </c>
      <c r="M281" s="29">
        <v>0</v>
      </c>
      <c r="N281" s="29">
        <v>0</v>
      </c>
      <c r="O281" s="29">
        <v>0</v>
      </c>
    </row>
    <row r="282" spans="1:15" x14ac:dyDescent="0.3">
      <c r="A282" s="28" t="s">
        <v>575</v>
      </c>
      <c r="B282" s="28" t="s">
        <v>576</v>
      </c>
      <c r="C282" s="28" t="s">
        <v>559</v>
      </c>
      <c r="D282" s="28" t="s">
        <v>577</v>
      </c>
      <c r="E282" s="28" t="s">
        <v>614</v>
      </c>
      <c r="F282" s="28" t="s">
        <v>595</v>
      </c>
      <c r="G282" s="29">
        <v>128</v>
      </c>
      <c r="H282" s="29">
        <v>4</v>
      </c>
      <c r="I282" s="29">
        <v>1</v>
      </c>
      <c r="J282" s="29">
        <v>1</v>
      </c>
      <c r="K282" s="29">
        <v>0</v>
      </c>
      <c r="L282" s="29">
        <v>0</v>
      </c>
      <c r="M282" s="29">
        <v>0</v>
      </c>
      <c r="N282" s="29">
        <v>0</v>
      </c>
      <c r="O282" s="29">
        <v>0</v>
      </c>
    </row>
    <row r="283" spans="1:15" x14ac:dyDescent="0.3">
      <c r="A283" s="28" t="s">
        <v>575</v>
      </c>
      <c r="B283" s="28" t="s">
        <v>576</v>
      </c>
      <c r="C283" s="28" t="s">
        <v>559</v>
      </c>
      <c r="D283" s="28" t="s">
        <v>577</v>
      </c>
      <c r="E283" s="28" t="s">
        <v>615</v>
      </c>
      <c r="F283" s="28" t="s">
        <v>597</v>
      </c>
      <c r="G283" s="29">
        <v>128</v>
      </c>
      <c r="H283" s="29">
        <v>1</v>
      </c>
      <c r="I283" s="29">
        <v>0</v>
      </c>
      <c r="J283" s="29">
        <v>0</v>
      </c>
      <c r="K283" s="29">
        <v>0</v>
      </c>
      <c r="L283" s="29">
        <v>0</v>
      </c>
      <c r="M283" s="29">
        <v>0</v>
      </c>
      <c r="N283" s="29">
        <v>0</v>
      </c>
      <c r="O283" s="29">
        <v>0</v>
      </c>
    </row>
    <row r="284" spans="1:15" x14ac:dyDescent="0.3">
      <c r="A284" s="28" t="s">
        <v>575</v>
      </c>
      <c r="B284" s="28" t="s">
        <v>576</v>
      </c>
      <c r="C284" s="28" t="s">
        <v>559</v>
      </c>
      <c r="D284" s="28" t="s">
        <v>577</v>
      </c>
      <c r="E284" s="28" t="s">
        <v>615</v>
      </c>
      <c r="F284" s="28" t="s">
        <v>598</v>
      </c>
      <c r="G284" s="29">
        <v>98</v>
      </c>
      <c r="H284" s="29">
        <v>0</v>
      </c>
      <c r="I284" s="29">
        <v>0</v>
      </c>
      <c r="J284" s="29">
        <v>0</v>
      </c>
      <c r="K284" s="29">
        <v>0</v>
      </c>
      <c r="L284" s="29">
        <v>0</v>
      </c>
      <c r="M284" s="29">
        <v>0</v>
      </c>
      <c r="N284" s="29">
        <v>0</v>
      </c>
      <c r="O284" s="29">
        <v>0</v>
      </c>
    </row>
    <row r="285" spans="1:15" x14ac:dyDescent="0.3">
      <c r="A285" s="28" t="s">
        <v>575</v>
      </c>
      <c r="B285" s="28" t="s">
        <v>576</v>
      </c>
      <c r="C285" s="28" t="s">
        <v>559</v>
      </c>
      <c r="D285" s="28" t="s">
        <v>577</v>
      </c>
      <c r="E285" s="28" t="s">
        <v>615</v>
      </c>
      <c r="F285" s="28" t="s">
        <v>599</v>
      </c>
      <c r="G285" s="29">
        <v>52</v>
      </c>
      <c r="H285" s="29">
        <v>0</v>
      </c>
      <c r="I285" s="29">
        <v>0</v>
      </c>
      <c r="J285" s="29">
        <v>0</v>
      </c>
      <c r="K285" s="29">
        <v>0</v>
      </c>
      <c r="L285" s="29">
        <v>0</v>
      </c>
      <c r="M285" s="29">
        <v>0</v>
      </c>
      <c r="N285" s="29">
        <v>0</v>
      </c>
      <c r="O285" s="29">
        <v>0</v>
      </c>
    </row>
    <row r="286" spans="1:15" x14ac:dyDescent="0.3">
      <c r="A286" s="28" t="s">
        <v>575</v>
      </c>
      <c r="B286" s="28" t="s">
        <v>576</v>
      </c>
      <c r="C286" s="28" t="s">
        <v>559</v>
      </c>
      <c r="D286" s="28" t="s">
        <v>577</v>
      </c>
      <c r="E286" s="28" t="s">
        <v>615</v>
      </c>
      <c r="F286" s="28" t="s">
        <v>600</v>
      </c>
      <c r="G286" s="29">
        <v>52</v>
      </c>
      <c r="H286" s="29">
        <v>0</v>
      </c>
      <c r="I286" s="29">
        <v>0</v>
      </c>
      <c r="J286" s="29">
        <v>0</v>
      </c>
      <c r="K286" s="29">
        <v>0</v>
      </c>
      <c r="L286" s="29">
        <v>0</v>
      </c>
      <c r="M286" s="29">
        <v>0</v>
      </c>
      <c r="N286" s="29">
        <v>0</v>
      </c>
      <c r="O286" s="29">
        <v>0</v>
      </c>
    </row>
    <row r="287" spans="1:15" x14ac:dyDescent="0.3">
      <c r="A287" s="28" t="s">
        <v>575</v>
      </c>
      <c r="B287" s="28" t="s">
        <v>576</v>
      </c>
      <c r="C287" s="28" t="s">
        <v>559</v>
      </c>
      <c r="D287" s="28" t="s">
        <v>577</v>
      </c>
      <c r="E287" s="28" t="s">
        <v>615</v>
      </c>
      <c r="F287" s="28" t="s">
        <v>601</v>
      </c>
      <c r="G287" s="29">
        <v>42</v>
      </c>
      <c r="H287" s="29">
        <v>0</v>
      </c>
      <c r="I287" s="29">
        <v>0</v>
      </c>
      <c r="J287" s="29">
        <v>0</v>
      </c>
      <c r="K287" s="29">
        <v>0</v>
      </c>
      <c r="L287" s="29">
        <v>0</v>
      </c>
      <c r="M287" s="29">
        <v>0</v>
      </c>
      <c r="N287" s="29">
        <v>0</v>
      </c>
      <c r="O287" s="29">
        <v>0</v>
      </c>
    </row>
    <row r="288" spans="1:15" x14ac:dyDescent="0.3">
      <c r="A288" s="28" t="s">
        <v>575</v>
      </c>
      <c r="B288" s="28" t="s">
        <v>576</v>
      </c>
      <c r="C288" s="28" t="s">
        <v>559</v>
      </c>
      <c r="D288" s="28" t="s">
        <v>577</v>
      </c>
      <c r="E288" s="28" t="s">
        <v>615</v>
      </c>
      <c r="F288" s="28" t="s">
        <v>602</v>
      </c>
      <c r="G288" s="29">
        <v>68</v>
      </c>
      <c r="H288" s="29">
        <v>0</v>
      </c>
      <c r="I288" s="29">
        <v>0</v>
      </c>
      <c r="J288" s="29">
        <v>0</v>
      </c>
      <c r="K288" s="29">
        <v>0</v>
      </c>
      <c r="L288" s="29">
        <v>0</v>
      </c>
      <c r="M288" s="29">
        <v>0</v>
      </c>
      <c r="N288" s="29">
        <v>0</v>
      </c>
      <c r="O288" s="29">
        <v>0</v>
      </c>
    </row>
    <row r="289" spans="1:15" x14ac:dyDescent="0.3">
      <c r="A289" s="28" t="s">
        <v>575</v>
      </c>
      <c r="B289" s="28" t="s">
        <v>576</v>
      </c>
      <c r="C289" s="28" t="s">
        <v>559</v>
      </c>
      <c r="D289" s="28" t="s">
        <v>577</v>
      </c>
      <c r="E289" s="28" t="s">
        <v>615</v>
      </c>
      <c r="F289" s="28" t="s">
        <v>603</v>
      </c>
      <c r="G289" s="29">
        <v>140</v>
      </c>
      <c r="H289" s="29">
        <v>0</v>
      </c>
      <c r="I289" s="29">
        <v>0</v>
      </c>
      <c r="J289" s="29">
        <v>0</v>
      </c>
      <c r="K289" s="29">
        <v>0</v>
      </c>
      <c r="L289" s="29">
        <v>0</v>
      </c>
      <c r="M289" s="29">
        <v>0</v>
      </c>
      <c r="N289" s="29">
        <v>0</v>
      </c>
      <c r="O289" s="29">
        <v>0</v>
      </c>
    </row>
    <row r="290" spans="1:15" x14ac:dyDescent="0.3">
      <c r="A290" s="28" t="s">
        <v>575</v>
      </c>
      <c r="B290" s="28" t="s">
        <v>576</v>
      </c>
      <c r="C290" s="28" t="s">
        <v>559</v>
      </c>
      <c r="D290" s="28" t="s">
        <v>577</v>
      </c>
      <c r="E290" s="28" t="s">
        <v>615</v>
      </c>
      <c r="F290" s="28" t="s">
        <v>604</v>
      </c>
      <c r="G290" s="29">
        <v>199</v>
      </c>
      <c r="H290" s="29">
        <v>2</v>
      </c>
      <c r="I290" s="29">
        <v>2</v>
      </c>
      <c r="J290" s="29">
        <v>2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</row>
    <row r="291" spans="1:15" x14ac:dyDescent="0.3">
      <c r="A291" s="28" t="s">
        <v>575</v>
      </c>
      <c r="B291" s="28" t="s">
        <v>576</v>
      </c>
      <c r="C291" s="28" t="s">
        <v>559</v>
      </c>
      <c r="D291" s="28" t="s">
        <v>577</v>
      </c>
      <c r="E291" s="28" t="s">
        <v>615</v>
      </c>
      <c r="F291" s="28" t="s">
        <v>581</v>
      </c>
      <c r="G291" s="29">
        <v>260</v>
      </c>
      <c r="H291" s="29">
        <v>1</v>
      </c>
      <c r="I291" s="29">
        <v>0</v>
      </c>
      <c r="J291" s="29">
        <v>0</v>
      </c>
      <c r="K291" s="29">
        <v>0</v>
      </c>
      <c r="L291" s="29">
        <v>0</v>
      </c>
      <c r="M291" s="29">
        <v>0</v>
      </c>
      <c r="N291" s="29">
        <v>0</v>
      </c>
      <c r="O291" s="29">
        <v>0</v>
      </c>
    </row>
    <row r="292" spans="1:15" x14ac:dyDescent="0.3">
      <c r="A292" s="28" t="s">
        <v>575</v>
      </c>
      <c r="B292" s="28" t="s">
        <v>576</v>
      </c>
      <c r="C292" s="28" t="s">
        <v>559</v>
      </c>
      <c r="D292" s="28" t="s">
        <v>577</v>
      </c>
      <c r="E292" s="28" t="s">
        <v>615</v>
      </c>
      <c r="F292" s="28" t="s">
        <v>582</v>
      </c>
      <c r="G292" s="29">
        <v>300</v>
      </c>
      <c r="H292" s="29">
        <v>2</v>
      </c>
      <c r="I292" s="29">
        <v>1</v>
      </c>
      <c r="J292" s="29">
        <v>1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</row>
    <row r="293" spans="1:15" x14ac:dyDescent="0.3">
      <c r="A293" s="28" t="s">
        <v>575</v>
      </c>
      <c r="B293" s="28" t="s">
        <v>576</v>
      </c>
      <c r="C293" s="28" t="s">
        <v>559</v>
      </c>
      <c r="D293" s="28" t="s">
        <v>577</v>
      </c>
      <c r="E293" s="28" t="s">
        <v>615</v>
      </c>
      <c r="F293" s="28" t="s">
        <v>583</v>
      </c>
      <c r="G293" s="29">
        <v>220</v>
      </c>
      <c r="H293" s="29">
        <v>4</v>
      </c>
      <c r="I293" s="29">
        <v>2</v>
      </c>
      <c r="J293" s="29">
        <v>2</v>
      </c>
      <c r="K293" s="29">
        <v>0</v>
      </c>
      <c r="L293" s="29">
        <v>0</v>
      </c>
      <c r="M293" s="29">
        <v>0</v>
      </c>
      <c r="N293" s="29">
        <v>0</v>
      </c>
      <c r="O293" s="29">
        <v>0</v>
      </c>
    </row>
    <row r="294" spans="1:15" x14ac:dyDescent="0.3">
      <c r="A294" s="28" t="s">
        <v>575</v>
      </c>
      <c r="B294" s="28" t="s">
        <v>576</v>
      </c>
      <c r="C294" s="28" t="s">
        <v>559</v>
      </c>
      <c r="D294" s="28" t="s">
        <v>577</v>
      </c>
      <c r="E294" s="28" t="s">
        <v>615</v>
      </c>
      <c r="F294" s="28" t="s">
        <v>584</v>
      </c>
      <c r="G294" s="29">
        <v>150</v>
      </c>
      <c r="H294" s="29">
        <v>0</v>
      </c>
      <c r="I294" s="29">
        <v>0</v>
      </c>
      <c r="J294" s="29">
        <v>0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</row>
    <row r="295" spans="1:15" x14ac:dyDescent="0.3">
      <c r="A295" s="28" t="s">
        <v>575</v>
      </c>
      <c r="B295" s="28" t="s">
        <v>576</v>
      </c>
      <c r="C295" s="28" t="s">
        <v>559</v>
      </c>
      <c r="D295" s="28" t="s">
        <v>577</v>
      </c>
      <c r="E295" s="28" t="s">
        <v>615</v>
      </c>
      <c r="F295" s="28" t="s">
        <v>585</v>
      </c>
      <c r="G295" s="29">
        <v>142</v>
      </c>
      <c r="H295" s="29">
        <v>0</v>
      </c>
      <c r="I295" s="29">
        <v>0</v>
      </c>
      <c r="J295" s="29">
        <v>0</v>
      </c>
      <c r="K295" s="29">
        <v>0</v>
      </c>
      <c r="L295" s="29">
        <v>0</v>
      </c>
      <c r="M295" s="29">
        <v>0</v>
      </c>
      <c r="N295" s="29">
        <v>0</v>
      </c>
      <c r="O295" s="29">
        <v>0</v>
      </c>
    </row>
    <row r="296" spans="1:15" x14ac:dyDescent="0.3">
      <c r="A296" s="28" t="s">
        <v>575</v>
      </c>
      <c r="B296" s="28" t="s">
        <v>576</v>
      </c>
      <c r="C296" s="28" t="s">
        <v>559</v>
      </c>
      <c r="D296" s="28" t="s">
        <v>577</v>
      </c>
      <c r="E296" s="28" t="s">
        <v>615</v>
      </c>
      <c r="F296" s="28" t="s">
        <v>586</v>
      </c>
      <c r="G296" s="29">
        <v>137</v>
      </c>
      <c r="H296" s="29">
        <v>0</v>
      </c>
      <c r="I296" s="29">
        <v>1</v>
      </c>
      <c r="J296" s="29">
        <v>1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</row>
    <row r="297" spans="1:15" x14ac:dyDescent="0.3">
      <c r="A297" s="28" t="s">
        <v>575</v>
      </c>
      <c r="B297" s="28" t="s">
        <v>576</v>
      </c>
      <c r="C297" s="28" t="s">
        <v>559</v>
      </c>
      <c r="D297" s="28" t="s">
        <v>577</v>
      </c>
      <c r="E297" s="28" t="s">
        <v>615</v>
      </c>
      <c r="F297" s="28" t="s">
        <v>587</v>
      </c>
      <c r="G297" s="29">
        <v>129</v>
      </c>
      <c r="H297" s="29">
        <v>0</v>
      </c>
      <c r="I297" s="29">
        <v>0</v>
      </c>
      <c r="J297" s="29">
        <v>0</v>
      </c>
      <c r="K297" s="29">
        <v>0</v>
      </c>
      <c r="L297" s="29">
        <v>0</v>
      </c>
      <c r="M297" s="29">
        <v>0</v>
      </c>
      <c r="N297" s="29">
        <v>0</v>
      </c>
      <c r="O297" s="29">
        <v>0</v>
      </c>
    </row>
    <row r="298" spans="1:15" x14ac:dyDescent="0.3">
      <c r="A298" s="28" t="s">
        <v>575</v>
      </c>
      <c r="B298" s="28" t="s">
        <v>576</v>
      </c>
      <c r="C298" s="28" t="s">
        <v>559</v>
      </c>
      <c r="D298" s="28" t="s">
        <v>577</v>
      </c>
      <c r="E298" s="28" t="s">
        <v>615</v>
      </c>
      <c r="F298" s="28" t="s">
        <v>579</v>
      </c>
      <c r="G298" s="29">
        <v>149</v>
      </c>
      <c r="H298" s="29">
        <v>1</v>
      </c>
      <c r="I298" s="29">
        <v>0</v>
      </c>
      <c r="J298" s="29">
        <v>0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</row>
    <row r="299" spans="1:15" x14ac:dyDescent="0.3">
      <c r="A299" s="28" t="s">
        <v>575</v>
      </c>
      <c r="B299" s="28" t="s">
        <v>576</v>
      </c>
      <c r="C299" s="28" t="s">
        <v>559</v>
      </c>
      <c r="D299" s="28" t="s">
        <v>577</v>
      </c>
      <c r="E299" s="28" t="s">
        <v>615</v>
      </c>
      <c r="F299" s="28" t="s">
        <v>588</v>
      </c>
      <c r="G299" s="29">
        <v>129</v>
      </c>
      <c r="H299" s="29">
        <v>2</v>
      </c>
      <c r="I299" s="29">
        <v>0</v>
      </c>
      <c r="J299" s="29">
        <v>0</v>
      </c>
      <c r="K299" s="29">
        <v>0</v>
      </c>
      <c r="L299" s="29">
        <v>0</v>
      </c>
      <c r="M299" s="29">
        <v>0</v>
      </c>
      <c r="N299" s="29">
        <v>0</v>
      </c>
      <c r="O299" s="29">
        <v>0</v>
      </c>
    </row>
    <row r="300" spans="1:15" x14ac:dyDescent="0.3">
      <c r="A300" s="28" t="s">
        <v>575</v>
      </c>
      <c r="B300" s="28" t="s">
        <v>576</v>
      </c>
      <c r="C300" s="28" t="s">
        <v>559</v>
      </c>
      <c r="D300" s="28" t="s">
        <v>577</v>
      </c>
      <c r="E300" s="28" t="s">
        <v>615</v>
      </c>
      <c r="F300" s="28" t="s">
        <v>589</v>
      </c>
      <c r="G300" s="29">
        <v>125</v>
      </c>
      <c r="H300" s="29">
        <v>0</v>
      </c>
      <c r="I300" s="29">
        <v>3</v>
      </c>
      <c r="J300" s="29">
        <v>0</v>
      </c>
      <c r="K300" s="29">
        <v>3</v>
      </c>
      <c r="L300" s="29">
        <v>0</v>
      </c>
      <c r="M300" s="29">
        <v>0</v>
      </c>
      <c r="N300" s="29">
        <v>0</v>
      </c>
      <c r="O300" s="29">
        <v>0</v>
      </c>
    </row>
    <row r="301" spans="1:15" x14ac:dyDescent="0.3">
      <c r="A301" s="28" t="s">
        <v>575</v>
      </c>
      <c r="B301" s="28" t="s">
        <v>576</v>
      </c>
      <c r="C301" s="28" t="s">
        <v>559</v>
      </c>
      <c r="D301" s="28" t="s">
        <v>577</v>
      </c>
      <c r="E301" s="28" t="s">
        <v>615</v>
      </c>
      <c r="F301" s="28" t="s">
        <v>590</v>
      </c>
      <c r="G301" s="29">
        <v>169</v>
      </c>
      <c r="H301" s="29">
        <v>3</v>
      </c>
      <c r="I301" s="29">
        <v>1</v>
      </c>
      <c r="J301" s="29">
        <v>0</v>
      </c>
      <c r="K301" s="29">
        <v>1</v>
      </c>
      <c r="L301" s="29">
        <v>0</v>
      </c>
      <c r="M301" s="29">
        <v>0</v>
      </c>
      <c r="N301" s="29">
        <v>0</v>
      </c>
      <c r="O301" s="29">
        <v>0</v>
      </c>
    </row>
    <row r="302" spans="1:15" x14ac:dyDescent="0.3">
      <c r="A302" s="28" t="s">
        <v>575</v>
      </c>
      <c r="B302" s="28" t="s">
        <v>576</v>
      </c>
      <c r="C302" s="28" t="s">
        <v>559</v>
      </c>
      <c r="D302" s="28" t="s">
        <v>577</v>
      </c>
      <c r="E302" s="28" t="s">
        <v>615</v>
      </c>
      <c r="F302" s="28" t="s">
        <v>591</v>
      </c>
      <c r="G302" s="29">
        <v>103</v>
      </c>
      <c r="H302" s="29">
        <v>1</v>
      </c>
      <c r="I302" s="29">
        <v>1</v>
      </c>
      <c r="J302" s="29">
        <v>0</v>
      </c>
      <c r="K302" s="29">
        <v>1</v>
      </c>
      <c r="L302" s="29">
        <v>0</v>
      </c>
      <c r="M302" s="29">
        <v>0</v>
      </c>
      <c r="N302" s="29">
        <v>0</v>
      </c>
      <c r="O302" s="29">
        <v>0</v>
      </c>
    </row>
    <row r="303" spans="1:15" x14ac:dyDescent="0.3">
      <c r="A303" s="28" t="s">
        <v>575</v>
      </c>
      <c r="B303" s="28" t="s">
        <v>576</v>
      </c>
      <c r="C303" s="28" t="s">
        <v>559</v>
      </c>
      <c r="D303" s="28" t="s">
        <v>577</v>
      </c>
      <c r="E303" s="28" t="s">
        <v>615</v>
      </c>
      <c r="F303" s="28" t="s">
        <v>592</v>
      </c>
      <c r="G303" s="29">
        <v>157</v>
      </c>
      <c r="H303" s="29">
        <v>3</v>
      </c>
      <c r="I303" s="29">
        <v>0</v>
      </c>
      <c r="J303" s="29">
        <v>0</v>
      </c>
      <c r="K303" s="29">
        <v>0</v>
      </c>
      <c r="L303" s="29">
        <v>0</v>
      </c>
      <c r="M303" s="29">
        <v>0</v>
      </c>
      <c r="N303" s="29">
        <v>0</v>
      </c>
      <c r="O303" s="29">
        <v>0</v>
      </c>
    </row>
    <row r="304" spans="1:15" x14ac:dyDescent="0.3">
      <c r="A304" s="28" t="s">
        <v>575</v>
      </c>
      <c r="B304" s="28" t="s">
        <v>576</v>
      </c>
      <c r="C304" s="28" t="s">
        <v>559</v>
      </c>
      <c r="D304" s="28" t="s">
        <v>577</v>
      </c>
      <c r="E304" s="28" t="s">
        <v>615</v>
      </c>
      <c r="F304" s="28" t="s">
        <v>593</v>
      </c>
      <c r="G304" s="29">
        <v>119</v>
      </c>
      <c r="H304" s="29">
        <v>0</v>
      </c>
      <c r="I304" s="29">
        <v>0</v>
      </c>
      <c r="J304" s="29">
        <v>0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</row>
    <row r="305" spans="1:15" x14ac:dyDescent="0.3">
      <c r="A305" s="28" t="s">
        <v>575</v>
      </c>
      <c r="B305" s="28" t="s">
        <v>576</v>
      </c>
      <c r="C305" s="28" t="s">
        <v>559</v>
      </c>
      <c r="D305" s="28" t="s">
        <v>577</v>
      </c>
      <c r="E305" s="28" t="s">
        <v>615</v>
      </c>
      <c r="F305" s="28" t="s">
        <v>594</v>
      </c>
      <c r="G305" s="29">
        <v>163</v>
      </c>
      <c r="H305" s="29">
        <v>4</v>
      </c>
      <c r="I305" s="29">
        <v>1</v>
      </c>
      <c r="J305" s="29">
        <v>1</v>
      </c>
      <c r="K305" s="29">
        <v>0</v>
      </c>
      <c r="L305" s="29">
        <v>0</v>
      </c>
      <c r="M305" s="29">
        <v>0</v>
      </c>
      <c r="N305" s="29">
        <v>0</v>
      </c>
      <c r="O305" s="29">
        <v>0</v>
      </c>
    </row>
    <row r="306" spans="1:15" x14ac:dyDescent="0.3">
      <c r="A306" s="28" t="s">
        <v>575</v>
      </c>
      <c r="B306" s="28" t="s">
        <v>576</v>
      </c>
      <c r="C306" s="28" t="s">
        <v>559</v>
      </c>
      <c r="D306" s="28" t="s">
        <v>577</v>
      </c>
      <c r="E306" s="28" t="s">
        <v>615</v>
      </c>
      <c r="F306" s="28" t="s">
        <v>595</v>
      </c>
      <c r="G306" s="29">
        <v>168</v>
      </c>
      <c r="H306" s="29">
        <v>0</v>
      </c>
      <c r="I306" s="29">
        <v>1</v>
      </c>
      <c r="J306" s="29">
        <v>1</v>
      </c>
      <c r="K306" s="29">
        <v>0</v>
      </c>
      <c r="L306" s="29">
        <v>0</v>
      </c>
      <c r="M306" s="29">
        <v>0</v>
      </c>
      <c r="N306" s="29">
        <v>0</v>
      </c>
      <c r="O306" s="29">
        <v>0</v>
      </c>
    </row>
    <row r="307" spans="1:15" x14ac:dyDescent="0.3">
      <c r="A307" s="28" t="s">
        <v>575</v>
      </c>
      <c r="B307" s="28" t="s">
        <v>576</v>
      </c>
      <c r="C307" s="28" t="s">
        <v>559</v>
      </c>
      <c r="D307" s="28" t="s">
        <v>577</v>
      </c>
      <c r="E307" s="28" t="s">
        <v>616</v>
      </c>
      <c r="F307" s="28" t="s">
        <v>597</v>
      </c>
      <c r="G307" s="29">
        <v>121</v>
      </c>
      <c r="H307" s="29">
        <v>1</v>
      </c>
      <c r="I307" s="29">
        <v>2</v>
      </c>
      <c r="J307" s="29">
        <v>0</v>
      </c>
      <c r="K307" s="29">
        <v>2</v>
      </c>
      <c r="L307" s="29">
        <v>500</v>
      </c>
      <c r="M307" s="29">
        <v>0</v>
      </c>
      <c r="N307" s="29">
        <v>500</v>
      </c>
      <c r="O307" s="29">
        <v>0</v>
      </c>
    </row>
    <row r="308" spans="1:15" x14ac:dyDescent="0.3">
      <c r="A308" s="28" t="s">
        <v>575</v>
      </c>
      <c r="B308" s="28" t="s">
        <v>576</v>
      </c>
      <c r="C308" s="28" t="s">
        <v>559</v>
      </c>
      <c r="D308" s="28" t="s">
        <v>577</v>
      </c>
      <c r="E308" s="28" t="s">
        <v>616</v>
      </c>
      <c r="F308" s="28" t="s">
        <v>598</v>
      </c>
      <c r="G308" s="29">
        <v>84</v>
      </c>
      <c r="H308" s="29">
        <v>1</v>
      </c>
      <c r="I308" s="29">
        <v>1</v>
      </c>
      <c r="J308" s="29">
        <v>1</v>
      </c>
      <c r="K308" s="29">
        <v>0</v>
      </c>
      <c r="L308" s="29">
        <v>0</v>
      </c>
      <c r="M308" s="29">
        <v>0</v>
      </c>
      <c r="N308" s="29">
        <v>0</v>
      </c>
      <c r="O308" s="29">
        <v>0</v>
      </c>
    </row>
    <row r="309" spans="1:15" x14ac:dyDescent="0.3">
      <c r="A309" s="28" t="s">
        <v>575</v>
      </c>
      <c r="B309" s="28" t="s">
        <v>576</v>
      </c>
      <c r="C309" s="28" t="s">
        <v>559</v>
      </c>
      <c r="D309" s="28" t="s">
        <v>577</v>
      </c>
      <c r="E309" s="28" t="s">
        <v>616</v>
      </c>
      <c r="F309" s="28" t="s">
        <v>599</v>
      </c>
      <c r="G309" s="29">
        <v>63</v>
      </c>
      <c r="H309" s="29">
        <v>0</v>
      </c>
      <c r="I309" s="29">
        <v>0</v>
      </c>
      <c r="J309" s="29">
        <v>0</v>
      </c>
      <c r="K309" s="29">
        <v>0</v>
      </c>
      <c r="L309" s="29">
        <v>0</v>
      </c>
      <c r="M309" s="29">
        <v>0</v>
      </c>
      <c r="N309" s="29">
        <v>0</v>
      </c>
      <c r="O309" s="29">
        <v>0</v>
      </c>
    </row>
    <row r="310" spans="1:15" x14ac:dyDescent="0.3">
      <c r="A310" s="28" t="s">
        <v>575</v>
      </c>
      <c r="B310" s="28" t="s">
        <v>576</v>
      </c>
      <c r="C310" s="28" t="s">
        <v>559</v>
      </c>
      <c r="D310" s="28" t="s">
        <v>577</v>
      </c>
      <c r="E310" s="28" t="s">
        <v>616</v>
      </c>
      <c r="F310" s="28" t="s">
        <v>600</v>
      </c>
      <c r="G310" s="29">
        <v>53</v>
      </c>
      <c r="H310" s="29">
        <v>0</v>
      </c>
      <c r="I310" s="29">
        <v>0</v>
      </c>
      <c r="J310" s="29">
        <v>0</v>
      </c>
      <c r="K310" s="29">
        <v>0</v>
      </c>
      <c r="L310" s="29">
        <v>0</v>
      </c>
      <c r="M310" s="29">
        <v>0</v>
      </c>
      <c r="N310" s="29">
        <v>0</v>
      </c>
      <c r="O310" s="29">
        <v>0</v>
      </c>
    </row>
    <row r="311" spans="1:15" x14ac:dyDescent="0.3">
      <c r="A311" s="28" t="s">
        <v>575</v>
      </c>
      <c r="B311" s="28" t="s">
        <v>576</v>
      </c>
      <c r="C311" s="28" t="s">
        <v>559</v>
      </c>
      <c r="D311" s="28" t="s">
        <v>577</v>
      </c>
      <c r="E311" s="28" t="s">
        <v>616</v>
      </c>
      <c r="F311" s="28" t="s">
        <v>601</v>
      </c>
      <c r="G311" s="29">
        <v>62</v>
      </c>
      <c r="H311" s="29">
        <v>1</v>
      </c>
      <c r="I311" s="29">
        <v>0</v>
      </c>
      <c r="J311" s="29">
        <v>0</v>
      </c>
      <c r="K311" s="29">
        <v>0</v>
      </c>
      <c r="L311" s="29">
        <v>0</v>
      </c>
      <c r="M311" s="29">
        <v>0</v>
      </c>
      <c r="N311" s="29">
        <v>0</v>
      </c>
      <c r="O311" s="29">
        <v>0</v>
      </c>
    </row>
    <row r="312" spans="1:15" x14ac:dyDescent="0.3">
      <c r="A312" s="28" t="s">
        <v>575</v>
      </c>
      <c r="B312" s="28" t="s">
        <v>576</v>
      </c>
      <c r="C312" s="28" t="s">
        <v>559</v>
      </c>
      <c r="D312" s="28" t="s">
        <v>577</v>
      </c>
      <c r="E312" s="28" t="s">
        <v>616</v>
      </c>
      <c r="F312" s="28" t="s">
        <v>602</v>
      </c>
      <c r="G312" s="29">
        <v>71</v>
      </c>
      <c r="H312" s="29">
        <v>0</v>
      </c>
      <c r="I312" s="29">
        <v>0</v>
      </c>
      <c r="J312" s="29">
        <v>0</v>
      </c>
      <c r="K312" s="29">
        <v>0</v>
      </c>
      <c r="L312" s="29">
        <v>0</v>
      </c>
      <c r="M312" s="29">
        <v>0</v>
      </c>
      <c r="N312" s="29">
        <v>0</v>
      </c>
      <c r="O312" s="29">
        <v>0</v>
      </c>
    </row>
    <row r="313" spans="1:15" x14ac:dyDescent="0.3">
      <c r="A313" s="28" t="s">
        <v>575</v>
      </c>
      <c r="B313" s="28" t="s">
        <v>576</v>
      </c>
      <c r="C313" s="28" t="s">
        <v>559</v>
      </c>
      <c r="D313" s="28" t="s">
        <v>577</v>
      </c>
      <c r="E313" s="28" t="s">
        <v>616</v>
      </c>
      <c r="F313" s="28" t="s">
        <v>603</v>
      </c>
      <c r="G313" s="29">
        <v>179</v>
      </c>
      <c r="H313" s="29">
        <v>2</v>
      </c>
      <c r="I313" s="29">
        <v>0</v>
      </c>
      <c r="J313" s="29">
        <v>0</v>
      </c>
      <c r="K313" s="29">
        <v>0</v>
      </c>
      <c r="L313" s="29">
        <v>0</v>
      </c>
      <c r="M313" s="29">
        <v>0</v>
      </c>
      <c r="N313" s="29">
        <v>0</v>
      </c>
      <c r="O313" s="29">
        <v>0</v>
      </c>
    </row>
    <row r="314" spans="1:15" x14ac:dyDescent="0.3">
      <c r="A314" s="28" t="s">
        <v>575</v>
      </c>
      <c r="B314" s="28" t="s">
        <v>576</v>
      </c>
      <c r="C314" s="28" t="s">
        <v>559</v>
      </c>
      <c r="D314" s="28" t="s">
        <v>577</v>
      </c>
      <c r="E314" s="28" t="s">
        <v>616</v>
      </c>
      <c r="F314" s="28" t="s">
        <v>604</v>
      </c>
      <c r="G314" s="29">
        <v>446</v>
      </c>
      <c r="H314" s="29">
        <v>3</v>
      </c>
      <c r="I314" s="29">
        <v>3</v>
      </c>
      <c r="J314" s="29">
        <v>2</v>
      </c>
      <c r="K314" s="29">
        <v>1</v>
      </c>
      <c r="L314" s="29">
        <v>0</v>
      </c>
      <c r="M314" s="29">
        <v>0</v>
      </c>
      <c r="N314" s="29">
        <v>0</v>
      </c>
      <c r="O314" s="29">
        <v>0</v>
      </c>
    </row>
    <row r="315" spans="1:15" x14ac:dyDescent="0.3">
      <c r="A315" s="28" t="s">
        <v>575</v>
      </c>
      <c r="B315" s="28" t="s">
        <v>576</v>
      </c>
      <c r="C315" s="28" t="s">
        <v>559</v>
      </c>
      <c r="D315" s="28" t="s">
        <v>577</v>
      </c>
      <c r="E315" s="28" t="s">
        <v>616</v>
      </c>
      <c r="F315" s="28" t="s">
        <v>581</v>
      </c>
      <c r="G315" s="29">
        <v>496</v>
      </c>
      <c r="H315" s="29">
        <v>4</v>
      </c>
      <c r="I315" s="29">
        <v>4</v>
      </c>
      <c r="J315" s="29">
        <v>4</v>
      </c>
      <c r="K315" s="29">
        <v>0</v>
      </c>
      <c r="L315" s="29">
        <v>100</v>
      </c>
      <c r="M315" s="29">
        <v>100</v>
      </c>
      <c r="N315" s="29">
        <v>0</v>
      </c>
      <c r="O315" s="29">
        <v>0</v>
      </c>
    </row>
    <row r="316" spans="1:15" x14ac:dyDescent="0.3">
      <c r="A316" s="28" t="s">
        <v>575</v>
      </c>
      <c r="B316" s="28" t="s">
        <v>576</v>
      </c>
      <c r="C316" s="28" t="s">
        <v>559</v>
      </c>
      <c r="D316" s="28" t="s">
        <v>577</v>
      </c>
      <c r="E316" s="28" t="s">
        <v>616</v>
      </c>
      <c r="F316" s="28" t="s">
        <v>582</v>
      </c>
      <c r="G316" s="29">
        <v>174</v>
      </c>
      <c r="H316" s="29">
        <v>1</v>
      </c>
      <c r="I316" s="29">
        <v>1</v>
      </c>
      <c r="J316" s="29">
        <v>1</v>
      </c>
      <c r="K316" s="29">
        <v>0</v>
      </c>
      <c r="L316" s="29">
        <v>0</v>
      </c>
      <c r="M316" s="29">
        <v>0</v>
      </c>
      <c r="N316" s="29">
        <v>0</v>
      </c>
      <c r="O316" s="29">
        <v>0</v>
      </c>
    </row>
    <row r="317" spans="1:15" x14ac:dyDescent="0.3">
      <c r="A317" s="28" t="s">
        <v>575</v>
      </c>
      <c r="B317" s="28" t="s">
        <v>576</v>
      </c>
      <c r="C317" s="28" t="s">
        <v>559</v>
      </c>
      <c r="D317" s="28" t="s">
        <v>577</v>
      </c>
      <c r="E317" s="28" t="s">
        <v>616</v>
      </c>
      <c r="F317" s="28" t="s">
        <v>583</v>
      </c>
      <c r="G317" s="29">
        <v>163</v>
      </c>
      <c r="H317" s="29">
        <v>3</v>
      </c>
      <c r="I317" s="29">
        <v>0</v>
      </c>
      <c r="J317" s="29">
        <v>0</v>
      </c>
      <c r="K317" s="29">
        <v>0</v>
      </c>
      <c r="L317" s="29">
        <v>0</v>
      </c>
      <c r="M317" s="29">
        <v>0</v>
      </c>
      <c r="N317" s="29">
        <v>0</v>
      </c>
      <c r="O317" s="29">
        <v>0</v>
      </c>
    </row>
    <row r="318" spans="1:15" x14ac:dyDescent="0.3">
      <c r="A318" s="28" t="s">
        <v>575</v>
      </c>
      <c r="B318" s="28" t="s">
        <v>576</v>
      </c>
      <c r="C318" s="28" t="s">
        <v>559</v>
      </c>
      <c r="D318" s="28" t="s">
        <v>577</v>
      </c>
      <c r="E318" s="28" t="s">
        <v>616</v>
      </c>
      <c r="F318" s="28" t="s">
        <v>584</v>
      </c>
      <c r="G318" s="29">
        <v>142</v>
      </c>
      <c r="H318" s="29">
        <v>3</v>
      </c>
      <c r="I318" s="29">
        <v>2</v>
      </c>
      <c r="J318" s="29">
        <v>2</v>
      </c>
      <c r="K318" s="29">
        <v>0</v>
      </c>
      <c r="L318" s="29">
        <v>0</v>
      </c>
      <c r="M318" s="29">
        <v>0</v>
      </c>
      <c r="N318" s="29">
        <v>0</v>
      </c>
      <c r="O318" s="29">
        <v>0</v>
      </c>
    </row>
    <row r="319" spans="1:15" x14ac:dyDescent="0.3">
      <c r="A319" s="28" t="s">
        <v>575</v>
      </c>
      <c r="B319" s="28" t="s">
        <v>576</v>
      </c>
      <c r="C319" s="28" t="s">
        <v>559</v>
      </c>
      <c r="D319" s="28" t="s">
        <v>577</v>
      </c>
      <c r="E319" s="28" t="s">
        <v>616</v>
      </c>
      <c r="F319" s="28" t="s">
        <v>585</v>
      </c>
      <c r="G319" s="29">
        <v>170</v>
      </c>
      <c r="H319" s="29">
        <v>1</v>
      </c>
      <c r="I319" s="29">
        <v>0</v>
      </c>
      <c r="J319" s="29">
        <v>0</v>
      </c>
      <c r="K319" s="29">
        <v>0</v>
      </c>
      <c r="L319" s="29">
        <v>0</v>
      </c>
      <c r="M319" s="29">
        <v>0</v>
      </c>
      <c r="N319" s="29">
        <v>0</v>
      </c>
      <c r="O319" s="29">
        <v>0</v>
      </c>
    </row>
    <row r="320" spans="1:15" x14ac:dyDescent="0.3">
      <c r="A320" s="28" t="s">
        <v>575</v>
      </c>
      <c r="B320" s="28" t="s">
        <v>576</v>
      </c>
      <c r="C320" s="28" t="s">
        <v>559</v>
      </c>
      <c r="D320" s="28" t="s">
        <v>577</v>
      </c>
      <c r="E320" s="28" t="s">
        <v>616</v>
      </c>
      <c r="F320" s="28" t="s">
        <v>586</v>
      </c>
      <c r="G320" s="29">
        <v>183</v>
      </c>
      <c r="H320" s="29">
        <v>4</v>
      </c>
      <c r="I320" s="29">
        <v>0</v>
      </c>
      <c r="J320" s="29">
        <v>0</v>
      </c>
      <c r="K320" s="29">
        <v>0</v>
      </c>
      <c r="L320" s="29">
        <v>0</v>
      </c>
      <c r="M320" s="29">
        <v>0</v>
      </c>
      <c r="N320" s="29">
        <v>0</v>
      </c>
      <c r="O320" s="29">
        <v>0</v>
      </c>
    </row>
    <row r="321" spans="1:15" x14ac:dyDescent="0.3">
      <c r="A321" s="28" t="s">
        <v>575</v>
      </c>
      <c r="B321" s="28" t="s">
        <v>576</v>
      </c>
      <c r="C321" s="28" t="s">
        <v>559</v>
      </c>
      <c r="D321" s="28" t="s">
        <v>577</v>
      </c>
      <c r="E321" s="28" t="s">
        <v>616</v>
      </c>
      <c r="F321" s="28" t="s">
        <v>587</v>
      </c>
      <c r="G321" s="29">
        <v>159</v>
      </c>
      <c r="H321" s="29">
        <v>1</v>
      </c>
      <c r="I321" s="29">
        <v>1</v>
      </c>
      <c r="J321" s="29">
        <v>1</v>
      </c>
      <c r="K321" s="29">
        <v>0</v>
      </c>
      <c r="L321" s="29">
        <v>0</v>
      </c>
      <c r="M321" s="29">
        <v>0</v>
      </c>
      <c r="N321" s="29">
        <v>0</v>
      </c>
      <c r="O321" s="29">
        <v>0</v>
      </c>
    </row>
    <row r="322" spans="1:15" x14ac:dyDescent="0.3">
      <c r="A322" s="28" t="s">
        <v>575</v>
      </c>
      <c r="B322" s="28" t="s">
        <v>576</v>
      </c>
      <c r="C322" s="28" t="s">
        <v>559</v>
      </c>
      <c r="D322" s="28" t="s">
        <v>577</v>
      </c>
      <c r="E322" s="28" t="s">
        <v>616</v>
      </c>
      <c r="F322" s="28" t="s">
        <v>579</v>
      </c>
      <c r="G322" s="29">
        <v>174</v>
      </c>
      <c r="H322" s="29">
        <v>1</v>
      </c>
      <c r="I322" s="29">
        <v>2</v>
      </c>
      <c r="J322" s="29">
        <v>0</v>
      </c>
      <c r="K322" s="29">
        <v>2</v>
      </c>
      <c r="L322" s="29">
        <v>0</v>
      </c>
      <c r="M322" s="29">
        <v>0</v>
      </c>
      <c r="N322" s="29">
        <v>0</v>
      </c>
      <c r="O322" s="29">
        <v>0</v>
      </c>
    </row>
    <row r="323" spans="1:15" x14ac:dyDescent="0.3">
      <c r="A323" s="28" t="s">
        <v>575</v>
      </c>
      <c r="B323" s="28" t="s">
        <v>576</v>
      </c>
      <c r="C323" s="28" t="s">
        <v>559</v>
      </c>
      <c r="D323" s="28" t="s">
        <v>577</v>
      </c>
      <c r="E323" s="28" t="s">
        <v>616</v>
      </c>
      <c r="F323" s="28" t="s">
        <v>588</v>
      </c>
      <c r="G323" s="29">
        <v>143</v>
      </c>
      <c r="H323" s="29">
        <v>0</v>
      </c>
      <c r="I323" s="29">
        <v>1</v>
      </c>
      <c r="J323" s="29">
        <v>0</v>
      </c>
      <c r="K323" s="29">
        <v>1</v>
      </c>
      <c r="L323" s="29">
        <v>0</v>
      </c>
      <c r="M323" s="29">
        <v>0</v>
      </c>
      <c r="N323" s="29">
        <v>0</v>
      </c>
      <c r="O323" s="29">
        <v>0</v>
      </c>
    </row>
    <row r="324" spans="1:15" x14ac:dyDescent="0.3">
      <c r="A324" s="28" t="s">
        <v>575</v>
      </c>
      <c r="B324" s="28" t="s">
        <v>576</v>
      </c>
      <c r="C324" s="28" t="s">
        <v>559</v>
      </c>
      <c r="D324" s="28" t="s">
        <v>577</v>
      </c>
      <c r="E324" s="28" t="s">
        <v>616</v>
      </c>
      <c r="F324" s="28" t="s">
        <v>589</v>
      </c>
      <c r="G324" s="29">
        <v>167</v>
      </c>
      <c r="H324" s="29">
        <v>1</v>
      </c>
      <c r="I324" s="29">
        <v>2</v>
      </c>
      <c r="J324" s="29">
        <v>0</v>
      </c>
      <c r="K324" s="29">
        <v>2</v>
      </c>
      <c r="L324" s="29">
        <v>0</v>
      </c>
      <c r="M324" s="29">
        <v>0</v>
      </c>
      <c r="N324" s="29">
        <v>0</v>
      </c>
      <c r="O324" s="29">
        <v>0</v>
      </c>
    </row>
    <row r="325" spans="1:15" x14ac:dyDescent="0.3">
      <c r="A325" s="28" t="s">
        <v>575</v>
      </c>
      <c r="B325" s="28" t="s">
        <v>576</v>
      </c>
      <c r="C325" s="28" t="s">
        <v>559</v>
      </c>
      <c r="D325" s="28" t="s">
        <v>577</v>
      </c>
      <c r="E325" s="28" t="s">
        <v>616</v>
      </c>
      <c r="F325" s="28" t="s">
        <v>590</v>
      </c>
      <c r="G325" s="29">
        <v>161</v>
      </c>
      <c r="H325" s="29">
        <v>2</v>
      </c>
      <c r="I325" s="29">
        <v>5</v>
      </c>
      <c r="J325" s="29">
        <v>2</v>
      </c>
      <c r="K325" s="29">
        <v>3</v>
      </c>
      <c r="L325" s="29">
        <v>0</v>
      </c>
      <c r="M325" s="29">
        <v>0</v>
      </c>
      <c r="N325" s="29">
        <v>0</v>
      </c>
      <c r="O325" s="29">
        <v>0</v>
      </c>
    </row>
    <row r="326" spans="1:15" x14ac:dyDescent="0.3">
      <c r="A326" s="28" t="s">
        <v>575</v>
      </c>
      <c r="B326" s="28" t="s">
        <v>576</v>
      </c>
      <c r="C326" s="28" t="s">
        <v>559</v>
      </c>
      <c r="D326" s="28" t="s">
        <v>577</v>
      </c>
      <c r="E326" s="28" t="s">
        <v>616</v>
      </c>
      <c r="F326" s="28" t="s">
        <v>591</v>
      </c>
      <c r="G326" s="29">
        <v>179</v>
      </c>
      <c r="H326" s="29">
        <v>1</v>
      </c>
      <c r="I326" s="29">
        <v>0</v>
      </c>
      <c r="J326" s="29">
        <v>0</v>
      </c>
      <c r="K326" s="29">
        <v>0</v>
      </c>
      <c r="L326" s="29">
        <v>0</v>
      </c>
      <c r="M326" s="29">
        <v>0</v>
      </c>
      <c r="N326" s="29">
        <v>0</v>
      </c>
      <c r="O326" s="29">
        <v>0</v>
      </c>
    </row>
    <row r="327" spans="1:15" x14ac:dyDescent="0.3">
      <c r="A327" s="28" t="s">
        <v>575</v>
      </c>
      <c r="B327" s="28" t="s">
        <v>576</v>
      </c>
      <c r="C327" s="28" t="s">
        <v>559</v>
      </c>
      <c r="D327" s="28" t="s">
        <v>577</v>
      </c>
      <c r="E327" s="28" t="s">
        <v>616</v>
      </c>
      <c r="F327" s="28" t="s">
        <v>592</v>
      </c>
      <c r="G327" s="29">
        <v>179</v>
      </c>
      <c r="H327" s="29">
        <v>1</v>
      </c>
      <c r="I327" s="29">
        <v>1</v>
      </c>
      <c r="J327" s="29">
        <v>0</v>
      </c>
      <c r="K327" s="29">
        <v>1</v>
      </c>
      <c r="L327" s="29">
        <v>0</v>
      </c>
      <c r="M327" s="29">
        <v>0</v>
      </c>
      <c r="N327" s="29">
        <v>0</v>
      </c>
      <c r="O327" s="29">
        <v>0</v>
      </c>
    </row>
    <row r="328" spans="1:15" x14ac:dyDescent="0.3">
      <c r="A328" s="28" t="s">
        <v>575</v>
      </c>
      <c r="B328" s="28" t="s">
        <v>576</v>
      </c>
      <c r="C328" s="28" t="s">
        <v>559</v>
      </c>
      <c r="D328" s="28" t="s">
        <v>577</v>
      </c>
      <c r="E328" s="28" t="s">
        <v>616</v>
      </c>
      <c r="F328" s="28" t="s">
        <v>593</v>
      </c>
      <c r="G328" s="29">
        <v>141</v>
      </c>
      <c r="H328" s="29">
        <v>4</v>
      </c>
      <c r="I328" s="29">
        <v>8</v>
      </c>
      <c r="J328" s="29">
        <v>8</v>
      </c>
      <c r="K328" s="29">
        <v>0</v>
      </c>
      <c r="L328" s="29">
        <v>2000</v>
      </c>
      <c r="M328" s="29">
        <v>2000</v>
      </c>
      <c r="N328" s="29">
        <v>0</v>
      </c>
      <c r="O328" s="29">
        <v>0</v>
      </c>
    </row>
    <row r="329" spans="1:15" x14ac:dyDescent="0.3">
      <c r="A329" s="28" t="s">
        <v>575</v>
      </c>
      <c r="B329" s="28" t="s">
        <v>576</v>
      </c>
      <c r="C329" s="28" t="s">
        <v>559</v>
      </c>
      <c r="D329" s="28" t="s">
        <v>577</v>
      </c>
      <c r="E329" s="28" t="s">
        <v>616</v>
      </c>
      <c r="F329" s="28" t="s">
        <v>594</v>
      </c>
      <c r="G329" s="29">
        <v>207</v>
      </c>
      <c r="H329" s="29">
        <v>0</v>
      </c>
      <c r="I329" s="29">
        <v>0</v>
      </c>
      <c r="J329" s="29">
        <v>0</v>
      </c>
      <c r="K329" s="29">
        <v>0</v>
      </c>
      <c r="L329" s="29">
        <v>0</v>
      </c>
      <c r="M329" s="29">
        <v>0</v>
      </c>
      <c r="N329" s="29">
        <v>0</v>
      </c>
      <c r="O329" s="29">
        <v>0</v>
      </c>
    </row>
    <row r="330" spans="1:15" x14ac:dyDescent="0.3">
      <c r="A330" s="28" t="s">
        <v>575</v>
      </c>
      <c r="B330" s="28" t="s">
        <v>576</v>
      </c>
      <c r="C330" s="28" t="s">
        <v>559</v>
      </c>
      <c r="D330" s="28" t="s">
        <v>577</v>
      </c>
      <c r="E330" s="28" t="s">
        <v>616</v>
      </c>
      <c r="F330" s="28" t="s">
        <v>595</v>
      </c>
      <c r="G330" s="29">
        <v>173</v>
      </c>
      <c r="H330" s="29">
        <v>2</v>
      </c>
      <c r="I330" s="29">
        <v>1</v>
      </c>
      <c r="J330" s="29">
        <v>1</v>
      </c>
      <c r="K330" s="29">
        <v>0</v>
      </c>
      <c r="L330" s="29">
        <v>0</v>
      </c>
      <c r="M330" s="29">
        <v>0</v>
      </c>
      <c r="N330" s="29">
        <v>0</v>
      </c>
      <c r="O330" s="29">
        <v>0</v>
      </c>
    </row>
    <row r="331" spans="1:15" x14ac:dyDescent="0.3">
      <c r="A331" s="28" t="s">
        <v>575</v>
      </c>
      <c r="B331" s="28" t="s">
        <v>576</v>
      </c>
      <c r="C331" s="28" t="s">
        <v>559</v>
      </c>
      <c r="D331" s="28" t="s">
        <v>577</v>
      </c>
      <c r="E331" s="28" t="s">
        <v>617</v>
      </c>
      <c r="F331" s="28" t="s">
        <v>597</v>
      </c>
      <c r="G331" s="29">
        <v>107</v>
      </c>
      <c r="H331" s="29">
        <v>0</v>
      </c>
      <c r="I331" s="29">
        <v>0</v>
      </c>
      <c r="J331" s="29">
        <v>0</v>
      </c>
      <c r="K331" s="29">
        <v>0</v>
      </c>
      <c r="L331" s="29">
        <v>0</v>
      </c>
      <c r="M331" s="29">
        <v>0</v>
      </c>
      <c r="N331" s="29">
        <v>0</v>
      </c>
      <c r="O331" s="29">
        <v>0</v>
      </c>
    </row>
    <row r="332" spans="1:15" x14ac:dyDescent="0.3">
      <c r="A332" s="28" t="s">
        <v>575</v>
      </c>
      <c r="B332" s="28" t="s">
        <v>576</v>
      </c>
      <c r="C332" s="28" t="s">
        <v>559</v>
      </c>
      <c r="D332" s="28" t="s">
        <v>577</v>
      </c>
      <c r="E332" s="28" t="s">
        <v>617</v>
      </c>
      <c r="F332" s="28" t="s">
        <v>598</v>
      </c>
      <c r="G332" s="29">
        <v>53</v>
      </c>
      <c r="H332" s="29">
        <v>3</v>
      </c>
      <c r="I332" s="29">
        <v>0</v>
      </c>
      <c r="J332" s="29">
        <v>0</v>
      </c>
      <c r="K332" s="29">
        <v>0</v>
      </c>
      <c r="L332" s="29">
        <v>0</v>
      </c>
      <c r="M332" s="29">
        <v>0</v>
      </c>
      <c r="N332" s="29">
        <v>0</v>
      </c>
      <c r="O332" s="29">
        <v>0</v>
      </c>
    </row>
    <row r="333" spans="1:15" x14ac:dyDescent="0.3">
      <c r="A333" s="28" t="s">
        <v>575</v>
      </c>
      <c r="B333" s="28" t="s">
        <v>576</v>
      </c>
      <c r="C333" s="28" t="s">
        <v>559</v>
      </c>
      <c r="D333" s="28" t="s">
        <v>577</v>
      </c>
      <c r="E333" s="28" t="s">
        <v>617</v>
      </c>
      <c r="F333" s="28" t="s">
        <v>599</v>
      </c>
      <c r="G333" s="29">
        <v>64</v>
      </c>
      <c r="H333" s="29">
        <v>0</v>
      </c>
      <c r="I333" s="29">
        <v>0</v>
      </c>
      <c r="J333" s="29">
        <v>0</v>
      </c>
      <c r="K333" s="29">
        <v>0</v>
      </c>
      <c r="L333" s="29">
        <v>0</v>
      </c>
      <c r="M333" s="29">
        <v>0</v>
      </c>
      <c r="N333" s="29">
        <v>0</v>
      </c>
      <c r="O333" s="29">
        <v>0</v>
      </c>
    </row>
    <row r="334" spans="1:15" x14ac:dyDescent="0.3">
      <c r="A334" s="28" t="s">
        <v>575</v>
      </c>
      <c r="B334" s="28" t="s">
        <v>576</v>
      </c>
      <c r="C334" s="28" t="s">
        <v>559</v>
      </c>
      <c r="D334" s="28" t="s">
        <v>577</v>
      </c>
      <c r="E334" s="28" t="s">
        <v>617</v>
      </c>
      <c r="F334" s="28" t="s">
        <v>600</v>
      </c>
      <c r="G334" s="29">
        <v>47</v>
      </c>
      <c r="H334" s="29">
        <v>1</v>
      </c>
      <c r="I334" s="29">
        <v>1</v>
      </c>
      <c r="J334" s="29">
        <v>1</v>
      </c>
      <c r="K334" s="29">
        <v>0</v>
      </c>
      <c r="L334" s="29">
        <v>0</v>
      </c>
      <c r="M334" s="29">
        <v>0</v>
      </c>
      <c r="N334" s="29">
        <v>0</v>
      </c>
      <c r="O334" s="29">
        <v>0</v>
      </c>
    </row>
    <row r="335" spans="1:15" x14ac:dyDescent="0.3">
      <c r="A335" s="28" t="s">
        <v>575</v>
      </c>
      <c r="B335" s="28" t="s">
        <v>576</v>
      </c>
      <c r="C335" s="28" t="s">
        <v>559</v>
      </c>
      <c r="D335" s="28" t="s">
        <v>577</v>
      </c>
      <c r="E335" s="28" t="s">
        <v>617</v>
      </c>
      <c r="F335" s="28" t="s">
        <v>601</v>
      </c>
      <c r="G335" s="29">
        <v>63</v>
      </c>
      <c r="H335" s="29">
        <v>0</v>
      </c>
      <c r="I335" s="29">
        <v>0</v>
      </c>
      <c r="J335" s="29">
        <v>0</v>
      </c>
      <c r="K335" s="29">
        <v>0</v>
      </c>
      <c r="L335" s="29">
        <v>0</v>
      </c>
      <c r="M335" s="29">
        <v>0</v>
      </c>
      <c r="N335" s="29">
        <v>0</v>
      </c>
      <c r="O335" s="29">
        <v>0</v>
      </c>
    </row>
    <row r="336" spans="1:15" x14ac:dyDescent="0.3">
      <c r="A336" s="28" t="s">
        <v>575</v>
      </c>
      <c r="B336" s="28" t="s">
        <v>576</v>
      </c>
      <c r="C336" s="28" t="s">
        <v>559</v>
      </c>
      <c r="D336" s="28" t="s">
        <v>577</v>
      </c>
      <c r="E336" s="28" t="s">
        <v>617</v>
      </c>
      <c r="F336" s="28" t="s">
        <v>602</v>
      </c>
      <c r="G336" s="29">
        <v>98</v>
      </c>
      <c r="H336" s="29">
        <v>0</v>
      </c>
      <c r="I336" s="29">
        <v>0</v>
      </c>
      <c r="J336" s="29">
        <v>0</v>
      </c>
      <c r="K336" s="29">
        <v>0</v>
      </c>
      <c r="L336" s="29">
        <v>0</v>
      </c>
      <c r="M336" s="29">
        <v>0</v>
      </c>
      <c r="N336" s="29">
        <v>0</v>
      </c>
      <c r="O336" s="29">
        <v>0</v>
      </c>
    </row>
    <row r="337" spans="1:15" x14ac:dyDescent="0.3">
      <c r="A337" s="28" t="s">
        <v>575</v>
      </c>
      <c r="B337" s="28" t="s">
        <v>576</v>
      </c>
      <c r="C337" s="28" t="s">
        <v>559</v>
      </c>
      <c r="D337" s="28" t="s">
        <v>577</v>
      </c>
      <c r="E337" s="28" t="s">
        <v>617</v>
      </c>
      <c r="F337" s="28" t="s">
        <v>603</v>
      </c>
      <c r="G337" s="29">
        <v>239</v>
      </c>
      <c r="H337" s="29">
        <v>7</v>
      </c>
      <c r="I337" s="29">
        <v>2</v>
      </c>
      <c r="J337" s="29">
        <v>2</v>
      </c>
      <c r="K337" s="29">
        <v>0</v>
      </c>
      <c r="L337" s="29">
        <v>0</v>
      </c>
      <c r="M337" s="29">
        <v>0</v>
      </c>
      <c r="N337" s="29">
        <v>0</v>
      </c>
      <c r="O337" s="29">
        <v>0</v>
      </c>
    </row>
    <row r="338" spans="1:15" x14ac:dyDescent="0.3">
      <c r="A338" s="28" t="s">
        <v>575</v>
      </c>
      <c r="B338" s="28" t="s">
        <v>576</v>
      </c>
      <c r="C338" s="28" t="s">
        <v>559</v>
      </c>
      <c r="D338" s="28" t="s">
        <v>577</v>
      </c>
      <c r="E338" s="28" t="s">
        <v>617</v>
      </c>
      <c r="F338" s="28" t="s">
        <v>604</v>
      </c>
      <c r="G338" s="29">
        <v>738</v>
      </c>
      <c r="H338" s="29">
        <v>2</v>
      </c>
      <c r="I338" s="29">
        <v>2</v>
      </c>
      <c r="J338" s="29">
        <v>2</v>
      </c>
      <c r="K338" s="29">
        <v>0</v>
      </c>
      <c r="L338" s="29">
        <v>0</v>
      </c>
      <c r="M338" s="29">
        <v>0</v>
      </c>
      <c r="N338" s="29">
        <v>0</v>
      </c>
      <c r="O338" s="29">
        <v>0</v>
      </c>
    </row>
    <row r="339" spans="1:15" x14ac:dyDescent="0.3">
      <c r="A339" s="28" t="s">
        <v>575</v>
      </c>
      <c r="B339" s="28" t="s">
        <v>576</v>
      </c>
      <c r="C339" s="28" t="s">
        <v>559</v>
      </c>
      <c r="D339" s="28" t="s">
        <v>577</v>
      </c>
      <c r="E339" s="28" t="s">
        <v>617</v>
      </c>
      <c r="F339" s="28" t="s">
        <v>581</v>
      </c>
      <c r="G339" s="29">
        <v>677</v>
      </c>
      <c r="H339" s="29">
        <v>6</v>
      </c>
      <c r="I339" s="29">
        <v>4</v>
      </c>
      <c r="J339" s="29">
        <v>3</v>
      </c>
      <c r="K339" s="29">
        <v>1</v>
      </c>
      <c r="L339" s="29">
        <v>0</v>
      </c>
      <c r="M339" s="29">
        <v>0</v>
      </c>
      <c r="N339" s="29">
        <v>0</v>
      </c>
      <c r="O339" s="29">
        <v>0</v>
      </c>
    </row>
    <row r="340" spans="1:15" x14ac:dyDescent="0.3">
      <c r="A340" s="28" t="s">
        <v>575</v>
      </c>
      <c r="B340" s="28" t="s">
        <v>576</v>
      </c>
      <c r="C340" s="28" t="s">
        <v>559</v>
      </c>
      <c r="D340" s="28" t="s">
        <v>577</v>
      </c>
      <c r="E340" s="28" t="s">
        <v>617</v>
      </c>
      <c r="F340" s="28" t="s">
        <v>582</v>
      </c>
      <c r="G340" s="29">
        <v>423</v>
      </c>
      <c r="H340" s="29">
        <v>2</v>
      </c>
      <c r="I340" s="29">
        <v>0</v>
      </c>
      <c r="J340" s="29">
        <v>0</v>
      </c>
      <c r="K340" s="29">
        <v>0</v>
      </c>
      <c r="L340" s="29">
        <v>0</v>
      </c>
      <c r="M340" s="29">
        <v>0</v>
      </c>
      <c r="N340" s="29">
        <v>0</v>
      </c>
      <c r="O340" s="29">
        <v>0</v>
      </c>
    </row>
    <row r="341" spans="1:15" x14ac:dyDescent="0.3">
      <c r="A341" s="28" t="s">
        <v>575</v>
      </c>
      <c r="B341" s="28" t="s">
        <v>576</v>
      </c>
      <c r="C341" s="28" t="s">
        <v>559</v>
      </c>
      <c r="D341" s="28" t="s">
        <v>577</v>
      </c>
      <c r="E341" s="28" t="s">
        <v>617</v>
      </c>
      <c r="F341" s="28" t="s">
        <v>583</v>
      </c>
      <c r="G341" s="29">
        <v>212</v>
      </c>
      <c r="H341" s="29">
        <v>0</v>
      </c>
      <c r="I341" s="29">
        <v>4</v>
      </c>
      <c r="J341" s="29">
        <v>0</v>
      </c>
      <c r="K341" s="29">
        <v>4</v>
      </c>
      <c r="L341" s="29">
        <v>0</v>
      </c>
      <c r="M341" s="29">
        <v>0</v>
      </c>
      <c r="N341" s="29">
        <v>0</v>
      </c>
      <c r="O341" s="29">
        <v>0</v>
      </c>
    </row>
    <row r="342" spans="1:15" x14ac:dyDescent="0.3">
      <c r="A342" s="28" t="s">
        <v>575</v>
      </c>
      <c r="B342" s="28" t="s">
        <v>576</v>
      </c>
      <c r="C342" s="28" t="s">
        <v>559</v>
      </c>
      <c r="D342" s="28" t="s">
        <v>577</v>
      </c>
      <c r="E342" s="28" t="s">
        <v>617</v>
      </c>
      <c r="F342" s="28" t="s">
        <v>584</v>
      </c>
      <c r="G342" s="29">
        <v>247</v>
      </c>
      <c r="H342" s="29">
        <v>1</v>
      </c>
      <c r="I342" s="29">
        <v>1</v>
      </c>
      <c r="J342" s="29">
        <v>0</v>
      </c>
      <c r="K342" s="29">
        <v>1</v>
      </c>
      <c r="L342" s="29">
        <v>0</v>
      </c>
      <c r="M342" s="29">
        <v>0</v>
      </c>
      <c r="N342" s="29">
        <v>0</v>
      </c>
      <c r="O342" s="29">
        <v>0</v>
      </c>
    </row>
    <row r="343" spans="1:15" x14ac:dyDescent="0.3">
      <c r="A343" s="28" t="s">
        <v>575</v>
      </c>
      <c r="B343" s="28" t="s">
        <v>576</v>
      </c>
      <c r="C343" s="28" t="s">
        <v>559</v>
      </c>
      <c r="D343" s="28" t="s">
        <v>577</v>
      </c>
      <c r="E343" s="28" t="s">
        <v>617</v>
      </c>
      <c r="F343" s="28" t="s">
        <v>585</v>
      </c>
      <c r="G343" s="29">
        <v>225</v>
      </c>
      <c r="H343" s="29">
        <v>0</v>
      </c>
      <c r="I343" s="29">
        <v>0</v>
      </c>
      <c r="J343" s="29">
        <v>0</v>
      </c>
      <c r="K343" s="29">
        <v>0</v>
      </c>
      <c r="L343" s="29">
        <v>0</v>
      </c>
      <c r="M343" s="29">
        <v>0</v>
      </c>
      <c r="N343" s="29">
        <v>0</v>
      </c>
      <c r="O343" s="29">
        <v>0</v>
      </c>
    </row>
    <row r="344" spans="1:15" x14ac:dyDescent="0.3">
      <c r="A344" s="28" t="s">
        <v>575</v>
      </c>
      <c r="B344" s="28" t="s">
        <v>576</v>
      </c>
      <c r="C344" s="28" t="s">
        <v>559</v>
      </c>
      <c r="D344" s="28" t="s">
        <v>577</v>
      </c>
      <c r="E344" s="28" t="s">
        <v>617</v>
      </c>
      <c r="F344" s="28" t="s">
        <v>586</v>
      </c>
      <c r="G344" s="29">
        <v>231</v>
      </c>
      <c r="H344" s="29">
        <v>2</v>
      </c>
      <c r="I344" s="29">
        <v>0</v>
      </c>
      <c r="J344" s="29">
        <v>0</v>
      </c>
      <c r="K344" s="29">
        <v>0</v>
      </c>
      <c r="L344" s="29">
        <v>0</v>
      </c>
      <c r="M344" s="29">
        <v>0</v>
      </c>
      <c r="N344" s="29">
        <v>0</v>
      </c>
      <c r="O344" s="29">
        <v>0</v>
      </c>
    </row>
    <row r="345" spans="1:15" x14ac:dyDescent="0.3">
      <c r="A345" s="28" t="s">
        <v>575</v>
      </c>
      <c r="B345" s="28" t="s">
        <v>576</v>
      </c>
      <c r="C345" s="28" t="s">
        <v>559</v>
      </c>
      <c r="D345" s="28" t="s">
        <v>618</v>
      </c>
      <c r="E345" s="28" t="s">
        <v>578</v>
      </c>
      <c r="F345" s="28" t="s">
        <v>579</v>
      </c>
      <c r="G345" s="29">
        <v>1</v>
      </c>
      <c r="H345" s="29">
        <v>1</v>
      </c>
      <c r="I345" s="29">
        <v>0</v>
      </c>
      <c r="J345" s="29">
        <v>0</v>
      </c>
      <c r="K345" s="29">
        <v>0</v>
      </c>
      <c r="L345" s="29">
        <v>0</v>
      </c>
      <c r="M345" s="29">
        <v>0</v>
      </c>
      <c r="N345" s="29">
        <v>0</v>
      </c>
      <c r="O345" s="29">
        <v>0</v>
      </c>
    </row>
    <row r="346" spans="1:15" x14ac:dyDescent="0.3">
      <c r="A346" s="28" t="s">
        <v>575</v>
      </c>
      <c r="B346" s="28" t="s">
        <v>576</v>
      </c>
      <c r="C346" s="28" t="s">
        <v>559</v>
      </c>
      <c r="D346" s="28" t="s">
        <v>618</v>
      </c>
      <c r="E346" s="28" t="s">
        <v>580</v>
      </c>
      <c r="F346" s="28" t="s">
        <v>581</v>
      </c>
      <c r="G346" s="29">
        <v>825</v>
      </c>
      <c r="H346" s="29">
        <v>0</v>
      </c>
      <c r="I346" s="29">
        <v>0</v>
      </c>
      <c r="J346" s="29">
        <v>0</v>
      </c>
      <c r="K346" s="29">
        <v>0</v>
      </c>
      <c r="L346" s="29">
        <v>0</v>
      </c>
      <c r="M346" s="29">
        <v>0</v>
      </c>
      <c r="N346" s="29">
        <v>0</v>
      </c>
      <c r="O346" s="29">
        <v>0</v>
      </c>
    </row>
    <row r="347" spans="1:15" x14ac:dyDescent="0.3">
      <c r="A347" s="28" t="s">
        <v>575</v>
      </c>
      <c r="B347" s="28" t="s">
        <v>576</v>
      </c>
      <c r="C347" s="28" t="s">
        <v>559</v>
      </c>
      <c r="D347" s="28" t="s">
        <v>618</v>
      </c>
      <c r="E347" s="28" t="s">
        <v>580</v>
      </c>
      <c r="F347" s="28" t="s">
        <v>582</v>
      </c>
      <c r="G347" s="29">
        <v>1435</v>
      </c>
      <c r="H347" s="29">
        <v>5</v>
      </c>
      <c r="I347" s="29">
        <v>0</v>
      </c>
      <c r="J347" s="29">
        <v>0</v>
      </c>
      <c r="K347" s="29">
        <v>0</v>
      </c>
      <c r="L347" s="29">
        <v>0</v>
      </c>
      <c r="M347" s="29">
        <v>0</v>
      </c>
      <c r="N347" s="29">
        <v>0</v>
      </c>
      <c r="O347" s="29">
        <v>0</v>
      </c>
    </row>
    <row r="348" spans="1:15" x14ac:dyDescent="0.3">
      <c r="A348" s="28" t="s">
        <v>575</v>
      </c>
      <c r="B348" s="28" t="s">
        <v>576</v>
      </c>
      <c r="C348" s="28" t="s">
        <v>559</v>
      </c>
      <c r="D348" s="28" t="s">
        <v>618</v>
      </c>
      <c r="E348" s="28" t="s">
        <v>580</v>
      </c>
      <c r="F348" s="28" t="s">
        <v>583</v>
      </c>
      <c r="G348" s="29">
        <v>191</v>
      </c>
      <c r="H348" s="29">
        <v>0</v>
      </c>
      <c r="I348" s="29">
        <v>0</v>
      </c>
      <c r="J348" s="29">
        <v>0</v>
      </c>
      <c r="K348" s="29">
        <v>0</v>
      </c>
      <c r="L348" s="29">
        <v>0</v>
      </c>
      <c r="M348" s="29">
        <v>0</v>
      </c>
      <c r="N348" s="29">
        <v>0</v>
      </c>
      <c r="O348" s="29">
        <v>0</v>
      </c>
    </row>
    <row r="349" spans="1:15" x14ac:dyDescent="0.3">
      <c r="A349" s="28" t="s">
        <v>575</v>
      </c>
      <c r="B349" s="28" t="s">
        <v>576</v>
      </c>
      <c r="C349" s="28" t="s">
        <v>559</v>
      </c>
      <c r="D349" s="28" t="s">
        <v>618</v>
      </c>
      <c r="E349" s="28" t="s">
        <v>580</v>
      </c>
      <c r="F349" s="28" t="s">
        <v>584</v>
      </c>
      <c r="G349" s="29">
        <v>175</v>
      </c>
      <c r="H349" s="29">
        <v>0</v>
      </c>
      <c r="I349" s="29">
        <v>0</v>
      </c>
      <c r="J349" s="29">
        <v>0</v>
      </c>
      <c r="K349" s="29">
        <v>0</v>
      </c>
      <c r="L349" s="29">
        <v>0</v>
      </c>
      <c r="M349" s="29">
        <v>0</v>
      </c>
      <c r="N349" s="29">
        <v>0</v>
      </c>
      <c r="O349" s="29">
        <v>0</v>
      </c>
    </row>
    <row r="350" spans="1:15" x14ac:dyDescent="0.3">
      <c r="A350" s="28" t="s">
        <v>575</v>
      </c>
      <c r="B350" s="28" t="s">
        <v>576</v>
      </c>
      <c r="C350" s="28" t="s">
        <v>559</v>
      </c>
      <c r="D350" s="28" t="s">
        <v>618</v>
      </c>
      <c r="E350" s="28" t="s">
        <v>580</v>
      </c>
      <c r="F350" s="28" t="s">
        <v>585</v>
      </c>
      <c r="G350" s="29">
        <v>193</v>
      </c>
      <c r="H350" s="29">
        <v>2</v>
      </c>
      <c r="I350" s="29">
        <v>0</v>
      </c>
      <c r="J350" s="29">
        <v>0</v>
      </c>
      <c r="K350" s="29">
        <v>0</v>
      </c>
      <c r="L350" s="29">
        <v>0</v>
      </c>
      <c r="M350" s="29">
        <v>0</v>
      </c>
      <c r="N350" s="29">
        <v>0</v>
      </c>
      <c r="O350" s="29">
        <v>0</v>
      </c>
    </row>
    <row r="351" spans="1:15" x14ac:dyDescent="0.3">
      <c r="A351" s="28" t="s">
        <v>575</v>
      </c>
      <c r="B351" s="28" t="s">
        <v>576</v>
      </c>
      <c r="C351" s="28" t="s">
        <v>559</v>
      </c>
      <c r="D351" s="28" t="s">
        <v>618</v>
      </c>
      <c r="E351" s="28" t="s">
        <v>580</v>
      </c>
      <c r="F351" s="28" t="s">
        <v>586</v>
      </c>
      <c r="G351" s="29">
        <v>188</v>
      </c>
      <c r="H351" s="29">
        <v>2</v>
      </c>
      <c r="I351" s="29">
        <v>0</v>
      </c>
      <c r="J351" s="29">
        <v>0</v>
      </c>
      <c r="K351" s="29">
        <v>0</v>
      </c>
      <c r="L351" s="29">
        <v>0</v>
      </c>
      <c r="M351" s="29">
        <v>0</v>
      </c>
      <c r="N351" s="29">
        <v>0</v>
      </c>
      <c r="O351" s="29">
        <v>0</v>
      </c>
    </row>
    <row r="352" spans="1:15" x14ac:dyDescent="0.3">
      <c r="A352" s="28" t="s">
        <v>575</v>
      </c>
      <c r="B352" s="28" t="s">
        <v>576</v>
      </c>
      <c r="C352" s="28" t="s">
        <v>559</v>
      </c>
      <c r="D352" s="28" t="s">
        <v>618</v>
      </c>
      <c r="E352" s="28" t="s">
        <v>580</v>
      </c>
      <c r="F352" s="28" t="s">
        <v>587</v>
      </c>
      <c r="G352" s="29">
        <v>189</v>
      </c>
      <c r="H352" s="29">
        <v>1</v>
      </c>
      <c r="I352" s="29">
        <v>0</v>
      </c>
      <c r="J352" s="29">
        <v>0</v>
      </c>
      <c r="K352" s="29">
        <v>0</v>
      </c>
      <c r="L352" s="29">
        <v>0</v>
      </c>
      <c r="M352" s="29">
        <v>0</v>
      </c>
      <c r="N352" s="29">
        <v>0</v>
      </c>
      <c r="O352" s="29">
        <v>0</v>
      </c>
    </row>
    <row r="353" spans="1:15" x14ac:dyDescent="0.3">
      <c r="A353" s="28" t="s">
        <v>575</v>
      </c>
      <c r="B353" s="28" t="s">
        <v>576</v>
      </c>
      <c r="C353" s="28" t="s">
        <v>559</v>
      </c>
      <c r="D353" s="28" t="s">
        <v>618</v>
      </c>
      <c r="E353" s="28" t="s">
        <v>580</v>
      </c>
      <c r="F353" s="28" t="s">
        <v>579</v>
      </c>
      <c r="G353" s="29">
        <v>176</v>
      </c>
      <c r="H353" s="29">
        <v>2</v>
      </c>
      <c r="I353" s="29">
        <v>3</v>
      </c>
      <c r="J353" s="29">
        <v>1</v>
      </c>
      <c r="K353" s="29">
        <v>2</v>
      </c>
      <c r="L353" s="29">
        <v>0</v>
      </c>
      <c r="M353" s="29">
        <v>0</v>
      </c>
      <c r="N353" s="29">
        <v>0</v>
      </c>
      <c r="O353" s="29">
        <v>0</v>
      </c>
    </row>
    <row r="354" spans="1:15" x14ac:dyDescent="0.3">
      <c r="A354" s="28" t="s">
        <v>575</v>
      </c>
      <c r="B354" s="28" t="s">
        <v>576</v>
      </c>
      <c r="C354" s="28" t="s">
        <v>559</v>
      </c>
      <c r="D354" s="28" t="s">
        <v>618</v>
      </c>
      <c r="E354" s="28" t="s">
        <v>580</v>
      </c>
      <c r="F354" s="28" t="s">
        <v>588</v>
      </c>
      <c r="G354" s="29">
        <v>188</v>
      </c>
      <c r="H354" s="29">
        <v>0</v>
      </c>
      <c r="I354" s="29">
        <v>0</v>
      </c>
      <c r="J354" s="29">
        <v>0</v>
      </c>
      <c r="K354" s="29">
        <v>0</v>
      </c>
      <c r="L354" s="29">
        <v>0</v>
      </c>
      <c r="M354" s="29">
        <v>0</v>
      </c>
      <c r="N354" s="29">
        <v>0</v>
      </c>
      <c r="O354" s="29">
        <v>0</v>
      </c>
    </row>
    <row r="355" spans="1:15" x14ac:dyDescent="0.3">
      <c r="A355" s="28" t="s">
        <v>575</v>
      </c>
      <c r="B355" s="28" t="s">
        <v>576</v>
      </c>
      <c r="C355" s="28" t="s">
        <v>559</v>
      </c>
      <c r="D355" s="28" t="s">
        <v>618</v>
      </c>
      <c r="E355" s="28" t="s">
        <v>580</v>
      </c>
      <c r="F355" s="28" t="s">
        <v>589</v>
      </c>
      <c r="G355" s="29">
        <v>190</v>
      </c>
      <c r="H355" s="29">
        <v>1</v>
      </c>
      <c r="I355" s="29">
        <v>0</v>
      </c>
      <c r="J355" s="29">
        <v>0</v>
      </c>
      <c r="K355" s="29">
        <v>0</v>
      </c>
      <c r="L355" s="29">
        <v>0</v>
      </c>
      <c r="M355" s="29">
        <v>0</v>
      </c>
      <c r="N355" s="29">
        <v>0</v>
      </c>
      <c r="O355" s="29">
        <v>0</v>
      </c>
    </row>
    <row r="356" spans="1:15" x14ac:dyDescent="0.3">
      <c r="A356" s="28" t="s">
        <v>575</v>
      </c>
      <c r="B356" s="28" t="s">
        <v>576</v>
      </c>
      <c r="C356" s="28" t="s">
        <v>559</v>
      </c>
      <c r="D356" s="28" t="s">
        <v>618</v>
      </c>
      <c r="E356" s="28" t="s">
        <v>580</v>
      </c>
      <c r="F356" s="28" t="s">
        <v>590</v>
      </c>
      <c r="G356" s="29">
        <v>191</v>
      </c>
      <c r="H356" s="29">
        <v>1</v>
      </c>
      <c r="I356" s="29">
        <v>0</v>
      </c>
      <c r="J356" s="29">
        <v>0</v>
      </c>
      <c r="K356" s="29">
        <v>0</v>
      </c>
      <c r="L356" s="29">
        <v>0</v>
      </c>
      <c r="M356" s="29">
        <v>0</v>
      </c>
      <c r="N356" s="29">
        <v>0</v>
      </c>
      <c r="O356" s="29">
        <v>0</v>
      </c>
    </row>
    <row r="357" spans="1:15" x14ac:dyDescent="0.3">
      <c r="A357" s="28" t="s">
        <v>575</v>
      </c>
      <c r="B357" s="28" t="s">
        <v>576</v>
      </c>
      <c r="C357" s="28" t="s">
        <v>559</v>
      </c>
      <c r="D357" s="28" t="s">
        <v>618</v>
      </c>
      <c r="E357" s="28" t="s">
        <v>580</v>
      </c>
      <c r="F357" s="28" t="s">
        <v>591</v>
      </c>
      <c r="G357" s="29">
        <v>197</v>
      </c>
      <c r="H357" s="29">
        <v>3</v>
      </c>
      <c r="I357" s="29">
        <v>0</v>
      </c>
      <c r="J357" s="29">
        <v>0</v>
      </c>
      <c r="K357" s="29">
        <v>0</v>
      </c>
      <c r="L357" s="29">
        <v>0</v>
      </c>
      <c r="M357" s="29">
        <v>0</v>
      </c>
      <c r="N357" s="29">
        <v>0</v>
      </c>
      <c r="O357" s="29">
        <v>0</v>
      </c>
    </row>
    <row r="358" spans="1:15" x14ac:dyDescent="0.3">
      <c r="A358" s="28" t="s">
        <v>575</v>
      </c>
      <c r="B358" s="28" t="s">
        <v>576</v>
      </c>
      <c r="C358" s="28" t="s">
        <v>559</v>
      </c>
      <c r="D358" s="28" t="s">
        <v>618</v>
      </c>
      <c r="E358" s="28" t="s">
        <v>580</v>
      </c>
      <c r="F358" s="28" t="s">
        <v>592</v>
      </c>
      <c r="G358" s="29">
        <v>344</v>
      </c>
      <c r="H358" s="29">
        <v>4</v>
      </c>
      <c r="I358" s="29">
        <v>0</v>
      </c>
      <c r="J358" s="29">
        <v>0</v>
      </c>
      <c r="K358" s="29">
        <v>0</v>
      </c>
      <c r="L358" s="29">
        <v>0</v>
      </c>
      <c r="M358" s="29">
        <v>0</v>
      </c>
      <c r="N358" s="29">
        <v>0</v>
      </c>
      <c r="O358" s="29">
        <v>0</v>
      </c>
    </row>
    <row r="359" spans="1:15" x14ac:dyDescent="0.3">
      <c r="A359" s="28" t="s">
        <v>575</v>
      </c>
      <c r="B359" s="28" t="s">
        <v>576</v>
      </c>
      <c r="C359" s="28" t="s">
        <v>559</v>
      </c>
      <c r="D359" s="28" t="s">
        <v>618</v>
      </c>
      <c r="E359" s="28" t="s">
        <v>580</v>
      </c>
      <c r="F359" s="28" t="s">
        <v>593</v>
      </c>
      <c r="G359" s="29">
        <v>42</v>
      </c>
      <c r="H359" s="29">
        <v>0</v>
      </c>
      <c r="I359" s="29">
        <v>0</v>
      </c>
      <c r="J359" s="29">
        <v>0</v>
      </c>
      <c r="K359" s="29">
        <v>0</v>
      </c>
      <c r="L359" s="29">
        <v>0</v>
      </c>
      <c r="M359" s="29">
        <v>0</v>
      </c>
      <c r="N359" s="29">
        <v>0</v>
      </c>
      <c r="O359" s="29">
        <v>0</v>
      </c>
    </row>
    <row r="360" spans="1:15" x14ac:dyDescent="0.3">
      <c r="A360" s="28" t="s">
        <v>575</v>
      </c>
      <c r="B360" s="28" t="s">
        <v>576</v>
      </c>
      <c r="C360" s="28" t="s">
        <v>559</v>
      </c>
      <c r="D360" s="28" t="s">
        <v>618</v>
      </c>
      <c r="E360" s="28" t="s">
        <v>580</v>
      </c>
      <c r="F360" s="28" t="s">
        <v>594</v>
      </c>
      <c r="G360" s="29">
        <v>202</v>
      </c>
      <c r="H360" s="29">
        <v>0</v>
      </c>
      <c r="I360" s="29">
        <v>0</v>
      </c>
      <c r="J360" s="29">
        <v>0</v>
      </c>
      <c r="K360" s="29">
        <v>0</v>
      </c>
      <c r="L360" s="29">
        <v>0</v>
      </c>
      <c r="M360" s="29">
        <v>0</v>
      </c>
      <c r="N360" s="29">
        <v>0</v>
      </c>
      <c r="O360" s="29">
        <v>0</v>
      </c>
    </row>
    <row r="361" spans="1:15" x14ac:dyDescent="0.3">
      <c r="A361" s="28" t="s">
        <v>575</v>
      </c>
      <c r="B361" s="28" t="s">
        <v>576</v>
      </c>
      <c r="C361" s="28" t="s">
        <v>559</v>
      </c>
      <c r="D361" s="28" t="s">
        <v>618</v>
      </c>
      <c r="E361" s="28" t="s">
        <v>580</v>
      </c>
      <c r="F361" s="28" t="s">
        <v>595</v>
      </c>
      <c r="G361" s="29">
        <v>171</v>
      </c>
      <c r="H361" s="29">
        <v>0</v>
      </c>
      <c r="I361" s="29">
        <v>0</v>
      </c>
      <c r="J361" s="29">
        <v>0</v>
      </c>
      <c r="K361" s="29">
        <v>0</v>
      </c>
      <c r="L361" s="29">
        <v>0</v>
      </c>
      <c r="M361" s="29">
        <v>0</v>
      </c>
      <c r="N361" s="29">
        <v>0</v>
      </c>
      <c r="O361" s="29">
        <v>0</v>
      </c>
    </row>
    <row r="362" spans="1:15" x14ac:dyDescent="0.3">
      <c r="A362" s="28" t="s">
        <v>575</v>
      </c>
      <c r="B362" s="28" t="s">
        <v>576</v>
      </c>
      <c r="C362" s="28" t="s">
        <v>559</v>
      </c>
      <c r="D362" s="28" t="s">
        <v>618</v>
      </c>
      <c r="E362" s="28" t="s">
        <v>596</v>
      </c>
      <c r="F362" s="28" t="s">
        <v>597</v>
      </c>
      <c r="G362" s="29">
        <v>156</v>
      </c>
      <c r="H362" s="29">
        <v>0</v>
      </c>
      <c r="I362" s="29">
        <v>0</v>
      </c>
      <c r="J362" s="29">
        <v>0</v>
      </c>
      <c r="K362" s="29">
        <v>0</v>
      </c>
      <c r="L362" s="29">
        <v>0</v>
      </c>
      <c r="M362" s="29">
        <v>0</v>
      </c>
      <c r="N362" s="29">
        <v>0</v>
      </c>
      <c r="O362" s="29">
        <v>0</v>
      </c>
    </row>
    <row r="363" spans="1:15" x14ac:dyDescent="0.3">
      <c r="A363" s="28" t="s">
        <v>575</v>
      </c>
      <c r="B363" s="28" t="s">
        <v>576</v>
      </c>
      <c r="C363" s="28" t="s">
        <v>559</v>
      </c>
      <c r="D363" s="28" t="s">
        <v>618</v>
      </c>
      <c r="E363" s="28" t="s">
        <v>596</v>
      </c>
      <c r="F363" s="28" t="s">
        <v>598</v>
      </c>
      <c r="G363" s="29">
        <v>155</v>
      </c>
      <c r="H363" s="29">
        <v>2</v>
      </c>
      <c r="I363" s="29">
        <v>0</v>
      </c>
      <c r="J363" s="29">
        <v>0</v>
      </c>
      <c r="K363" s="29">
        <v>0</v>
      </c>
      <c r="L363" s="29">
        <v>0</v>
      </c>
      <c r="M363" s="29">
        <v>0</v>
      </c>
      <c r="N363" s="29">
        <v>0</v>
      </c>
      <c r="O363" s="29">
        <v>0</v>
      </c>
    </row>
    <row r="364" spans="1:15" x14ac:dyDescent="0.3">
      <c r="A364" s="28" t="s">
        <v>575</v>
      </c>
      <c r="B364" s="28" t="s">
        <v>576</v>
      </c>
      <c r="C364" s="28" t="s">
        <v>559</v>
      </c>
      <c r="D364" s="28" t="s">
        <v>618</v>
      </c>
      <c r="E364" s="28" t="s">
        <v>596</v>
      </c>
      <c r="F364" s="28" t="s">
        <v>599</v>
      </c>
      <c r="G364" s="29">
        <v>103</v>
      </c>
      <c r="H364" s="29">
        <v>2</v>
      </c>
      <c r="I364" s="29">
        <v>0</v>
      </c>
      <c r="J364" s="29">
        <v>0</v>
      </c>
      <c r="K364" s="29">
        <v>0</v>
      </c>
      <c r="L364" s="29">
        <v>0</v>
      </c>
      <c r="M364" s="29">
        <v>0</v>
      </c>
      <c r="N364" s="29">
        <v>0</v>
      </c>
      <c r="O364" s="29">
        <v>0</v>
      </c>
    </row>
    <row r="365" spans="1:15" x14ac:dyDescent="0.3">
      <c r="A365" s="28" t="s">
        <v>575</v>
      </c>
      <c r="B365" s="28" t="s">
        <v>576</v>
      </c>
      <c r="C365" s="28" t="s">
        <v>559</v>
      </c>
      <c r="D365" s="28" t="s">
        <v>618</v>
      </c>
      <c r="E365" s="28" t="s">
        <v>596</v>
      </c>
      <c r="F365" s="28" t="s">
        <v>600</v>
      </c>
      <c r="G365" s="29">
        <v>97</v>
      </c>
      <c r="H365" s="29">
        <v>1</v>
      </c>
      <c r="I365" s="29">
        <v>0</v>
      </c>
      <c r="J365" s="29">
        <v>0</v>
      </c>
      <c r="K365" s="29">
        <v>0</v>
      </c>
      <c r="L365" s="29">
        <v>0</v>
      </c>
      <c r="M365" s="29">
        <v>0</v>
      </c>
      <c r="N365" s="29">
        <v>0</v>
      </c>
      <c r="O365" s="29">
        <v>0</v>
      </c>
    </row>
    <row r="366" spans="1:15" x14ac:dyDescent="0.3">
      <c r="A366" s="28" t="s">
        <v>575</v>
      </c>
      <c r="B366" s="28" t="s">
        <v>576</v>
      </c>
      <c r="C366" s="28" t="s">
        <v>559</v>
      </c>
      <c r="D366" s="28" t="s">
        <v>618</v>
      </c>
      <c r="E366" s="28" t="s">
        <v>596</v>
      </c>
      <c r="F366" s="28" t="s">
        <v>601</v>
      </c>
      <c r="G366" s="29">
        <v>131</v>
      </c>
      <c r="H366" s="29">
        <v>1</v>
      </c>
      <c r="I366" s="29">
        <v>0</v>
      </c>
      <c r="J366" s="29">
        <v>0</v>
      </c>
      <c r="K366" s="29">
        <v>0</v>
      </c>
      <c r="L366" s="29">
        <v>0</v>
      </c>
      <c r="M366" s="29">
        <v>0</v>
      </c>
      <c r="N366" s="29">
        <v>0</v>
      </c>
      <c r="O366" s="29">
        <v>0</v>
      </c>
    </row>
    <row r="367" spans="1:15" x14ac:dyDescent="0.3">
      <c r="A367" s="28" t="s">
        <v>575</v>
      </c>
      <c r="B367" s="28" t="s">
        <v>576</v>
      </c>
      <c r="C367" s="28" t="s">
        <v>559</v>
      </c>
      <c r="D367" s="28" t="s">
        <v>618</v>
      </c>
      <c r="E367" s="28" t="s">
        <v>596</v>
      </c>
      <c r="F367" s="28" t="s">
        <v>602</v>
      </c>
      <c r="G367" s="29">
        <v>335</v>
      </c>
      <c r="H367" s="29">
        <v>1</v>
      </c>
      <c r="I367" s="29">
        <v>0</v>
      </c>
      <c r="J367" s="29">
        <v>0</v>
      </c>
      <c r="K367" s="29">
        <v>0</v>
      </c>
      <c r="L367" s="29">
        <v>0</v>
      </c>
      <c r="M367" s="29">
        <v>0</v>
      </c>
      <c r="N367" s="29">
        <v>0</v>
      </c>
      <c r="O367" s="29">
        <v>0</v>
      </c>
    </row>
    <row r="368" spans="1:15" x14ac:dyDescent="0.3">
      <c r="A368" s="28" t="s">
        <v>575</v>
      </c>
      <c r="B368" s="28" t="s">
        <v>576</v>
      </c>
      <c r="C368" s="28" t="s">
        <v>559</v>
      </c>
      <c r="D368" s="28" t="s">
        <v>618</v>
      </c>
      <c r="E368" s="28" t="s">
        <v>596</v>
      </c>
      <c r="F368" s="28" t="s">
        <v>603</v>
      </c>
      <c r="G368" s="29">
        <v>231</v>
      </c>
      <c r="H368" s="29">
        <v>0</v>
      </c>
      <c r="I368" s="29">
        <v>0</v>
      </c>
      <c r="J368" s="29">
        <v>0</v>
      </c>
      <c r="K368" s="29">
        <v>0</v>
      </c>
      <c r="L368" s="29">
        <v>0</v>
      </c>
      <c r="M368" s="29">
        <v>0</v>
      </c>
      <c r="N368" s="29">
        <v>0</v>
      </c>
      <c r="O368" s="29">
        <v>0</v>
      </c>
    </row>
    <row r="369" spans="1:15" x14ac:dyDescent="0.3">
      <c r="A369" s="28" t="s">
        <v>575</v>
      </c>
      <c r="B369" s="28" t="s">
        <v>576</v>
      </c>
      <c r="C369" s="28" t="s">
        <v>559</v>
      </c>
      <c r="D369" s="28" t="s">
        <v>618</v>
      </c>
      <c r="E369" s="28" t="s">
        <v>596</v>
      </c>
      <c r="F369" s="28" t="s">
        <v>604</v>
      </c>
      <c r="G369" s="29">
        <v>357</v>
      </c>
      <c r="H369" s="29">
        <v>0</v>
      </c>
      <c r="I369" s="29">
        <v>0</v>
      </c>
      <c r="J369" s="29">
        <v>0</v>
      </c>
      <c r="K369" s="29">
        <v>0</v>
      </c>
      <c r="L369" s="29">
        <v>0</v>
      </c>
      <c r="M369" s="29">
        <v>0</v>
      </c>
      <c r="N369" s="29">
        <v>0</v>
      </c>
      <c r="O369" s="29">
        <v>0</v>
      </c>
    </row>
    <row r="370" spans="1:15" x14ac:dyDescent="0.3">
      <c r="A370" s="28" t="s">
        <v>575</v>
      </c>
      <c r="B370" s="28" t="s">
        <v>576</v>
      </c>
      <c r="C370" s="28" t="s">
        <v>559</v>
      </c>
      <c r="D370" s="28" t="s">
        <v>618</v>
      </c>
      <c r="E370" s="28" t="s">
        <v>596</v>
      </c>
      <c r="F370" s="28" t="s">
        <v>581</v>
      </c>
      <c r="G370" s="29">
        <v>179</v>
      </c>
      <c r="H370" s="29">
        <v>1</v>
      </c>
      <c r="I370" s="29">
        <v>0</v>
      </c>
      <c r="J370" s="29">
        <v>0</v>
      </c>
      <c r="K370" s="29">
        <v>0</v>
      </c>
      <c r="L370" s="29">
        <v>0</v>
      </c>
      <c r="M370" s="29">
        <v>0</v>
      </c>
      <c r="N370" s="29">
        <v>0</v>
      </c>
      <c r="O370" s="29">
        <v>0</v>
      </c>
    </row>
    <row r="371" spans="1:15" x14ac:dyDescent="0.3">
      <c r="A371" s="28" t="s">
        <v>575</v>
      </c>
      <c r="B371" s="28" t="s">
        <v>576</v>
      </c>
      <c r="C371" s="28" t="s">
        <v>559</v>
      </c>
      <c r="D371" s="28" t="s">
        <v>618</v>
      </c>
      <c r="E371" s="28" t="s">
        <v>596</v>
      </c>
      <c r="F371" s="28" t="s">
        <v>582</v>
      </c>
      <c r="G371" s="29">
        <v>208</v>
      </c>
      <c r="H371" s="29">
        <v>2</v>
      </c>
      <c r="I371" s="29">
        <v>0</v>
      </c>
      <c r="J371" s="29">
        <v>0</v>
      </c>
      <c r="K371" s="29">
        <v>0</v>
      </c>
      <c r="L371" s="29">
        <v>0</v>
      </c>
      <c r="M371" s="29">
        <v>0</v>
      </c>
      <c r="N371" s="29">
        <v>0</v>
      </c>
      <c r="O371" s="29">
        <v>0</v>
      </c>
    </row>
    <row r="372" spans="1:15" x14ac:dyDescent="0.3">
      <c r="A372" s="28" t="s">
        <v>575</v>
      </c>
      <c r="B372" s="28" t="s">
        <v>576</v>
      </c>
      <c r="C372" s="28" t="s">
        <v>559</v>
      </c>
      <c r="D372" s="28" t="s">
        <v>618</v>
      </c>
      <c r="E372" s="28" t="s">
        <v>596</v>
      </c>
      <c r="F372" s="28" t="s">
        <v>583</v>
      </c>
      <c r="G372" s="29">
        <v>173</v>
      </c>
      <c r="H372" s="29">
        <v>0</v>
      </c>
      <c r="I372" s="29">
        <v>0</v>
      </c>
      <c r="J372" s="29">
        <v>0</v>
      </c>
      <c r="K372" s="29">
        <v>0</v>
      </c>
      <c r="L372" s="29">
        <v>0</v>
      </c>
      <c r="M372" s="29">
        <v>0</v>
      </c>
      <c r="N372" s="29">
        <v>0</v>
      </c>
      <c r="O372" s="29">
        <v>0</v>
      </c>
    </row>
    <row r="373" spans="1:15" x14ac:dyDescent="0.3">
      <c r="A373" s="28" t="s">
        <v>575</v>
      </c>
      <c r="B373" s="28" t="s">
        <v>576</v>
      </c>
      <c r="C373" s="28" t="s">
        <v>559</v>
      </c>
      <c r="D373" s="28" t="s">
        <v>618</v>
      </c>
      <c r="E373" s="28" t="s">
        <v>596</v>
      </c>
      <c r="F373" s="28" t="s">
        <v>584</v>
      </c>
      <c r="G373" s="29">
        <v>198</v>
      </c>
      <c r="H373" s="29">
        <v>0</v>
      </c>
      <c r="I373" s="29">
        <v>0</v>
      </c>
      <c r="J373" s="29">
        <v>0</v>
      </c>
      <c r="K373" s="29">
        <v>0</v>
      </c>
      <c r="L373" s="29">
        <v>0</v>
      </c>
      <c r="M373" s="29">
        <v>0</v>
      </c>
      <c r="N373" s="29">
        <v>0</v>
      </c>
      <c r="O373" s="29">
        <v>0</v>
      </c>
    </row>
    <row r="374" spans="1:15" x14ac:dyDescent="0.3">
      <c r="A374" s="28" t="s">
        <v>575</v>
      </c>
      <c r="B374" s="28" t="s">
        <v>576</v>
      </c>
      <c r="C374" s="28" t="s">
        <v>559</v>
      </c>
      <c r="D374" s="28" t="s">
        <v>618</v>
      </c>
      <c r="E374" s="28" t="s">
        <v>596</v>
      </c>
      <c r="F374" s="28" t="s">
        <v>585</v>
      </c>
      <c r="G374" s="29">
        <v>188</v>
      </c>
      <c r="H374" s="29">
        <v>2</v>
      </c>
      <c r="I374" s="29">
        <v>0</v>
      </c>
      <c r="J374" s="29">
        <v>0</v>
      </c>
      <c r="K374" s="29">
        <v>0</v>
      </c>
      <c r="L374" s="29">
        <v>0</v>
      </c>
      <c r="M374" s="29">
        <v>0</v>
      </c>
      <c r="N374" s="29">
        <v>0</v>
      </c>
      <c r="O374" s="29">
        <v>0</v>
      </c>
    </row>
    <row r="375" spans="1:15" x14ac:dyDescent="0.3">
      <c r="A375" s="28" t="s">
        <v>575</v>
      </c>
      <c r="B375" s="28" t="s">
        <v>576</v>
      </c>
      <c r="C375" s="28" t="s">
        <v>559</v>
      </c>
      <c r="D375" s="28" t="s">
        <v>618</v>
      </c>
      <c r="E375" s="28" t="s">
        <v>596</v>
      </c>
      <c r="F375" s="28" t="s">
        <v>586</v>
      </c>
      <c r="G375" s="29">
        <v>161</v>
      </c>
      <c r="H375" s="29">
        <v>0</v>
      </c>
      <c r="I375" s="29">
        <v>0</v>
      </c>
      <c r="J375" s="29">
        <v>0</v>
      </c>
      <c r="K375" s="29">
        <v>0</v>
      </c>
      <c r="L375" s="29">
        <v>0</v>
      </c>
      <c r="M375" s="29">
        <v>0</v>
      </c>
      <c r="N375" s="29">
        <v>0</v>
      </c>
      <c r="O375" s="29">
        <v>0</v>
      </c>
    </row>
    <row r="376" spans="1:15" x14ac:dyDescent="0.3">
      <c r="A376" s="28" t="s">
        <v>575</v>
      </c>
      <c r="B376" s="28" t="s">
        <v>576</v>
      </c>
      <c r="C376" s="28" t="s">
        <v>559</v>
      </c>
      <c r="D376" s="28" t="s">
        <v>618</v>
      </c>
      <c r="E376" s="28" t="s">
        <v>596</v>
      </c>
      <c r="F376" s="28" t="s">
        <v>587</v>
      </c>
      <c r="G376" s="29">
        <v>189</v>
      </c>
      <c r="H376" s="29">
        <v>0</v>
      </c>
      <c r="I376" s="29">
        <v>1</v>
      </c>
      <c r="J376" s="29">
        <v>0</v>
      </c>
      <c r="K376" s="29">
        <v>1</v>
      </c>
      <c r="L376" s="29">
        <v>0</v>
      </c>
      <c r="M376" s="29">
        <v>0</v>
      </c>
      <c r="N376" s="29">
        <v>0</v>
      </c>
      <c r="O376" s="29">
        <v>0</v>
      </c>
    </row>
    <row r="377" spans="1:15" x14ac:dyDescent="0.3">
      <c r="A377" s="28" t="s">
        <v>575</v>
      </c>
      <c r="B377" s="28" t="s">
        <v>576</v>
      </c>
      <c r="C377" s="28" t="s">
        <v>559</v>
      </c>
      <c r="D377" s="28" t="s">
        <v>618</v>
      </c>
      <c r="E377" s="28" t="s">
        <v>596</v>
      </c>
      <c r="F377" s="28" t="s">
        <v>579</v>
      </c>
      <c r="G377" s="29">
        <v>192</v>
      </c>
      <c r="H377" s="29">
        <v>0</v>
      </c>
      <c r="I377" s="29">
        <v>0</v>
      </c>
      <c r="J377" s="29">
        <v>0</v>
      </c>
      <c r="K377" s="29">
        <v>0</v>
      </c>
      <c r="L377" s="29">
        <v>0</v>
      </c>
      <c r="M377" s="29">
        <v>0</v>
      </c>
      <c r="N377" s="29">
        <v>0</v>
      </c>
      <c r="O377" s="29">
        <v>0</v>
      </c>
    </row>
    <row r="378" spans="1:15" x14ac:dyDescent="0.3">
      <c r="A378" s="28" t="s">
        <v>575</v>
      </c>
      <c r="B378" s="28" t="s">
        <v>576</v>
      </c>
      <c r="C378" s="28" t="s">
        <v>559</v>
      </c>
      <c r="D378" s="28" t="s">
        <v>618</v>
      </c>
      <c r="E378" s="28" t="s">
        <v>596</v>
      </c>
      <c r="F378" s="28" t="s">
        <v>588</v>
      </c>
      <c r="G378" s="29">
        <v>183</v>
      </c>
      <c r="H378" s="29">
        <v>0</v>
      </c>
      <c r="I378" s="29">
        <v>0</v>
      </c>
      <c r="J378" s="29">
        <v>0</v>
      </c>
      <c r="K378" s="29">
        <v>0</v>
      </c>
      <c r="L378" s="29">
        <v>0</v>
      </c>
      <c r="M378" s="29">
        <v>0</v>
      </c>
      <c r="N378" s="29">
        <v>0</v>
      </c>
      <c r="O378" s="29">
        <v>0</v>
      </c>
    </row>
    <row r="379" spans="1:15" x14ac:dyDescent="0.3">
      <c r="A379" s="28" t="s">
        <v>575</v>
      </c>
      <c r="B379" s="28" t="s">
        <v>576</v>
      </c>
      <c r="C379" s="28" t="s">
        <v>559</v>
      </c>
      <c r="D379" s="28" t="s">
        <v>618</v>
      </c>
      <c r="E379" s="28" t="s">
        <v>596</v>
      </c>
      <c r="F379" s="28" t="s">
        <v>589</v>
      </c>
      <c r="G379" s="29">
        <v>170</v>
      </c>
      <c r="H379" s="29">
        <v>0</v>
      </c>
      <c r="I379" s="29">
        <v>1</v>
      </c>
      <c r="J379" s="29">
        <v>0</v>
      </c>
      <c r="K379" s="29">
        <v>1</v>
      </c>
      <c r="L379" s="29">
        <v>0</v>
      </c>
      <c r="M379" s="29">
        <v>0</v>
      </c>
      <c r="N379" s="29">
        <v>0</v>
      </c>
      <c r="O379" s="29">
        <v>0</v>
      </c>
    </row>
    <row r="380" spans="1:15" x14ac:dyDescent="0.3">
      <c r="A380" s="28" t="s">
        <v>575</v>
      </c>
      <c r="B380" s="28" t="s">
        <v>576</v>
      </c>
      <c r="C380" s="28" t="s">
        <v>559</v>
      </c>
      <c r="D380" s="28" t="s">
        <v>618</v>
      </c>
      <c r="E380" s="28" t="s">
        <v>596</v>
      </c>
      <c r="F380" s="28" t="s">
        <v>590</v>
      </c>
      <c r="G380" s="29">
        <v>159</v>
      </c>
      <c r="H380" s="29">
        <v>1</v>
      </c>
      <c r="I380" s="29">
        <v>2</v>
      </c>
      <c r="J380" s="29">
        <v>2</v>
      </c>
      <c r="K380" s="29">
        <v>0</v>
      </c>
      <c r="L380" s="29">
        <v>0</v>
      </c>
      <c r="M380" s="29">
        <v>0</v>
      </c>
      <c r="N380" s="29">
        <v>0</v>
      </c>
      <c r="O380" s="29">
        <v>0</v>
      </c>
    </row>
    <row r="381" spans="1:15" x14ac:dyDescent="0.3">
      <c r="A381" s="28" t="s">
        <v>575</v>
      </c>
      <c r="B381" s="28" t="s">
        <v>576</v>
      </c>
      <c r="C381" s="28" t="s">
        <v>559</v>
      </c>
      <c r="D381" s="28" t="s">
        <v>618</v>
      </c>
      <c r="E381" s="28" t="s">
        <v>596</v>
      </c>
      <c r="F381" s="28" t="s">
        <v>591</v>
      </c>
      <c r="G381" s="29">
        <v>217</v>
      </c>
      <c r="H381" s="29">
        <v>3</v>
      </c>
      <c r="I381" s="29">
        <v>0</v>
      </c>
      <c r="J381" s="29">
        <v>0</v>
      </c>
      <c r="K381" s="29">
        <v>0</v>
      </c>
      <c r="L381" s="29">
        <v>0</v>
      </c>
      <c r="M381" s="29">
        <v>0</v>
      </c>
      <c r="N381" s="29">
        <v>0</v>
      </c>
      <c r="O381" s="29">
        <v>0</v>
      </c>
    </row>
    <row r="382" spans="1:15" x14ac:dyDescent="0.3">
      <c r="A382" s="28" t="s">
        <v>575</v>
      </c>
      <c r="B382" s="28" t="s">
        <v>576</v>
      </c>
      <c r="C382" s="28" t="s">
        <v>559</v>
      </c>
      <c r="D382" s="28" t="s">
        <v>618</v>
      </c>
      <c r="E382" s="28" t="s">
        <v>596</v>
      </c>
      <c r="F382" s="28" t="s">
        <v>592</v>
      </c>
      <c r="G382" s="29">
        <v>307</v>
      </c>
      <c r="H382" s="29">
        <v>0</v>
      </c>
      <c r="I382" s="29">
        <v>0</v>
      </c>
      <c r="J382" s="29">
        <v>0</v>
      </c>
      <c r="K382" s="29">
        <v>0</v>
      </c>
      <c r="L382" s="29">
        <v>0</v>
      </c>
      <c r="M382" s="29">
        <v>0</v>
      </c>
      <c r="N382" s="29">
        <v>0</v>
      </c>
      <c r="O382" s="29">
        <v>0</v>
      </c>
    </row>
    <row r="383" spans="1:15" x14ac:dyDescent="0.3">
      <c r="A383" s="28" t="s">
        <v>575</v>
      </c>
      <c r="B383" s="28" t="s">
        <v>576</v>
      </c>
      <c r="C383" s="28" t="s">
        <v>559</v>
      </c>
      <c r="D383" s="28" t="s">
        <v>618</v>
      </c>
      <c r="E383" s="28" t="s">
        <v>596</v>
      </c>
      <c r="F383" s="28" t="s">
        <v>593</v>
      </c>
      <c r="G383" s="29">
        <v>37</v>
      </c>
      <c r="H383" s="29">
        <v>0</v>
      </c>
      <c r="I383" s="29">
        <v>0</v>
      </c>
      <c r="J383" s="29">
        <v>0</v>
      </c>
      <c r="K383" s="29">
        <v>0</v>
      </c>
      <c r="L383" s="29">
        <v>0</v>
      </c>
      <c r="M383" s="29">
        <v>0</v>
      </c>
      <c r="N383" s="29">
        <v>0</v>
      </c>
      <c r="O383" s="29">
        <v>0</v>
      </c>
    </row>
    <row r="384" spans="1:15" x14ac:dyDescent="0.3">
      <c r="A384" s="28" t="s">
        <v>575</v>
      </c>
      <c r="B384" s="28" t="s">
        <v>576</v>
      </c>
      <c r="C384" s="28" t="s">
        <v>559</v>
      </c>
      <c r="D384" s="28" t="s">
        <v>618</v>
      </c>
      <c r="E384" s="28" t="s">
        <v>596</v>
      </c>
      <c r="F384" s="28" t="s">
        <v>594</v>
      </c>
      <c r="G384" s="29">
        <v>176</v>
      </c>
      <c r="H384" s="29">
        <v>2</v>
      </c>
      <c r="I384" s="29">
        <v>0</v>
      </c>
      <c r="J384" s="29">
        <v>0</v>
      </c>
      <c r="K384" s="29">
        <v>0</v>
      </c>
      <c r="L384" s="29">
        <v>0</v>
      </c>
      <c r="M384" s="29">
        <v>0</v>
      </c>
      <c r="N384" s="29">
        <v>0</v>
      </c>
      <c r="O384" s="29">
        <v>0</v>
      </c>
    </row>
    <row r="385" spans="1:15" x14ac:dyDescent="0.3">
      <c r="A385" s="28" t="s">
        <v>575</v>
      </c>
      <c r="B385" s="28" t="s">
        <v>576</v>
      </c>
      <c r="C385" s="28" t="s">
        <v>559</v>
      </c>
      <c r="D385" s="28" t="s">
        <v>618</v>
      </c>
      <c r="E385" s="28" t="s">
        <v>596</v>
      </c>
      <c r="F385" s="28" t="s">
        <v>595</v>
      </c>
      <c r="G385" s="29">
        <v>167</v>
      </c>
      <c r="H385" s="29">
        <v>0</v>
      </c>
      <c r="I385" s="29">
        <v>0</v>
      </c>
      <c r="J385" s="29">
        <v>0</v>
      </c>
      <c r="K385" s="29">
        <v>0</v>
      </c>
      <c r="L385" s="29">
        <v>0</v>
      </c>
      <c r="M385" s="29">
        <v>0</v>
      </c>
      <c r="N385" s="29">
        <v>0</v>
      </c>
      <c r="O385" s="29">
        <v>0</v>
      </c>
    </row>
    <row r="386" spans="1:15" x14ac:dyDescent="0.3">
      <c r="A386" s="28" t="s">
        <v>575</v>
      </c>
      <c r="B386" s="28" t="s">
        <v>576</v>
      </c>
      <c r="C386" s="28" t="s">
        <v>559</v>
      </c>
      <c r="D386" s="28" t="s">
        <v>618</v>
      </c>
      <c r="E386" s="28" t="s">
        <v>605</v>
      </c>
      <c r="F386" s="28" t="s">
        <v>597</v>
      </c>
      <c r="G386" s="29">
        <v>159</v>
      </c>
      <c r="H386" s="29">
        <v>0</v>
      </c>
      <c r="I386" s="29">
        <v>0</v>
      </c>
      <c r="J386" s="29">
        <v>0</v>
      </c>
      <c r="K386" s="29">
        <v>0</v>
      </c>
      <c r="L386" s="29">
        <v>0</v>
      </c>
      <c r="M386" s="29">
        <v>0</v>
      </c>
      <c r="N386" s="29">
        <v>0</v>
      </c>
      <c r="O386" s="29">
        <v>0</v>
      </c>
    </row>
    <row r="387" spans="1:15" x14ac:dyDescent="0.3">
      <c r="A387" s="28" t="s">
        <v>575</v>
      </c>
      <c r="B387" s="28" t="s">
        <v>576</v>
      </c>
      <c r="C387" s="28" t="s">
        <v>559</v>
      </c>
      <c r="D387" s="28" t="s">
        <v>618</v>
      </c>
      <c r="E387" s="28" t="s">
        <v>605</v>
      </c>
      <c r="F387" s="28" t="s">
        <v>598</v>
      </c>
      <c r="G387" s="29">
        <v>124</v>
      </c>
      <c r="H387" s="29">
        <v>1</v>
      </c>
      <c r="I387" s="29">
        <v>0</v>
      </c>
      <c r="J387" s="29">
        <v>0</v>
      </c>
      <c r="K387" s="29">
        <v>0</v>
      </c>
      <c r="L387" s="29">
        <v>0</v>
      </c>
      <c r="M387" s="29">
        <v>0</v>
      </c>
      <c r="N387" s="29">
        <v>0</v>
      </c>
      <c r="O387" s="29">
        <v>0</v>
      </c>
    </row>
    <row r="388" spans="1:15" x14ac:dyDescent="0.3">
      <c r="A388" s="28" t="s">
        <v>575</v>
      </c>
      <c r="B388" s="28" t="s">
        <v>576</v>
      </c>
      <c r="C388" s="28" t="s">
        <v>559</v>
      </c>
      <c r="D388" s="28" t="s">
        <v>618</v>
      </c>
      <c r="E388" s="28" t="s">
        <v>605</v>
      </c>
      <c r="F388" s="28" t="s">
        <v>599</v>
      </c>
      <c r="G388" s="29">
        <v>96</v>
      </c>
      <c r="H388" s="29">
        <v>0</v>
      </c>
      <c r="I388" s="29">
        <v>0</v>
      </c>
      <c r="J388" s="29">
        <v>0</v>
      </c>
      <c r="K388" s="29">
        <v>0</v>
      </c>
      <c r="L388" s="29">
        <v>0</v>
      </c>
      <c r="M388" s="29">
        <v>0</v>
      </c>
      <c r="N388" s="29">
        <v>0</v>
      </c>
      <c r="O388" s="29">
        <v>0</v>
      </c>
    </row>
    <row r="389" spans="1:15" x14ac:dyDescent="0.3">
      <c r="A389" s="28" t="s">
        <v>575</v>
      </c>
      <c r="B389" s="28" t="s">
        <v>576</v>
      </c>
      <c r="C389" s="28" t="s">
        <v>559</v>
      </c>
      <c r="D389" s="28" t="s">
        <v>618</v>
      </c>
      <c r="E389" s="28" t="s">
        <v>605</v>
      </c>
      <c r="F389" s="28" t="s">
        <v>600</v>
      </c>
      <c r="G389" s="29">
        <v>88</v>
      </c>
      <c r="H389" s="29">
        <v>0</v>
      </c>
      <c r="I389" s="29">
        <v>0</v>
      </c>
      <c r="J389" s="29">
        <v>0</v>
      </c>
      <c r="K389" s="29">
        <v>0</v>
      </c>
      <c r="L389" s="29">
        <v>0</v>
      </c>
      <c r="M389" s="29">
        <v>0</v>
      </c>
      <c r="N389" s="29">
        <v>0</v>
      </c>
      <c r="O389" s="29">
        <v>0</v>
      </c>
    </row>
    <row r="390" spans="1:15" x14ac:dyDescent="0.3">
      <c r="A390" s="28" t="s">
        <v>575</v>
      </c>
      <c r="B390" s="28" t="s">
        <v>576</v>
      </c>
      <c r="C390" s="28" t="s">
        <v>559</v>
      </c>
      <c r="D390" s="28" t="s">
        <v>618</v>
      </c>
      <c r="E390" s="28" t="s">
        <v>605</v>
      </c>
      <c r="F390" s="28" t="s">
        <v>601</v>
      </c>
      <c r="G390" s="29">
        <v>101</v>
      </c>
      <c r="H390" s="29">
        <v>0</v>
      </c>
      <c r="I390" s="29">
        <v>0</v>
      </c>
      <c r="J390" s="29">
        <v>0</v>
      </c>
      <c r="K390" s="29">
        <v>0</v>
      </c>
      <c r="L390" s="29">
        <v>0</v>
      </c>
      <c r="M390" s="29">
        <v>0</v>
      </c>
      <c r="N390" s="29">
        <v>0</v>
      </c>
      <c r="O390" s="29">
        <v>0</v>
      </c>
    </row>
    <row r="391" spans="1:15" x14ac:dyDescent="0.3">
      <c r="A391" s="28" t="s">
        <v>575</v>
      </c>
      <c r="B391" s="28" t="s">
        <v>576</v>
      </c>
      <c r="C391" s="28" t="s">
        <v>559</v>
      </c>
      <c r="D391" s="28" t="s">
        <v>618</v>
      </c>
      <c r="E391" s="28" t="s">
        <v>605</v>
      </c>
      <c r="F391" s="28" t="s">
        <v>602</v>
      </c>
      <c r="G391" s="29">
        <v>347</v>
      </c>
      <c r="H391" s="29">
        <v>1</v>
      </c>
      <c r="I391" s="29">
        <v>0</v>
      </c>
      <c r="J391" s="29">
        <v>0</v>
      </c>
      <c r="K391" s="29">
        <v>0</v>
      </c>
      <c r="L391" s="29">
        <v>0</v>
      </c>
      <c r="M391" s="29">
        <v>0</v>
      </c>
      <c r="N391" s="29">
        <v>0</v>
      </c>
      <c r="O391" s="29">
        <v>0</v>
      </c>
    </row>
    <row r="392" spans="1:15" x14ac:dyDescent="0.3">
      <c r="A392" s="28" t="s">
        <v>575</v>
      </c>
      <c r="B392" s="28" t="s">
        <v>576</v>
      </c>
      <c r="C392" s="28" t="s">
        <v>559</v>
      </c>
      <c r="D392" s="28" t="s">
        <v>618</v>
      </c>
      <c r="E392" s="28" t="s">
        <v>605</v>
      </c>
      <c r="F392" s="28" t="s">
        <v>603</v>
      </c>
      <c r="G392" s="29">
        <v>228</v>
      </c>
      <c r="H392" s="29">
        <v>0</v>
      </c>
      <c r="I392" s="29">
        <v>2</v>
      </c>
      <c r="J392" s="29">
        <v>0</v>
      </c>
      <c r="K392" s="29">
        <v>2</v>
      </c>
      <c r="L392" s="29">
        <v>0</v>
      </c>
      <c r="M392" s="29">
        <v>0</v>
      </c>
      <c r="N392" s="29">
        <v>0</v>
      </c>
      <c r="O392" s="29">
        <v>0</v>
      </c>
    </row>
    <row r="393" spans="1:15" x14ac:dyDescent="0.3">
      <c r="A393" s="28" t="s">
        <v>575</v>
      </c>
      <c r="B393" s="28" t="s">
        <v>576</v>
      </c>
      <c r="C393" s="28" t="s">
        <v>559</v>
      </c>
      <c r="D393" s="28" t="s">
        <v>618</v>
      </c>
      <c r="E393" s="28" t="s">
        <v>605</v>
      </c>
      <c r="F393" s="28" t="s">
        <v>604</v>
      </c>
      <c r="G393" s="29">
        <v>319</v>
      </c>
      <c r="H393" s="29">
        <v>1</v>
      </c>
      <c r="I393" s="29">
        <v>0</v>
      </c>
      <c r="J393" s="29">
        <v>0</v>
      </c>
      <c r="K393" s="29">
        <v>0</v>
      </c>
      <c r="L393" s="29">
        <v>0</v>
      </c>
      <c r="M393" s="29">
        <v>0</v>
      </c>
      <c r="N393" s="29">
        <v>0</v>
      </c>
      <c r="O393" s="29">
        <v>0</v>
      </c>
    </row>
    <row r="394" spans="1:15" x14ac:dyDescent="0.3">
      <c r="A394" s="28" t="s">
        <v>575</v>
      </c>
      <c r="B394" s="28" t="s">
        <v>576</v>
      </c>
      <c r="C394" s="28" t="s">
        <v>559</v>
      </c>
      <c r="D394" s="28" t="s">
        <v>618</v>
      </c>
      <c r="E394" s="28" t="s">
        <v>605</v>
      </c>
      <c r="F394" s="28" t="s">
        <v>581</v>
      </c>
      <c r="G394" s="29">
        <v>166</v>
      </c>
      <c r="H394" s="29">
        <v>1</v>
      </c>
      <c r="I394" s="29">
        <v>0</v>
      </c>
      <c r="J394" s="29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0</v>
      </c>
    </row>
    <row r="395" spans="1:15" x14ac:dyDescent="0.3">
      <c r="A395" s="28" t="s">
        <v>575</v>
      </c>
      <c r="B395" s="28" t="s">
        <v>576</v>
      </c>
      <c r="C395" s="28" t="s">
        <v>559</v>
      </c>
      <c r="D395" s="28" t="s">
        <v>618</v>
      </c>
      <c r="E395" s="28" t="s">
        <v>605</v>
      </c>
      <c r="F395" s="28" t="s">
        <v>582</v>
      </c>
      <c r="G395" s="29">
        <v>176</v>
      </c>
      <c r="H395" s="29">
        <v>0</v>
      </c>
      <c r="I395" s="29">
        <v>0</v>
      </c>
      <c r="J395" s="29">
        <v>0</v>
      </c>
      <c r="K395" s="29">
        <v>0</v>
      </c>
      <c r="L395" s="29">
        <v>0</v>
      </c>
      <c r="M395" s="29">
        <v>0</v>
      </c>
      <c r="N395" s="29">
        <v>0</v>
      </c>
      <c r="O395" s="29">
        <v>0</v>
      </c>
    </row>
    <row r="396" spans="1:15" x14ac:dyDescent="0.3">
      <c r="A396" s="28" t="s">
        <v>575</v>
      </c>
      <c r="B396" s="28" t="s">
        <v>576</v>
      </c>
      <c r="C396" s="28" t="s">
        <v>559</v>
      </c>
      <c r="D396" s="28" t="s">
        <v>618</v>
      </c>
      <c r="E396" s="28" t="s">
        <v>605</v>
      </c>
      <c r="F396" s="28" t="s">
        <v>583</v>
      </c>
      <c r="G396" s="29">
        <v>173</v>
      </c>
      <c r="H396" s="29">
        <v>0</v>
      </c>
      <c r="I396" s="29">
        <v>0</v>
      </c>
      <c r="J396" s="29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0</v>
      </c>
    </row>
    <row r="397" spans="1:15" x14ac:dyDescent="0.3">
      <c r="A397" s="28" t="s">
        <v>575</v>
      </c>
      <c r="B397" s="28" t="s">
        <v>576</v>
      </c>
      <c r="C397" s="28" t="s">
        <v>559</v>
      </c>
      <c r="D397" s="28" t="s">
        <v>618</v>
      </c>
      <c r="E397" s="28" t="s">
        <v>605</v>
      </c>
      <c r="F397" s="28" t="s">
        <v>584</v>
      </c>
      <c r="G397" s="29">
        <v>175</v>
      </c>
      <c r="H397" s="29">
        <v>0</v>
      </c>
      <c r="I397" s="29">
        <v>0</v>
      </c>
      <c r="J397" s="29">
        <v>0</v>
      </c>
      <c r="K397" s="29">
        <v>0</v>
      </c>
      <c r="L397" s="29">
        <v>0</v>
      </c>
      <c r="M397" s="29">
        <v>0</v>
      </c>
      <c r="N397" s="29">
        <v>0</v>
      </c>
      <c r="O397" s="29">
        <v>0</v>
      </c>
    </row>
    <row r="398" spans="1:15" x14ac:dyDescent="0.3">
      <c r="A398" s="28" t="s">
        <v>575</v>
      </c>
      <c r="B398" s="28" t="s">
        <v>576</v>
      </c>
      <c r="C398" s="28" t="s">
        <v>559</v>
      </c>
      <c r="D398" s="28" t="s">
        <v>618</v>
      </c>
      <c r="E398" s="28" t="s">
        <v>605</v>
      </c>
      <c r="F398" s="28" t="s">
        <v>585</v>
      </c>
      <c r="G398" s="29">
        <v>183</v>
      </c>
      <c r="H398" s="29">
        <v>0</v>
      </c>
      <c r="I398" s="29">
        <v>0</v>
      </c>
      <c r="J398" s="29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0</v>
      </c>
    </row>
    <row r="399" spans="1:15" x14ac:dyDescent="0.3">
      <c r="A399" s="28" t="s">
        <v>575</v>
      </c>
      <c r="B399" s="28" t="s">
        <v>576</v>
      </c>
      <c r="C399" s="28" t="s">
        <v>559</v>
      </c>
      <c r="D399" s="28" t="s">
        <v>618</v>
      </c>
      <c r="E399" s="28" t="s">
        <v>605</v>
      </c>
      <c r="F399" s="28" t="s">
        <v>586</v>
      </c>
      <c r="G399" s="29">
        <v>186</v>
      </c>
      <c r="H399" s="29">
        <v>1</v>
      </c>
      <c r="I399" s="29">
        <v>0</v>
      </c>
      <c r="J399" s="29">
        <v>0</v>
      </c>
      <c r="K399" s="29">
        <v>0</v>
      </c>
      <c r="L399" s="29">
        <v>0</v>
      </c>
      <c r="M399" s="29">
        <v>0</v>
      </c>
      <c r="N399" s="29">
        <v>0</v>
      </c>
      <c r="O399" s="29">
        <v>0</v>
      </c>
    </row>
    <row r="400" spans="1:15" x14ac:dyDescent="0.3">
      <c r="A400" s="28" t="s">
        <v>575</v>
      </c>
      <c r="B400" s="28" t="s">
        <v>576</v>
      </c>
      <c r="C400" s="28" t="s">
        <v>559</v>
      </c>
      <c r="D400" s="28" t="s">
        <v>618</v>
      </c>
      <c r="E400" s="28" t="s">
        <v>605</v>
      </c>
      <c r="F400" s="28" t="s">
        <v>587</v>
      </c>
      <c r="G400" s="29">
        <v>167</v>
      </c>
      <c r="H400" s="29">
        <v>0</v>
      </c>
      <c r="I400" s="29">
        <v>0</v>
      </c>
      <c r="J400" s="29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0</v>
      </c>
    </row>
    <row r="401" spans="1:15" x14ac:dyDescent="0.3">
      <c r="A401" s="28" t="s">
        <v>575</v>
      </c>
      <c r="B401" s="28" t="s">
        <v>576</v>
      </c>
      <c r="C401" s="28" t="s">
        <v>559</v>
      </c>
      <c r="D401" s="28" t="s">
        <v>618</v>
      </c>
      <c r="E401" s="28" t="s">
        <v>605</v>
      </c>
      <c r="F401" s="28" t="s">
        <v>579</v>
      </c>
      <c r="G401" s="29">
        <v>161</v>
      </c>
      <c r="H401" s="29">
        <v>0</v>
      </c>
      <c r="I401" s="29">
        <v>0</v>
      </c>
      <c r="J401" s="29">
        <v>0</v>
      </c>
      <c r="K401" s="29">
        <v>0</v>
      </c>
      <c r="L401" s="29">
        <v>0</v>
      </c>
      <c r="M401" s="29">
        <v>0</v>
      </c>
      <c r="N401" s="29">
        <v>0</v>
      </c>
      <c r="O401" s="29">
        <v>0</v>
      </c>
    </row>
    <row r="402" spans="1:15" x14ac:dyDescent="0.3">
      <c r="A402" s="28" t="s">
        <v>575</v>
      </c>
      <c r="B402" s="28" t="s">
        <v>576</v>
      </c>
      <c r="C402" s="28" t="s">
        <v>559</v>
      </c>
      <c r="D402" s="28" t="s">
        <v>618</v>
      </c>
      <c r="E402" s="28" t="s">
        <v>605</v>
      </c>
      <c r="F402" s="28" t="s">
        <v>588</v>
      </c>
      <c r="G402" s="29">
        <v>175</v>
      </c>
      <c r="H402" s="29">
        <v>0</v>
      </c>
      <c r="I402" s="29">
        <v>0</v>
      </c>
      <c r="J402" s="29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0</v>
      </c>
    </row>
    <row r="403" spans="1:15" x14ac:dyDescent="0.3">
      <c r="A403" s="28" t="s">
        <v>575</v>
      </c>
      <c r="B403" s="28" t="s">
        <v>576</v>
      </c>
      <c r="C403" s="28" t="s">
        <v>559</v>
      </c>
      <c r="D403" s="28" t="s">
        <v>618</v>
      </c>
      <c r="E403" s="28" t="s">
        <v>605</v>
      </c>
      <c r="F403" s="28" t="s">
        <v>589</v>
      </c>
      <c r="G403" s="29">
        <v>172</v>
      </c>
      <c r="H403" s="29">
        <v>0</v>
      </c>
      <c r="I403" s="29">
        <v>0</v>
      </c>
      <c r="J403" s="29">
        <v>0</v>
      </c>
      <c r="K403" s="29">
        <v>0</v>
      </c>
      <c r="L403" s="29">
        <v>0</v>
      </c>
      <c r="M403" s="29">
        <v>0</v>
      </c>
      <c r="N403" s="29">
        <v>0</v>
      </c>
      <c r="O403" s="29">
        <v>0</v>
      </c>
    </row>
    <row r="404" spans="1:15" x14ac:dyDescent="0.3">
      <c r="A404" s="28" t="s">
        <v>575</v>
      </c>
      <c r="B404" s="28" t="s">
        <v>576</v>
      </c>
      <c r="C404" s="28" t="s">
        <v>559</v>
      </c>
      <c r="D404" s="28" t="s">
        <v>618</v>
      </c>
      <c r="E404" s="28" t="s">
        <v>605</v>
      </c>
      <c r="F404" s="28" t="s">
        <v>590</v>
      </c>
      <c r="G404" s="29">
        <v>166</v>
      </c>
      <c r="H404" s="29">
        <v>0</v>
      </c>
      <c r="I404" s="29">
        <v>0</v>
      </c>
      <c r="J404" s="29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0</v>
      </c>
    </row>
    <row r="405" spans="1:15" x14ac:dyDescent="0.3">
      <c r="A405" s="28" t="s">
        <v>575</v>
      </c>
      <c r="B405" s="28" t="s">
        <v>576</v>
      </c>
      <c r="C405" s="28" t="s">
        <v>559</v>
      </c>
      <c r="D405" s="28" t="s">
        <v>618</v>
      </c>
      <c r="E405" s="28" t="s">
        <v>605</v>
      </c>
      <c r="F405" s="28" t="s">
        <v>591</v>
      </c>
      <c r="G405" s="29">
        <v>201</v>
      </c>
      <c r="H405" s="29">
        <v>0</v>
      </c>
      <c r="I405" s="29">
        <v>0</v>
      </c>
      <c r="J405" s="29">
        <v>0</v>
      </c>
      <c r="K405" s="29">
        <v>0</v>
      </c>
      <c r="L405" s="29">
        <v>0</v>
      </c>
      <c r="M405" s="29">
        <v>0</v>
      </c>
      <c r="N405" s="29">
        <v>0</v>
      </c>
      <c r="O405" s="29">
        <v>0</v>
      </c>
    </row>
    <row r="406" spans="1:15" x14ac:dyDescent="0.3">
      <c r="A406" s="28" t="s">
        <v>575</v>
      </c>
      <c r="B406" s="28" t="s">
        <v>576</v>
      </c>
      <c r="C406" s="28" t="s">
        <v>559</v>
      </c>
      <c r="D406" s="28" t="s">
        <v>618</v>
      </c>
      <c r="E406" s="28" t="s">
        <v>605</v>
      </c>
      <c r="F406" s="28" t="s">
        <v>592</v>
      </c>
      <c r="G406" s="29">
        <v>284</v>
      </c>
      <c r="H406" s="29">
        <v>0</v>
      </c>
      <c r="I406" s="29">
        <v>0</v>
      </c>
      <c r="J406" s="29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0</v>
      </c>
    </row>
    <row r="407" spans="1:15" x14ac:dyDescent="0.3">
      <c r="A407" s="28" t="s">
        <v>575</v>
      </c>
      <c r="B407" s="28" t="s">
        <v>576</v>
      </c>
      <c r="C407" s="28" t="s">
        <v>559</v>
      </c>
      <c r="D407" s="28" t="s">
        <v>618</v>
      </c>
      <c r="E407" s="28" t="s">
        <v>605</v>
      </c>
      <c r="F407" s="28" t="s">
        <v>593</v>
      </c>
      <c r="G407" s="29">
        <v>51</v>
      </c>
      <c r="H407" s="29">
        <v>0</v>
      </c>
      <c r="I407" s="29">
        <v>0</v>
      </c>
      <c r="J407" s="29">
        <v>0</v>
      </c>
      <c r="K407" s="29">
        <v>0</v>
      </c>
      <c r="L407" s="29">
        <v>0</v>
      </c>
      <c r="M407" s="29">
        <v>0</v>
      </c>
      <c r="N407" s="29">
        <v>0</v>
      </c>
      <c r="O407" s="29">
        <v>0</v>
      </c>
    </row>
    <row r="408" spans="1:15" x14ac:dyDescent="0.3">
      <c r="A408" s="28" t="s">
        <v>575</v>
      </c>
      <c r="B408" s="28" t="s">
        <v>576</v>
      </c>
      <c r="C408" s="28" t="s">
        <v>559</v>
      </c>
      <c r="D408" s="28" t="s">
        <v>618</v>
      </c>
      <c r="E408" s="28" t="s">
        <v>605</v>
      </c>
      <c r="F408" s="28" t="s">
        <v>594</v>
      </c>
      <c r="G408" s="29">
        <v>190</v>
      </c>
      <c r="H408" s="29">
        <v>3</v>
      </c>
      <c r="I408" s="29">
        <v>0</v>
      </c>
      <c r="J408" s="29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0</v>
      </c>
    </row>
    <row r="409" spans="1:15" x14ac:dyDescent="0.3">
      <c r="A409" s="28" t="s">
        <v>575</v>
      </c>
      <c r="B409" s="28" t="s">
        <v>576</v>
      </c>
      <c r="C409" s="28" t="s">
        <v>559</v>
      </c>
      <c r="D409" s="28" t="s">
        <v>618</v>
      </c>
      <c r="E409" s="28" t="s">
        <v>605</v>
      </c>
      <c r="F409" s="28" t="s">
        <v>595</v>
      </c>
      <c r="G409" s="29">
        <v>170</v>
      </c>
      <c r="H409" s="29">
        <v>1</v>
      </c>
      <c r="I409" s="29">
        <v>0</v>
      </c>
      <c r="J409" s="29">
        <v>0</v>
      </c>
      <c r="K409" s="29">
        <v>0</v>
      </c>
      <c r="L409" s="29">
        <v>0</v>
      </c>
      <c r="M409" s="29">
        <v>0</v>
      </c>
      <c r="N409" s="29">
        <v>0</v>
      </c>
      <c r="O409" s="29">
        <v>0</v>
      </c>
    </row>
    <row r="410" spans="1:15" x14ac:dyDescent="0.3">
      <c r="A410" s="28" t="s">
        <v>575</v>
      </c>
      <c r="B410" s="28" t="s">
        <v>576</v>
      </c>
      <c r="C410" s="28" t="s">
        <v>559</v>
      </c>
      <c r="D410" s="28" t="s">
        <v>618</v>
      </c>
      <c r="E410" s="28" t="s">
        <v>606</v>
      </c>
      <c r="F410" s="28" t="s">
        <v>597</v>
      </c>
      <c r="G410" s="29">
        <v>146</v>
      </c>
      <c r="H410" s="29">
        <v>1</v>
      </c>
      <c r="I410" s="29">
        <v>0</v>
      </c>
      <c r="J410" s="29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0</v>
      </c>
    </row>
    <row r="411" spans="1:15" x14ac:dyDescent="0.3">
      <c r="A411" s="28" t="s">
        <v>575</v>
      </c>
      <c r="B411" s="28" t="s">
        <v>576</v>
      </c>
      <c r="C411" s="28" t="s">
        <v>559</v>
      </c>
      <c r="D411" s="28" t="s">
        <v>618</v>
      </c>
      <c r="E411" s="28" t="s">
        <v>606</v>
      </c>
      <c r="F411" s="28" t="s">
        <v>598</v>
      </c>
      <c r="G411" s="29">
        <v>114</v>
      </c>
      <c r="H411" s="29">
        <v>0</v>
      </c>
      <c r="I411" s="29">
        <v>0</v>
      </c>
      <c r="J411" s="29">
        <v>0</v>
      </c>
      <c r="K411" s="29">
        <v>0</v>
      </c>
      <c r="L411" s="29">
        <v>0</v>
      </c>
      <c r="M411" s="29">
        <v>0</v>
      </c>
      <c r="N411" s="29">
        <v>0</v>
      </c>
      <c r="O411" s="29">
        <v>0</v>
      </c>
    </row>
    <row r="412" spans="1:15" x14ac:dyDescent="0.3">
      <c r="A412" s="28" t="s">
        <v>575</v>
      </c>
      <c r="B412" s="28" t="s">
        <v>576</v>
      </c>
      <c r="C412" s="28" t="s">
        <v>559</v>
      </c>
      <c r="D412" s="28" t="s">
        <v>618</v>
      </c>
      <c r="E412" s="28" t="s">
        <v>606</v>
      </c>
      <c r="F412" s="28" t="s">
        <v>599</v>
      </c>
      <c r="G412" s="29">
        <v>66</v>
      </c>
      <c r="H412" s="29">
        <v>0</v>
      </c>
      <c r="I412" s="29">
        <v>0</v>
      </c>
      <c r="J412" s="29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</row>
    <row r="413" spans="1:15" x14ac:dyDescent="0.3">
      <c r="A413" s="28" t="s">
        <v>575</v>
      </c>
      <c r="B413" s="28" t="s">
        <v>576</v>
      </c>
      <c r="C413" s="28" t="s">
        <v>559</v>
      </c>
      <c r="D413" s="28" t="s">
        <v>618</v>
      </c>
      <c r="E413" s="28" t="s">
        <v>606</v>
      </c>
      <c r="F413" s="28" t="s">
        <v>600</v>
      </c>
      <c r="G413" s="29">
        <v>78</v>
      </c>
      <c r="H413" s="29">
        <v>0</v>
      </c>
      <c r="I413" s="29">
        <v>0</v>
      </c>
      <c r="J413" s="29">
        <v>0</v>
      </c>
      <c r="K413" s="29">
        <v>0</v>
      </c>
      <c r="L413" s="29">
        <v>0</v>
      </c>
      <c r="M413" s="29">
        <v>0</v>
      </c>
      <c r="N413" s="29">
        <v>0</v>
      </c>
      <c r="O413" s="29">
        <v>0</v>
      </c>
    </row>
    <row r="414" spans="1:15" x14ac:dyDescent="0.3">
      <c r="A414" s="28" t="s">
        <v>575</v>
      </c>
      <c r="B414" s="28" t="s">
        <v>576</v>
      </c>
      <c r="C414" s="28" t="s">
        <v>559</v>
      </c>
      <c r="D414" s="28" t="s">
        <v>618</v>
      </c>
      <c r="E414" s="28" t="s">
        <v>606</v>
      </c>
      <c r="F414" s="28" t="s">
        <v>601</v>
      </c>
      <c r="G414" s="29">
        <v>88</v>
      </c>
      <c r="H414" s="29">
        <v>0</v>
      </c>
      <c r="I414" s="29">
        <v>0</v>
      </c>
      <c r="J414" s="29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</row>
    <row r="415" spans="1:15" x14ac:dyDescent="0.3">
      <c r="A415" s="28" t="s">
        <v>575</v>
      </c>
      <c r="B415" s="28" t="s">
        <v>576</v>
      </c>
      <c r="C415" s="28" t="s">
        <v>559</v>
      </c>
      <c r="D415" s="28" t="s">
        <v>618</v>
      </c>
      <c r="E415" s="28" t="s">
        <v>606</v>
      </c>
      <c r="F415" s="28" t="s">
        <v>602</v>
      </c>
      <c r="G415" s="29">
        <v>231</v>
      </c>
      <c r="H415" s="29">
        <v>0</v>
      </c>
      <c r="I415" s="29">
        <v>0</v>
      </c>
      <c r="J415" s="29">
        <v>0</v>
      </c>
      <c r="K415" s="29">
        <v>0</v>
      </c>
      <c r="L415" s="29">
        <v>0</v>
      </c>
      <c r="M415" s="29">
        <v>0</v>
      </c>
      <c r="N415" s="29">
        <v>0</v>
      </c>
      <c r="O415" s="29">
        <v>0</v>
      </c>
    </row>
    <row r="416" spans="1:15" x14ac:dyDescent="0.3">
      <c r="A416" s="28" t="s">
        <v>575</v>
      </c>
      <c r="B416" s="28" t="s">
        <v>576</v>
      </c>
      <c r="C416" s="28" t="s">
        <v>559</v>
      </c>
      <c r="D416" s="28" t="s">
        <v>618</v>
      </c>
      <c r="E416" s="28" t="s">
        <v>606</v>
      </c>
      <c r="F416" s="28" t="s">
        <v>603</v>
      </c>
      <c r="G416" s="29">
        <v>475</v>
      </c>
      <c r="H416" s="29">
        <v>1</v>
      </c>
      <c r="I416" s="29">
        <v>0</v>
      </c>
      <c r="J416" s="29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</row>
    <row r="417" spans="1:15" x14ac:dyDescent="0.3">
      <c r="A417" s="28" t="s">
        <v>575</v>
      </c>
      <c r="B417" s="28" t="s">
        <v>576</v>
      </c>
      <c r="C417" s="28" t="s">
        <v>559</v>
      </c>
      <c r="D417" s="28" t="s">
        <v>618</v>
      </c>
      <c r="E417" s="28" t="s">
        <v>606</v>
      </c>
      <c r="F417" s="28" t="s">
        <v>604</v>
      </c>
      <c r="G417" s="29">
        <v>336</v>
      </c>
      <c r="H417" s="29">
        <v>0</v>
      </c>
      <c r="I417" s="29">
        <v>1</v>
      </c>
      <c r="J417" s="29">
        <v>0</v>
      </c>
      <c r="K417" s="29">
        <v>1</v>
      </c>
      <c r="L417" s="29">
        <v>0</v>
      </c>
      <c r="M417" s="29">
        <v>0</v>
      </c>
      <c r="N417" s="29">
        <v>0</v>
      </c>
      <c r="O417" s="29">
        <v>0</v>
      </c>
    </row>
    <row r="418" spans="1:15" x14ac:dyDescent="0.3">
      <c r="A418" s="28" t="s">
        <v>575</v>
      </c>
      <c r="B418" s="28" t="s">
        <v>576</v>
      </c>
      <c r="C418" s="28" t="s">
        <v>559</v>
      </c>
      <c r="D418" s="28" t="s">
        <v>618</v>
      </c>
      <c r="E418" s="28" t="s">
        <v>606</v>
      </c>
      <c r="F418" s="28" t="s">
        <v>581</v>
      </c>
      <c r="G418" s="29">
        <v>179</v>
      </c>
      <c r="H418" s="29">
        <v>0</v>
      </c>
      <c r="I418" s="29">
        <v>0</v>
      </c>
      <c r="J418" s="29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</row>
    <row r="419" spans="1:15" x14ac:dyDescent="0.3">
      <c r="A419" s="28" t="s">
        <v>575</v>
      </c>
      <c r="B419" s="28" t="s">
        <v>576</v>
      </c>
      <c r="C419" s="28" t="s">
        <v>559</v>
      </c>
      <c r="D419" s="28" t="s">
        <v>618</v>
      </c>
      <c r="E419" s="28" t="s">
        <v>606</v>
      </c>
      <c r="F419" s="28" t="s">
        <v>582</v>
      </c>
      <c r="G419" s="29">
        <v>198</v>
      </c>
      <c r="H419" s="29">
        <v>0</v>
      </c>
      <c r="I419" s="29">
        <v>0</v>
      </c>
      <c r="J419" s="29">
        <v>0</v>
      </c>
      <c r="K419" s="29">
        <v>0</v>
      </c>
      <c r="L419" s="29">
        <v>0</v>
      </c>
      <c r="M419" s="29">
        <v>0</v>
      </c>
      <c r="N419" s="29">
        <v>0</v>
      </c>
      <c r="O419" s="29">
        <v>0</v>
      </c>
    </row>
    <row r="420" spans="1:15" x14ac:dyDescent="0.3">
      <c r="A420" s="28" t="s">
        <v>575</v>
      </c>
      <c r="B420" s="28" t="s">
        <v>576</v>
      </c>
      <c r="C420" s="28" t="s">
        <v>559</v>
      </c>
      <c r="D420" s="28" t="s">
        <v>618</v>
      </c>
      <c r="E420" s="28" t="s">
        <v>606</v>
      </c>
      <c r="F420" s="28" t="s">
        <v>583</v>
      </c>
      <c r="G420" s="29">
        <v>184</v>
      </c>
      <c r="H420" s="29">
        <v>0</v>
      </c>
      <c r="I420" s="29">
        <v>0</v>
      </c>
      <c r="J420" s="29">
        <v>0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</row>
    <row r="421" spans="1:15" x14ac:dyDescent="0.3">
      <c r="A421" s="28" t="s">
        <v>575</v>
      </c>
      <c r="B421" s="28" t="s">
        <v>576</v>
      </c>
      <c r="C421" s="28" t="s">
        <v>559</v>
      </c>
      <c r="D421" s="28" t="s">
        <v>618</v>
      </c>
      <c r="E421" s="28" t="s">
        <v>606</v>
      </c>
      <c r="F421" s="28" t="s">
        <v>584</v>
      </c>
      <c r="G421" s="29">
        <v>177</v>
      </c>
      <c r="H421" s="29">
        <v>1</v>
      </c>
      <c r="I421" s="29">
        <v>0</v>
      </c>
      <c r="J421" s="29">
        <v>0</v>
      </c>
      <c r="K421" s="29">
        <v>0</v>
      </c>
      <c r="L421" s="29">
        <v>0</v>
      </c>
      <c r="M421" s="29">
        <v>0</v>
      </c>
      <c r="N421" s="29">
        <v>0</v>
      </c>
      <c r="O421" s="29">
        <v>0</v>
      </c>
    </row>
    <row r="422" spans="1:15" x14ac:dyDescent="0.3">
      <c r="A422" s="28" t="s">
        <v>575</v>
      </c>
      <c r="B422" s="28" t="s">
        <v>576</v>
      </c>
      <c r="C422" s="28" t="s">
        <v>559</v>
      </c>
      <c r="D422" s="28" t="s">
        <v>618</v>
      </c>
      <c r="E422" s="28" t="s">
        <v>606</v>
      </c>
      <c r="F422" s="28" t="s">
        <v>585</v>
      </c>
      <c r="G422" s="29">
        <v>179</v>
      </c>
      <c r="H422" s="29">
        <v>0</v>
      </c>
      <c r="I422" s="29">
        <v>0</v>
      </c>
      <c r="J422" s="29">
        <v>0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</row>
    <row r="423" spans="1:15" x14ac:dyDescent="0.3">
      <c r="A423" s="28" t="s">
        <v>575</v>
      </c>
      <c r="B423" s="28" t="s">
        <v>576</v>
      </c>
      <c r="C423" s="28" t="s">
        <v>559</v>
      </c>
      <c r="D423" s="28" t="s">
        <v>618</v>
      </c>
      <c r="E423" s="28" t="s">
        <v>606</v>
      </c>
      <c r="F423" s="28" t="s">
        <v>586</v>
      </c>
      <c r="G423" s="29">
        <v>191</v>
      </c>
      <c r="H423" s="29">
        <v>1</v>
      </c>
      <c r="I423" s="29">
        <v>0</v>
      </c>
      <c r="J423" s="29">
        <v>0</v>
      </c>
      <c r="K423" s="29">
        <v>0</v>
      </c>
      <c r="L423" s="29">
        <v>0</v>
      </c>
      <c r="M423" s="29">
        <v>0</v>
      </c>
      <c r="N423" s="29">
        <v>0</v>
      </c>
      <c r="O423" s="29">
        <v>0</v>
      </c>
    </row>
    <row r="424" spans="1:15" x14ac:dyDescent="0.3">
      <c r="A424" s="28" t="s">
        <v>575</v>
      </c>
      <c r="B424" s="28" t="s">
        <v>576</v>
      </c>
      <c r="C424" s="28" t="s">
        <v>559</v>
      </c>
      <c r="D424" s="28" t="s">
        <v>618</v>
      </c>
      <c r="E424" s="28" t="s">
        <v>606</v>
      </c>
      <c r="F424" s="28" t="s">
        <v>587</v>
      </c>
      <c r="G424" s="29">
        <v>176</v>
      </c>
      <c r="H424" s="29">
        <v>1</v>
      </c>
      <c r="I424" s="29">
        <v>0</v>
      </c>
      <c r="J424" s="29">
        <v>0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</row>
    <row r="425" spans="1:15" x14ac:dyDescent="0.3">
      <c r="A425" s="28" t="s">
        <v>575</v>
      </c>
      <c r="B425" s="28" t="s">
        <v>576</v>
      </c>
      <c r="C425" s="28" t="s">
        <v>559</v>
      </c>
      <c r="D425" s="28" t="s">
        <v>618</v>
      </c>
      <c r="E425" s="28" t="s">
        <v>606</v>
      </c>
      <c r="F425" s="28" t="s">
        <v>579</v>
      </c>
      <c r="G425" s="29">
        <v>172</v>
      </c>
      <c r="H425" s="29">
        <v>0</v>
      </c>
      <c r="I425" s="29">
        <v>0</v>
      </c>
      <c r="J425" s="29">
        <v>0</v>
      </c>
      <c r="K425" s="29">
        <v>0</v>
      </c>
      <c r="L425" s="29">
        <v>0</v>
      </c>
      <c r="M425" s="29">
        <v>0</v>
      </c>
      <c r="N425" s="29">
        <v>0</v>
      </c>
      <c r="O425" s="29">
        <v>0</v>
      </c>
    </row>
    <row r="426" spans="1:15" x14ac:dyDescent="0.3">
      <c r="A426" s="28" t="s">
        <v>575</v>
      </c>
      <c r="B426" s="28" t="s">
        <v>576</v>
      </c>
      <c r="C426" s="28" t="s">
        <v>559</v>
      </c>
      <c r="D426" s="28" t="s">
        <v>618</v>
      </c>
      <c r="E426" s="28" t="s">
        <v>606</v>
      </c>
      <c r="F426" s="28" t="s">
        <v>588</v>
      </c>
      <c r="G426" s="29">
        <v>185</v>
      </c>
      <c r="H426" s="29">
        <v>2</v>
      </c>
      <c r="I426" s="29">
        <v>3</v>
      </c>
      <c r="J426" s="29">
        <v>3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</row>
    <row r="427" spans="1:15" x14ac:dyDescent="0.3">
      <c r="A427" s="28" t="s">
        <v>575</v>
      </c>
      <c r="B427" s="28" t="s">
        <v>576</v>
      </c>
      <c r="C427" s="28" t="s">
        <v>559</v>
      </c>
      <c r="D427" s="28" t="s">
        <v>618</v>
      </c>
      <c r="E427" s="28" t="s">
        <v>606</v>
      </c>
      <c r="F427" s="28" t="s">
        <v>589</v>
      </c>
      <c r="G427" s="29">
        <v>196</v>
      </c>
      <c r="H427" s="29">
        <v>1</v>
      </c>
      <c r="I427" s="29">
        <v>0</v>
      </c>
      <c r="J427" s="29">
        <v>0</v>
      </c>
      <c r="K427" s="29">
        <v>0</v>
      </c>
      <c r="L427" s="29">
        <v>0</v>
      </c>
      <c r="M427" s="29">
        <v>0</v>
      </c>
      <c r="N427" s="29">
        <v>0</v>
      </c>
      <c r="O427" s="29">
        <v>0</v>
      </c>
    </row>
    <row r="428" spans="1:15" x14ac:dyDescent="0.3">
      <c r="A428" s="28" t="s">
        <v>575</v>
      </c>
      <c r="B428" s="28" t="s">
        <v>576</v>
      </c>
      <c r="C428" s="28" t="s">
        <v>559</v>
      </c>
      <c r="D428" s="28" t="s">
        <v>618</v>
      </c>
      <c r="E428" s="28" t="s">
        <v>606</v>
      </c>
      <c r="F428" s="28" t="s">
        <v>590</v>
      </c>
      <c r="G428" s="29">
        <v>182</v>
      </c>
      <c r="H428" s="29">
        <v>1</v>
      </c>
      <c r="I428" s="29">
        <v>0</v>
      </c>
      <c r="J428" s="29">
        <v>0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</row>
    <row r="429" spans="1:15" x14ac:dyDescent="0.3">
      <c r="A429" s="28" t="s">
        <v>575</v>
      </c>
      <c r="B429" s="28" t="s">
        <v>576</v>
      </c>
      <c r="C429" s="28" t="s">
        <v>559</v>
      </c>
      <c r="D429" s="28" t="s">
        <v>618</v>
      </c>
      <c r="E429" s="28" t="s">
        <v>606</v>
      </c>
      <c r="F429" s="28" t="s">
        <v>591</v>
      </c>
      <c r="G429" s="29">
        <v>206</v>
      </c>
      <c r="H429" s="29">
        <v>1</v>
      </c>
      <c r="I429" s="29">
        <v>0</v>
      </c>
      <c r="J429" s="29">
        <v>0</v>
      </c>
      <c r="K429" s="29">
        <v>0</v>
      </c>
      <c r="L429" s="29">
        <v>0</v>
      </c>
      <c r="M429" s="29">
        <v>0</v>
      </c>
      <c r="N429" s="29">
        <v>0</v>
      </c>
      <c r="O429" s="29">
        <v>0</v>
      </c>
    </row>
    <row r="430" spans="1:15" x14ac:dyDescent="0.3">
      <c r="A430" s="28" t="s">
        <v>575</v>
      </c>
      <c r="B430" s="28" t="s">
        <v>576</v>
      </c>
      <c r="C430" s="28" t="s">
        <v>559</v>
      </c>
      <c r="D430" s="28" t="s">
        <v>618</v>
      </c>
      <c r="E430" s="28" t="s">
        <v>606</v>
      </c>
      <c r="F430" s="28" t="s">
        <v>592</v>
      </c>
      <c r="G430" s="29">
        <v>276</v>
      </c>
      <c r="H430" s="29">
        <v>4</v>
      </c>
      <c r="I430" s="29">
        <v>2</v>
      </c>
      <c r="J430" s="29">
        <v>0</v>
      </c>
      <c r="K430" s="29">
        <v>2</v>
      </c>
      <c r="L430" s="29">
        <v>500</v>
      </c>
      <c r="M430" s="29">
        <v>0</v>
      </c>
      <c r="N430" s="29">
        <v>500</v>
      </c>
      <c r="O430" s="29">
        <v>0</v>
      </c>
    </row>
    <row r="431" spans="1:15" x14ac:dyDescent="0.3">
      <c r="A431" s="28" t="s">
        <v>575</v>
      </c>
      <c r="B431" s="28" t="s">
        <v>576</v>
      </c>
      <c r="C431" s="28" t="s">
        <v>559</v>
      </c>
      <c r="D431" s="28" t="s">
        <v>618</v>
      </c>
      <c r="E431" s="28" t="s">
        <v>606</v>
      </c>
      <c r="F431" s="28" t="s">
        <v>593</v>
      </c>
      <c r="G431" s="29">
        <v>116</v>
      </c>
      <c r="H431" s="29">
        <v>4</v>
      </c>
      <c r="I431" s="29">
        <v>0</v>
      </c>
      <c r="J431" s="29">
        <v>0</v>
      </c>
      <c r="K431" s="29">
        <v>0</v>
      </c>
      <c r="L431" s="29">
        <v>0</v>
      </c>
      <c r="M431" s="29">
        <v>0</v>
      </c>
      <c r="N431" s="29">
        <v>0</v>
      </c>
      <c r="O431" s="29">
        <v>0</v>
      </c>
    </row>
    <row r="432" spans="1:15" x14ac:dyDescent="0.3">
      <c r="A432" s="28" t="s">
        <v>575</v>
      </c>
      <c r="B432" s="28" t="s">
        <v>576</v>
      </c>
      <c r="C432" s="28" t="s">
        <v>559</v>
      </c>
      <c r="D432" s="28" t="s">
        <v>618</v>
      </c>
      <c r="E432" s="28" t="s">
        <v>606</v>
      </c>
      <c r="F432" s="28" t="s">
        <v>594</v>
      </c>
      <c r="G432" s="29">
        <v>187</v>
      </c>
      <c r="H432" s="29">
        <v>8</v>
      </c>
      <c r="I432" s="29">
        <v>0</v>
      </c>
      <c r="J432" s="29">
        <v>0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</row>
    <row r="433" spans="1:15" x14ac:dyDescent="0.3">
      <c r="A433" s="28" t="s">
        <v>575</v>
      </c>
      <c r="B433" s="28" t="s">
        <v>576</v>
      </c>
      <c r="C433" s="28" t="s">
        <v>559</v>
      </c>
      <c r="D433" s="28" t="s">
        <v>618</v>
      </c>
      <c r="E433" s="28" t="s">
        <v>606</v>
      </c>
      <c r="F433" s="28" t="s">
        <v>595</v>
      </c>
      <c r="G433" s="29">
        <v>160</v>
      </c>
      <c r="H433" s="29">
        <v>0</v>
      </c>
      <c r="I433" s="29">
        <v>0</v>
      </c>
      <c r="J433" s="29">
        <v>0</v>
      </c>
      <c r="K433" s="29">
        <v>0</v>
      </c>
      <c r="L433" s="29">
        <v>0</v>
      </c>
      <c r="M433" s="29">
        <v>0</v>
      </c>
      <c r="N433" s="29">
        <v>0</v>
      </c>
      <c r="O433" s="29">
        <v>0</v>
      </c>
    </row>
    <row r="434" spans="1:15" x14ac:dyDescent="0.3">
      <c r="A434" s="28" t="s">
        <v>575</v>
      </c>
      <c r="B434" s="28" t="s">
        <v>576</v>
      </c>
      <c r="C434" s="28" t="s">
        <v>559</v>
      </c>
      <c r="D434" s="28" t="s">
        <v>618</v>
      </c>
      <c r="E434" s="28" t="s">
        <v>607</v>
      </c>
      <c r="F434" s="28" t="s">
        <v>597</v>
      </c>
      <c r="G434" s="29">
        <v>138</v>
      </c>
      <c r="H434" s="29">
        <v>0</v>
      </c>
      <c r="I434" s="29">
        <v>0</v>
      </c>
      <c r="J434" s="29">
        <v>0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</row>
    <row r="435" spans="1:15" x14ac:dyDescent="0.3">
      <c r="A435" s="28" t="s">
        <v>575</v>
      </c>
      <c r="B435" s="28" t="s">
        <v>576</v>
      </c>
      <c r="C435" s="28" t="s">
        <v>559</v>
      </c>
      <c r="D435" s="28" t="s">
        <v>618</v>
      </c>
      <c r="E435" s="28" t="s">
        <v>607</v>
      </c>
      <c r="F435" s="28" t="s">
        <v>598</v>
      </c>
      <c r="G435" s="29">
        <v>87</v>
      </c>
      <c r="H435" s="29">
        <v>0</v>
      </c>
      <c r="I435" s="29">
        <v>0</v>
      </c>
      <c r="J435" s="29">
        <v>0</v>
      </c>
      <c r="K435" s="29">
        <v>0</v>
      </c>
      <c r="L435" s="29">
        <v>0</v>
      </c>
      <c r="M435" s="29">
        <v>0</v>
      </c>
      <c r="N435" s="29">
        <v>0</v>
      </c>
      <c r="O435" s="29">
        <v>0</v>
      </c>
    </row>
    <row r="436" spans="1:15" x14ac:dyDescent="0.3">
      <c r="A436" s="28" t="s">
        <v>575</v>
      </c>
      <c r="B436" s="28" t="s">
        <v>576</v>
      </c>
      <c r="C436" s="28" t="s">
        <v>559</v>
      </c>
      <c r="D436" s="28" t="s">
        <v>618</v>
      </c>
      <c r="E436" s="28" t="s">
        <v>607</v>
      </c>
      <c r="F436" s="28" t="s">
        <v>599</v>
      </c>
      <c r="G436" s="29">
        <v>59</v>
      </c>
      <c r="H436" s="29">
        <v>0</v>
      </c>
      <c r="I436" s="29">
        <v>0</v>
      </c>
      <c r="J436" s="29">
        <v>0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</row>
    <row r="437" spans="1:15" x14ac:dyDescent="0.3">
      <c r="A437" s="28" t="s">
        <v>575</v>
      </c>
      <c r="B437" s="28" t="s">
        <v>576</v>
      </c>
      <c r="C437" s="28" t="s">
        <v>559</v>
      </c>
      <c r="D437" s="28" t="s">
        <v>618</v>
      </c>
      <c r="E437" s="28" t="s">
        <v>607</v>
      </c>
      <c r="F437" s="28" t="s">
        <v>600</v>
      </c>
      <c r="G437" s="29">
        <v>55</v>
      </c>
      <c r="H437" s="29">
        <v>0</v>
      </c>
      <c r="I437" s="29">
        <v>0</v>
      </c>
      <c r="J437" s="29">
        <v>0</v>
      </c>
      <c r="K437" s="29">
        <v>0</v>
      </c>
      <c r="L437" s="29">
        <v>0</v>
      </c>
      <c r="M437" s="29">
        <v>0</v>
      </c>
      <c r="N437" s="29">
        <v>0</v>
      </c>
      <c r="O437" s="29">
        <v>0</v>
      </c>
    </row>
    <row r="438" spans="1:15" x14ac:dyDescent="0.3">
      <c r="A438" s="28" t="s">
        <v>575</v>
      </c>
      <c r="B438" s="28" t="s">
        <v>576</v>
      </c>
      <c r="C438" s="28" t="s">
        <v>559</v>
      </c>
      <c r="D438" s="28" t="s">
        <v>618</v>
      </c>
      <c r="E438" s="28" t="s">
        <v>607</v>
      </c>
      <c r="F438" s="28" t="s">
        <v>601</v>
      </c>
      <c r="G438" s="29">
        <v>60</v>
      </c>
      <c r="H438" s="29">
        <v>0</v>
      </c>
      <c r="I438" s="29">
        <v>0</v>
      </c>
      <c r="J438" s="29">
        <v>0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</row>
    <row r="439" spans="1:15" x14ac:dyDescent="0.3">
      <c r="A439" s="28" t="s">
        <v>575</v>
      </c>
      <c r="B439" s="28" t="s">
        <v>576</v>
      </c>
      <c r="C439" s="28" t="s">
        <v>559</v>
      </c>
      <c r="D439" s="28" t="s">
        <v>618</v>
      </c>
      <c r="E439" s="28" t="s">
        <v>607</v>
      </c>
      <c r="F439" s="28" t="s">
        <v>602</v>
      </c>
      <c r="G439" s="29">
        <v>188</v>
      </c>
      <c r="H439" s="29">
        <v>1</v>
      </c>
      <c r="I439" s="29">
        <v>2</v>
      </c>
      <c r="J439" s="29">
        <v>2</v>
      </c>
      <c r="K439" s="29">
        <v>0</v>
      </c>
      <c r="L439" s="29">
        <v>0</v>
      </c>
      <c r="M439" s="29">
        <v>0</v>
      </c>
      <c r="N439" s="29">
        <v>0</v>
      </c>
      <c r="O439" s="29">
        <v>0</v>
      </c>
    </row>
    <row r="440" spans="1:15" x14ac:dyDescent="0.3">
      <c r="A440" s="28" t="s">
        <v>575</v>
      </c>
      <c r="B440" s="28" t="s">
        <v>576</v>
      </c>
      <c r="C440" s="28" t="s">
        <v>559</v>
      </c>
      <c r="D440" s="28" t="s">
        <v>618</v>
      </c>
      <c r="E440" s="28" t="s">
        <v>607</v>
      </c>
      <c r="F440" s="28" t="s">
        <v>603</v>
      </c>
      <c r="G440" s="29">
        <v>599</v>
      </c>
      <c r="H440" s="29">
        <v>1</v>
      </c>
      <c r="I440" s="29">
        <v>2</v>
      </c>
      <c r="J440" s="29">
        <v>2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</row>
    <row r="441" spans="1:15" x14ac:dyDescent="0.3">
      <c r="A441" s="28" t="s">
        <v>575</v>
      </c>
      <c r="B441" s="28" t="s">
        <v>576</v>
      </c>
      <c r="C441" s="28" t="s">
        <v>559</v>
      </c>
      <c r="D441" s="28" t="s">
        <v>618</v>
      </c>
      <c r="E441" s="28" t="s">
        <v>607</v>
      </c>
      <c r="F441" s="28" t="s">
        <v>604</v>
      </c>
      <c r="G441" s="29">
        <v>503</v>
      </c>
      <c r="H441" s="29">
        <v>1</v>
      </c>
      <c r="I441" s="29">
        <v>3</v>
      </c>
      <c r="J441" s="29">
        <v>1</v>
      </c>
      <c r="K441" s="29">
        <v>2</v>
      </c>
      <c r="L441" s="29">
        <v>0</v>
      </c>
      <c r="M441" s="29">
        <v>0</v>
      </c>
      <c r="N441" s="29">
        <v>0</v>
      </c>
      <c r="O441" s="29">
        <v>0</v>
      </c>
    </row>
    <row r="442" spans="1:15" x14ac:dyDescent="0.3">
      <c r="A442" s="28" t="s">
        <v>575</v>
      </c>
      <c r="B442" s="28" t="s">
        <v>576</v>
      </c>
      <c r="C442" s="28" t="s">
        <v>559</v>
      </c>
      <c r="D442" s="28" t="s">
        <v>618</v>
      </c>
      <c r="E442" s="28" t="s">
        <v>607</v>
      </c>
      <c r="F442" s="28" t="s">
        <v>581</v>
      </c>
      <c r="G442" s="29">
        <v>209</v>
      </c>
      <c r="H442" s="29">
        <v>1</v>
      </c>
      <c r="I442" s="29">
        <v>0</v>
      </c>
      <c r="J442" s="29">
        <v>0</v>
      </c>
      <c r="K442" s="29">
        <v>0</v>
      </c>
      <c r="L442" s="29">
        <v>0</v>
      </c>
      <c r="M442" s="29">
        <v>0</v>
      </c>
      <c r="N442" s="29">
        <v>0</v>
      </c>
      <c r="O442" s="29">
        <v>0</v>
      </c>
    </row>
    <row r="443" spans="1:15" x14ac:dyDescent="0.3">
      <c r="A443" s="28" t="s">
        <v>575</v>
      </c>
      <c r="B443" s="28" t="s">
        <v>576</v>
      </c>
      <c r="C443" s="28" t="s">
        <v>559</v>
      </c>
      <c r="D443" s="28" t="s">
        <v>618</v>
      </c>
      <c r="E443" s="28" t="s">
        <v>607</v>
      </c>
      <c r="F443" s="28" t="s">
        <v>582</v>
      </c>
      <c r="G443" s="29">
        <v>189</v>
      </c>
      <c r="H443" s="29">
        <v>1</v>
      </c>
      <c r="I443" s="29">
        <v>0</v>
      </c>
      <c r="J443" s="29">
        <v>0</v>
      </c>
      <c r="K443" s="29">
        <v>0</v>
      </c>
      <c r="L443" s="29">
        <v>0</v>
      </c>
      <c r="M443" s="29">
        <v>0</v>
      </c>
      <c r="N443" s="29">
        <v>0</v>
      </c>
      <c r="O443" s="29">
        <v>0</v>
      </c>
    </row>
    <row r="444" spans="1:15" x14ac:dyDescent="0.3">
      <c r="A444" s="28" t="s">
        <v>575</v>
      </c>
      <c r="B444" s="28" t="s">
        <v>576</v>
      </c>
      <c r="C444" s="28" t="s">
        <v>559</v>
      </c>
      <c r="D444" s="28" t="s">
        <v>618</v>
      </c>
      <c r="E444" s="28" t="s">
        <v>607</v>
      </c>
      <c r="F444" s="28" t="s">
        <v>583</v>
      </c>
      <c r="G444" s="29">
        <v>197</v>
      </c>
      <c r="H444" s="29">
        <v>0</v>
      </c>
      <c r="I444" s="29">
        <v>0</v>
      </c>
      <c r="J444" s="29">
        <v>0</v>
      </c>
      <c r="K444" s="29">
        <v>0</v>
      </c>
      <c r="L444" s="29">
        <v>0</v>
      </c>
      <c r="M444" s="29">
        <v>0</v>
      </c>
      <c r="N444" s="29">
        <v>0</v>
      </c>
      <c r="O444" s="29">
        <v>0</v>
      </c>
    </row>
    <row r="445" spans="1:15" x14ac:dyDescent="0.3">
      <c r="A445" s="28" t="s">
        <v>575</v>
      </c>
      <c r="B445" s="28" t="s">
        <v>576</v>
      </c>
      <c r="C445" s="28" t="s">
        <v>559</v>
      </c>
      <c r="D445" s="28" t="s">
        <v>618</v>
      </c>
      <c r="E445" s="28" t="s">
        <v>607</v>
      </c>
      <c r="F445" s="28" t="s">
        <v>584</v>
      </c>
      <c r="G445" s="29">
        <v>205</v>
      </c>
      <c r="H445" s="29">
        <v>2</v>
      </c>
      <c r="I445" s="29">
        <v>0</v>
      </c>
      <c r="J445" s="29">
        <v>0</v>
      </c>
      <c r="K445" s="29">
        <v>0</v>
      </c>
      <c r="L445" s="29">
        <v>0</v>
      </c>
      <c r="M445" s="29">
        <v>0</v>
      </c>
      <c r="N445" s="29">
        <v>0</v>
      </c>
      <c r="O445" s="29">
        <v>0</v>
      </c>
    </row>
    <row r="446" spans="1:15" x14ac:dyDescent="0.3">
      <c r="A446" s="28" t="s">
        <v>575</v>
      </c>
      <c r="B446" s="28" t="s">
        <v>576</v>
      </c>
      <c r="C446" s="28" t="s">
        <v>559</v>
      </c>
      <c r="D446" s="28" t="s">
        <v>618</v>
      </c>
      <c r="E446" s="28" t="s">
        <v>607</v>
      </c>
      <c r="F446" s="28" t="s">
        <v>585</v>
      </c>
      <c r="G446" s="29">
        <v>184</v>
      </c>
      <c r="H446" s="29">
        <v>0</v>
      </c>
      <c r="I446" s="29">
        <v>0</v>
      </c>
      <c r="J446" s="29">
        <v>0</v>
      </c>
      <c r="K446" s="29">
        <v>0</v>
      </c>
      <c r="L446" s="29">
        <v>0</v>
      </c>
      <c r="M446" s="29">
        <v>0</v>
      </c>
      <c r="N446" s="29">
        <v>0</v>
      </c>
      <c r="O446" s="29">
        <v>0</v>
      </c>
    </row>
    <row r="447" spans="1:15" x14ac:dyDescent="0.3">
      <c r="A447" s="28" t="s">
        <v>575</v>
      </c>
      <c r="B447" s="28" t="s">
        <v>576</v>
      </c>
      <c r="C447" s="28" t="s">
        <v>559</v>
      </c>
      <c r="D447" s="28" t="s">
        <v>618</v>
      </c>
      <c r="E447" s="28" t="s">
        <v>607</v>
      </c>
      <c r="F447" s="28" t="s">
        <v>586</v>
      </c>
      <c r="G447" s="29">
        <v>199</v>
      </c>
      <c r="H447" s="29">
        <v>0</v>
      </c>
      <c r="I447" s="29">
        <v>0</v>
      </c>
      <c r="J447" s="29">
        <v>0</v>
      </c>
      <c r="K447" s="29">
        <v>0</v>
      </c>
      <c r="L447" s="29">
        <v>0</v>
      </c>
      <c r="M447" s="29">
        <v>0</v>
      </c>
      <c r="N447" s="29">
        <v>0</v>
      </c>
      <c r="O447" s="29">
        <v>0</v>
      </c>
    </row>
    <row r="448" spans="1:15" x14ac:dyDescent="0.3">
      <c r="A448" s="28" t="s">
        <v>575</v>
      </c>
      <c r="B448" s="28" t="s">
        <v>576</v>
      </c>
      <c r="C448" s="28" t="s">
        <v>559</v>
      </c>
      <c r="D448" s="28" t="s">
        <v>618</v>
      </c>
      <c r="E448" s="28" t="s">
        <v>607</v>
      </c>
      <c r="F448" s="28" t="s">
        <v>587</v>
      </c>
      <c r="G448" s="29">
        <v>206</v>
      </c>
      <c r="H448" s="29">
        <v>1</v>
      </c>
      <c r="I448" s="29">
        <v>0</v>
      </c>
      <c r="J448" s="29">
        <v>0</v>
      </c>
      <c r="K448" s="29">
        <v>0</v>
      </c>
      <c r="L448" s="29">
        <v>0</v>
      </c>
      <c r="M448" s="29">
        <v>0</v>
      </c>
      <c r="N448" s="29">
        <v>0</v>
      </c>
      <c r="O448" s="29">
        <v>0</v>
      </c>
    </row>
    <row r="449" spans="1:15" x14ac:dyDescent="0.3">
      <c r="A449" s="28" t="s">
        <v>575</v>
      </c>
      <c r="B449" s="28" t="s">
        <v>576</v>
      </c>
      <c r="C449" s="28" t="s">
        <v>559</v>
      </c>
      <c r="D449" s="28" t="s">
        <v>618</v>
      </c>
      <c r="E449" s="28" t="s">
        <v>607</v>
      </c>
      <c r="F449" s="28" t="s">
        <v>579</v>
      </c>
      <c r="G449" s="29">
        <v>186</v>
      </c>
      <c r="H449" s="29">
        <v>0</v>
      </c>
      <c r="I449" s="29">
        <v>0</v>
      </c>
      <c r="J449" s="29">
        <v>0</v>
      </c>
      <c r="K449" s="29">
        <v>0</v>
      </c>
      <c r="L449" s="29">
        <v>0</v>
      </c>
      <c r="M449" s="29">
        <v>0</v>
      </c>
      <c r="N449" s="29">
        <v>0</v>
      </c>
      <c r="O449" s="29">
        <v>0</v>
      </c>
    </row>
    <row r="450" spans="1:15" x14ac:dyDescent="0.3">
      <c r="A450" s="28" t="s">
        <v>575</v>
      </c>
      <c r="B450" s="28" t="s">
        <v>576</v>
      </c>
      <c r="C450" s="28" t="s">
        <v>559</v>
      </c>
      <c r="D450" s="28" t="s">
        <v>618</v>
      </c>
      <c r="E450" s="28" t="s">
        <v>607</v>
      </c>
      <c r="F450" s="28" t="s">
        <v>588</v>
      </c>
      <c r="G450" s="29">
        <v>188</v>
      </c>
      <c r="H450" s="29">
        <v>0</v>
      </c>
      <c r="I450" s="29">
        <v>0</v>
      </c>
      <c r="J450" s="29">
        <v>0</v>
      </c>
      <c r="K450" s="29">
        <v>0</v>
      </c>
      <c r="L450" s="29">
        <v>0</v>
      </c>
      <c r="M450" s="29">
        <v>0</v>
      </c>
      <c r="N450" s="29">
        <v>0</v>
      </c>
      <c r="O450" s="29">
        <v>0</v>
      </c>
    </row>
    <row r="451" spans="1:15" x14ac:dyDescent="0.3">
      <c r="A451" s="28" t="s">
        <v>575</v>
      </c>
      <c r="B451" s="28" t="s">
        <v>576</v>
      </c>
      <c r="C451" s="28" t="s">
        <v>559</v>
      </c>
      <c r="D451" s="28" t="s">
        <v>618</v>
      </c>
      <c r="E451" s="28" t="s">
        <v>607</v>
      </c>
      <c r="F451" s="28" t="s">
        <v>589</v>
      </c>
      <c r="G451" s="29">
        <v>192</v>
      </c>
      <c r="H451" s="29">
        <v>0</v>
      </c>
      <c r="I451" s="29">
        <v>0</v>
      </c>
      <c r="J451" s="29">
        <v>0</v>
      </c>
      <c r="K451" s="29">
        <v>0</v>
      </c>
      <c r="L451" s="29">
        <v>0</v>
      </c>
      <c r="M451" s="29">
        <v>0</v>
      </c>
      <c r="N451" s="29">
        <v>0</v>
      </c>
      <c r="O451" s="29">
        <v>0</v>
      </c>
    </row>
    <row r="452" spans="1:15" x14ac:dyDescent="0.3">
      <c r="A452" s="28" t="s">
        <v>575</v>
      </c>
      <c r="B452" s="28" t="s">
        <v>576</v>
      </c>
      <c r="C452" s="28" t="s">
        <v>559</v>
      </c>
      <c r="D452" s="28" t="s">
        <v>618</v>
      </c>
      <c r="E452" s="28" t="s">
        <v>607</v>
      </c>
      <c r="F452" s="28" t="s">
        <v>590</v>
      </c>
      <c r="G452" s="29">
        <v>200</v>
      </c>
      <c r="H452" s="29">
        <v>0</v>
      </c>
      <c r="I452" s="29">
        <v>0</v>
      </c>
      <c r="J452" s="29">
        <v>0</v>
      </c>
      <c r="K452" s="29">
        <v>0</v>
      </c>
      <c r="L452" s="29">
        <v>0</v>
      </c>
      <c r="M452" s="29">
        <v>0</v>
      </c>
      <c r="N452" s="29">
        <v>0</v>
      </c>
      <c r="O452" s="29">
        <v>0</v>
      </c>
    </row>
    <row r="453" spans="1:15" x14ac:dyDescent="0.3">
      <c r="A453" s="28" t="s">
        <v>575</v>
      </c>
      <c r="B453" s="28" t="s">
        <v>576</v>
      </c>
      <c r="C453" s="28" t="s">
        <v>559</v>
      </c>
      <c r="D453" s="28" t="s">
        <v>618</v>
      </c>
      <c r="E453" s="28" t="s">
        <v>607</v>
      </c>
      <c r="F453" s="28" t="s">
        <v>591</v>
      </c>
      <c r="G453" s="29">
        <v>198</v>
      </c>
      <c r="H453" s="29">
        <v>0</v>
      </c>
      <c r="I453" s="29">
        <v>0</v>
      </c>
      <c r="J453" s="29">
        <v>0</v>
      </c>
      <c r="K453" s="29">
        <v>0</v>
      </c>
      <c r="L453" s="29">
        <v>0</v>
      </c>
      <c r="M453" s="29">
        <v>0</v>
      </c>
      <c r="N453" s="29">
        <v>0</v>
      </c>
      <c r="O453" s="29">
        <v>0</v>
      </c>
    </row>
    <row r="454" spans="1:15" x14ac:dyDescent="0.3">
      <c r="A454" s="28" t="s">
        <v>575</v>
      </c>
      <c r="B454" s="28" t="s">
        <v>576</v>
      </c>
      <c r="C454" s="28" t="s">
        <v>559</v>
      </c>
      <c r="D454" s="28" t="s">
        <v>618</v>
      </c>
      <c r="E454" s="28" t="s">
        <v>607</v>
      </c>
      <c r="F454" s="28" t="s">
        <v>592</v>
      </c>
      <c r="G454" s="29">
        <v>235</v>
      </c>
      <c r="H454" s="29">
        <v>0</v>
      </c>
      <c r="I454" s="29">
        <v>0</v>
      </c>
      <c r="J454" s="29">
        <v>0</v>
      </c>
      <c r="K454" s="29">
        <v>0</v>
      </c>
      <c r="L454" s="29">
        <v>0</v>
      </c>
      <c r="M454" s="29">
        <v>0</v>
      </c>
      <c r="N454" s="29">
        <v>0</v>
      </c>
      <c r="O454" s="29">
        <v>0</v>
      </c>
    </row>
    <row r="455" spans="1:15" x14ac:dyDescent="0.3">
      <c r="A455" s="28" t="s">
        <v>575</v>
      </c>
      <c r="B455" s="28" t="s">
        <v>576</v>
      </c>
      <c r="C455" s="28" t="s">
        <v>559</v>
      </c>
      <c r="D455" s="28" t="s">
        <v>618</v>
      </c>
      <c r="E455" s="28" t="s">
        <v>607</v>
      </c>
      <c r="F455" s="28" t="s">
        <v>593</v>
      </c>
      <c r="G455" s="29">
        <v>158</v>
      </c>
      <c r="H455" s="29">
        <v>0</v>
      </c>
      <c r="I455" s="29">
        <v>0</v>
      </c>
      <c r="J455" s="29">
        <v>0</v>
      </c>
      <c r="K455" s="29">
        <v>0</v>
      </c>
      <c r="L455" s="29">
        <v>0</v>
      </c>
      <c r="M455" s="29">
        <v>0</v>
      </c>
      <c r="N455" s="29">
        <v>0</v>
      </c>
      <c r="O455" s="29">
        <v>0</v>
      </c>
    </row>
    <row r="456" spans="1:15" x14ac:dyDescent="0.3">
      <c r="A456" s="28" t="s">
        <v>575</v>
      </c>
      <c r="B456" s="28" t="s">
        <v>576</v>
      </c>
      <c r="C456" s="28" t="s">
        <v>559</v>
      </c>
      <c r="D456" s="28" t="s">
        <v>618</v>
      </c>
      <c r="E456" s="28" t="s">
        <v>607</v>
      </c>
      <c r="F456" s="28" t="s">
        <v>594</v>
      </c>
      <c r="G456" s="29">
        <v>130</v>
      </c>
      <c r="H456" s="29">
        <v>0</v>
      </c>
      <c r="I456" s="29">
        <v>0</v>
      </c>
      <c r="J456" s="29">
        <v>0</v>
      </c>
      <c r="K456" s="29">
        <v>0</v>
      </c>
      <c r="L456" s="29">
        <v>0</v>
      </c>
      <c r="M456" s="29">
        <v>0</v>
      </c>
      <c r="N456" s="29">
        <v>0</v>
      </c>
      <c r="O456" s="29">
        <v>0</v>
      </c>
    </row>
    <row r="457" spans="1:15" x14ac:dyDescent="0.3">
      <c r="A457" s="28" t="s">
        <v>575</v>
      </c>
      <c r="B457" s="28" t="s">
        <v>576</v>
      </c>
      <c r="C457" s="28" t="s">
        <v>559</v>
      </c>
      <c r="D457" s="28" t="s">
        <v>618</v>
      </c>
      <c r="E457" s="28" t="s">
        <v>607</v>
      </c>
      <c r="F457" s="28" t="s">
        <v>595</v>
      </c>
      <c r="G457" s="29">
        <v>113</v>
      </c>
      <c r="H457" s="29">
        <v>0</v>
      </c>
      <c r="I457" s="29">
        <v>0</v>
      </c>
      <c r="J457" s="29">
        <v>0</v>
      </c>
      <c r="K457" s="29">
        <v>0</v>
      </c>
      <c r="L457" s="29">
        <v>0</v>
      </c>
      <c r="M457" s="29">
        <v>0</v>
      </c>
      <c r="N457" s="29">
        <v>0</v>
      </c>
      <c r="O457" s="29">
        <v>0</v>
      </c>
    </row>
    <row r="458" spans="1:15" x14ac:dyDescent="0.3">
      <c r="A458" s="28" t="s">
        <v>575</v>
      </c>
      <c r="B458" s="28" t="s">
        <v>576</v>
      </c>
      <c r="C458" s="28" t="s">
        <v>559</v>
      </c>
      <c r="D458" s="28" t="s">
        <v>618</v>
      </c>
      <c r="E458" s="28" t="s">
        <v>608</v>
      </c>
      <c r="F458" s="28" t="s">
        <v>597</v>
      </c>
      <c r="G458" s="29">
        <v>92</v>
      </c>
      <c r="H458" s="29">
        <v>1</v>
      </c>
      <c r="I458" s="29">
        <v>0</v>
      </c>
      <c r="J458" s="29">
        <v>0</v>
      </c>
      <c r="K458" s="29">
        <v>0</v>
      </c>
      <c r="L458" s="29">
        <v>0</v>
      </c>
      <c r="M458" s="29">
        <v>0</v>
      </c>
      <c r="N458" s="29">
        <v>0</v>
      </c>
      <c r="O458" s="29">
        <v>0</v>
      </c>
    </row>
    <row r="459" spans="1:15" x14ac:dyDescent="0.3">
      <c r="A459" s="28" t="s">
        <v>575</v>
      </c>
      <c r="B459" s="28" t="s">
        <v>576</v>
      </c>
      <c r="C459" s="28" t="s">
        <v>559</v>
      </c>
      <c r="D459" s="28" t="s">
        <v>618</v>
      </c>
      <c r="E459" s="28" t="s">
        <v>608</v>
      </c>
      <c r="F459" s="28" t="s">
        <v>598</v>
      </c>
      <c r="G459" s="29">
        <v>62</v>
      </c>
      <c r="H459" s="29">
        <v>0</v>
      </c>
      <c r="I459" s="29">
        <v>0</v>
      </c>
      <c r="J459" s="29">
        <v>0</v>
      </c>
      <c r="K459" s="29">
        <v>0</v>
      </c>
      <c r="L459" s="29">
        <v>0</v>
      </c>
      <c r="M459" s="29">
        <v>0</v>
      </c>
      <c r="N459" s="29">
        <v>0</v>
      </c>
      <c r="O459" s="29">
        <v>0</v>
      </c>
    </row>
    <row r="460" spans="1:15" x14ac:dyDescent="0.3">
      <c r="A460" s="28" t="s">
        <v>575</v>
      </c>
      <c r="B460" s="28" t="s">
        <v>576</v>
      </c>
      <c r="C460" s="28" t="s">
        <v>559</v>
      </c>
      <c r="D460" s="28" t="s">
        <v>618</v>
      </c>
      <c r="E460" s="28" t="s">
        <v>608</v>
      </c>
      <c r="F460" s="28" t="s">
        <v>599</v>
      </c>
      <c r="G460" s="29">
        <v>41</v>
      </c>
      <c r="H460" s="29">
        <v>0</v>
      </c>
      <c r="I460" s="29">
        <v>0</v>
      </c>
      <c r="J460" s="29">
        <v>0</v>
      </c>
      <c r="K460" s="29">
        <v>0</v>
      </c>
      <c r="L460" s="29">
        <v>0</v>
      </c>
      <c r="M460" s="29">
        <v>0</v>
      </c>
      <c r="N460" s="29">
        <v>0</v>
      </c>
      <c r="O460" s="29">
        <v>0</v>
      </c>
    </row>
    <row r="461" spans="1:15" x14ac:dyDescent="0.3">
      <c r="A461" s="28" t="s">
        <v>575</v>
      </c>
      <c r="B461" s="28" t="s">
        <v>576</v>
      </c>
      <c r="C461" s="28" t="s">
        <v>559</v>
      </c>
      <c r="D461" s="28" t="s">
        <v>618</v>
      </c>
      <c r="E461" s="28" t="s">
        <v>608</v>
      </c>
      <c r="F461" s="28" t="s">
        <v>600</v>
      </c>
      <c r="G461" s="29">
        <v>32</v>
      </c>
      <c r="H461" s="29">
        <v>0</v>
      </c>
      <c r="I461" s="29">
        <v>0</v>
      </c>
      <c r="J461" s="29">
        <v>0</v>
      </c>
      <c r="K461" s="29">
        <v>0</v>
      </c>
      <c r="L461" s="29">
        <v>0</v>
      </c>
      <c r="M461" s="29">
        <v>0</v>
      </c>
      <c r="N461" s="29">
        <v>0</v>
      </c>
      <c r="O461" s="29">
        <v>0</v>
      </c>
    </row>
    <row r="462" spans="1:15" x14ac:dyDescent="0.3">
      <c r="A462" s="28" t="s">
        <v>575</v>
      </c>
      <c r="B462" s="28" t="s">
        <v>576</v>
      </c>
      <c r="C462" s="28" t="s">
        <v>559</v>
      </c>
      <c r="D462" s="28" t="s">
        <v>618</v>
      </c>
      <c r="E462" s="28" t="s">
        <v>608</v>
      </c>
      <c r="F462" s="28" t="s">
        <v>601</v>
      </c>
      <c r="G462" s="29">
        <v>33</v>
      </c>
      <c r="H462" s="29">
        <v>0</v>
      </c>
      <c r="I462" s="29">
        <v>0</v>
      </c>
      <c r="J462" s="29">
        <v>0</v>
      </c>
      <c r="K462" s="29">
        <v>0</v>
      </c>
      <c r="L462" s="29">
        <v>0</v>
      </c>
      <c r="M462" s="29">
        <v>0</v>
      </c>
      <c r="N462" s="29">
        <v>0</v>
      </c>
      <c r="O462" s="29">
        <v>0</v>
      </c>
    </row>
    <row r="463" spans="1:15" x14ac:dyDescent="0.3">
      <c r="A463" s="28" t="s">
        <v>575</v>
      </c>
      <c r="B463" s="28" t="s">
        <v>576</v>
      </c>
      <c r="C463" s="28" t="s">
        <v>559</v>
      </c>
      <c r="D463" s="28" t="s">
        <v>618</v>
      </c>
      <c r="E463" s="28" t="s">
        <v>608</v>
      </c>
      <c r="F463" s="28" t="s">
        <v>602</v>
      </c>
      <c r="G463" s="29">
        <v>70</v>
      </c>
      <c r="H463" s="29">
        <v>0</v>
      </c>
      <c r="I463" s="29">
        <v>0</v>
      </c>
      <c r="J463" s="29">
        <v>0</v>
      </c>
      <c r="K463" s="29">
        <v>0</v>
      </c>
      <c r="L463" s="29">
        <v>0</v>
      </c>
      <c r="M463" s="29">
        <v>0</v>
      </c>
      <c r="N463" s="29">
        <v>0</v>
      </c>
      <c r="O463" s="29">
        <v>0</v>
      </c>
    </row>
    <row r="464" spans="1:15" x14ac:dyDescent="0.3">
      <c r="A464" s="28" t="s">
        <v>575</v>
      </c>
      <c r="B464" s="28" t="s">
        <v>576</v>
      </c>
      <c r="C464" s="28" t="s">
        <v>559</v>
      </c>
      <c r="D464" s="28" t="s">
        <v>618</v>
      </c>
      <c r="E464" s="28" t="s">
        <v>608</v>
      </c>
      <c r="F464" s="28" t="s">
        <v>603</v>
      </c>
      <c r="G464" s="29">
        <v>129</v>
      </c>
      <c r="H464" s="29">
        <v>0</v>
      </c>
      <c r="I464" s="29">
        <v>0</v>
      </c>
      <c r="J464" s="29">
        <v>0</v>
      </c>
      <c r="K464" s="29">
        <v>0</v>
      </c>
      <c r="L464" s="29">
        <v>0</v>
      </c>
      <c r="M464" s="29">
        <v>0</v>
      </c>
      <c r="N464" s="29">
        <v>0</v>
      </c>
      <c r="O464" s="29">
        <v>0</v>
      </c>
    </row>
    <row r="465" spans="1:15" x14ac:dyDescent="0.3">
      <c r="A465" s="28" t="s">
        <v>575</v>
      </c>
      <c r="B465" s="28" t="s">
        <v>576</v>
      </c>
      <c r="C465" s="28" t="s">
        <v>559</v>
      </c>
      <c r="D465" s="28" t="s">
        <v>618</v>
      </c>
      <c r="E465" s="28" t="s">
        <v>608</v>
      </c>
      <c r="F465" s="28" t="s">
        <v>604</v>
      </c>
      <c r="G465" s="29">
        <v>192</v>
      </c>
      <c r="H465" s="29">
        <v>0</v>
      </c>
      <c r="I465" s="29">
        <v>0</v>
      </c>
      <c r="J465" s="29">
        <v>0</v>
      </c>
      <c r="K465" s="29">
        <v>0</v>
      </c>
      <c r="L465" s="29">
        <v>0</v>
      </c>
      <c r="M465" s="29">
        <v>0</v>
      </c>
      <c r="N465" s="29">
        <v>0</v>
      </c>
      <c r="O465" s="29">
        <v>0</v>
      </c>
    </row>
    <row r="466" spans="1:15" x14ac:dyDescent="0.3">
      <c r="A466" s="28" t="s">
        <v>575</v>
      </c>
      <c r="B466" s="28" t="s">
        <v>576</v>
      </c>
      <c r="C466" s="28" t="s">
        <v>559</v>
      </c>
      <c r="D466" s="28" t="s">
        <v>618</v>
      </c>
      <c r="E466" s="28" t="s">
        <v>608</v>
      </c>
      <c r="F466" s="28" t="s">
        <v>581</v>
      </c>
      <c r="G466" s="29">
        <v>298</v>
      </c>
      <c r="H466" s="29">
        <v>3</v>
      </c>
      <c r="I466" s="29">
        <v>0</v>
      </c>
      <c r="J466" s="29">
        <v>0</v>
      </c>
      <c r="K466" s="29">
        <v>0</v>
      </c>
      <c r="L466" s="29">
        <v>0</v>
      </c>
      <c r="M466" s="29">
        <v>0</v>
      </c>
      <c r="N466" s="29">
        <v>0</v>
      </c>
      <c r="O466" s="29">
        <v>0</v>
      </c>
    </row>
    <row r="467" spans="1:15" x14ac:dyDescent="0.3">
      <c r="A467" s="28" t="s">
        <v>575</v>
      </c>
      <c r="B467" s="28" t="s">
        <v>576</v>
      </c>
      <c r="C467" s="28" t="s">
        <v>559</v>
      </c>
      <c r="D467" s="28" t="s">
        <v>618</v>
      </c>
      <c r="E467" s="28" t="s">
        <v>608</v>
      </c>
      <c r="F467" s="28" t="s">
        <v>582</v>
      </c>
      <c r="G467" s="29">
        <v>334</v>
      </c>
      <c r="H467" s="29">
        <v>2</v>
      </c>
      <c r="I467" s="29">
        <v>0</v>
      </c>
      <c r="J467" s="29">
        <v>0</v>
      </c>
      <c r="K467" s="29">
        <v>0</v>
      </c>
      <c r="L467" s="29">
        <v>0</v>
      </c>
      <c r="M467" s="29">
        <v>0</v>
      </c>
      <c r="N467" s="29">
        <v>0</v>
      </c>
      <c r="O467" s="29">
        <v>0</v>
      </c>
    </row>
    <row r="468" spans="1:15" x14ac:dyDescent="0.3">
      <c r="A468" s="28" t="s">
        <v>575</v>
      </c>
      <c r="B468" s="28" t="s">
        <v>576</v>
      </c>
      <c r="C468" s="28" t="s">
        <v>559</v>
      </c>
      <c r="D468" s="28" t="s">
        <v>618</v>
      </c>
      <c r="E468" s="28" t="s">
        <v>608</v>
      </c>
      <c r="F468" s="28" t="s">
        <v>583</v>
      </c>
      <c r="G468" s="29">
        <v>183</v>
      </c>
      <c r="H468" s="29">
        <v>1</v>
      </c>
      <c r="I468" s="29">
        <v>0</v>
      </c>
      <c r="J468" s="29">
        <v>0</v>
      </c>
      <c r="K468" s="29">
        <v>0</v>
      </c>
      <c r="L468" s="29">
        <v>0</v>
      </c>
      <c r="M468" s="29">
        <v>0</v>
      </c>
      <c r="N468" s="29">
        <v>0</v>
      </c>
      <c r="O468" s="29">
        <v>0</v>
      </c>
    </row>
    <row r="469" spans="1:15" x14ac:dyDescent="0.3">
      <c r="A469" s="28" t="s">
        <v>575</v>
      </c>
      <c r="B469" s="28" t="s">
        <v>576</v>
      </c>
      <c r="C469" s="28" t="s">
        <v>559</v>
      </c>
      <c r="D469" s="28" t="s">
        <v>618</v>
      </c>
      <c r="E469" s="28" t="s">
        <v>608</v>
      </c>
      <c r="F469" s="28" t="s">
        <v>584</v>
      </c>
      <c r="G469" s="29">
        <v>132</v>
      </c>
      <c r="H469" s="29">
        <v>0</v>
      </c>
      <c r="I469" s="29">
        <v>0</v>
      </c>
      <c r="J469" s="29">
        <v>0</v>
      </c>
      <c r="K469" s="29">
        <v>0</v>
      </c>
      <c r="L469" s="29">
        <v>0</v>
      </c>
      <c r="M469" s="29">
        <v>0</v>
      </c>
      <c r="N469" s="29">
        <v>0</v>
      </c>
      <c r="O469" s="29">
        <v>0</v>
      </c>
    </row>
    <row r="470" spans="1:15" x14ac:dyDescent="0.3">
      <c r="A470" s="28" t="s">
        <v>575</v>
      </c>
      <c r="B470" s="28" t="s">
        <v>576</v>
      </c>
      <c r="C470" s="28" t="s">
        <v>559</v>
      </c>
      <c r="D470" s="28" t="s">
        <v>618</v>
      </c>
      <c r="E470" s="28" t="s">
        <v>608</v>
      </c>
      <c r="F470" s="28" t="s">
        <v>585</v>
      </c>
      <c r="G470" s="29">
        <v>126</v>
      </c>
      <c r="H470" s="29">
        <v>1</v>
      </c>
      <c r="I470" s="29">
        <v>0</v>
      </c>
      <c r="J470" s="29">
        <v>0</v>
      </c>
      <c r="K470" s="29">
        <v>0</v>
      </c>
      <c r="L470" s="29">
        <v>0</v>
      </c>
      <c r="M470" s="29">
        <v>0</v>
      </c>
      <c r="N470" s="29">
        <v>0</v>
      </c>
      <c r="O470" s="29">
        <v>0</v>
      </c>
    </row>
    <row r="471" spans="1:15" x14ac:dyDescent="0.3">
      <c r="A471" s="28" t="s">
        <v>575</v>
      </c>
      <c r="B471" s="28" t="s">
        <v>576</v>
      </c>
      <c r="C471" s="28" t="s">
        <v>559</v>
      </c>
      <c r="D471" s="28" t="s">
        <v>618</v>
      </c>
      <c r="E471" s="28" t="s">
        <v>608</v>
      </c>
      <c r="F471" s="28" t="s">
        <v>586</v>
      </c>
      <c r="G471" s="29">
        <v>146</v>
      </c>
      <c r="H471" s="29">
        <v>0</v>
      </c>
      <c r="I471" s="29">
        <v>0</v>
      </c>
      <c r="J471" s="29">
        <v>0</v>
      </c>
      <c r="K471" s="29">
        <v>0</v>
      </c>
      <c r="L471" s="29">
        <v>0</v>
      </c>
      <c r="M471" s="29">
        <v>0</v>
      </c>
      <c r="N471" s="29">
        <v>0</v>
      </c>
      <c r="O471" s="29">
        <v>0</v>
      </c>
    </row>
    <row r="472" spans="1:15" x14ac:dyDescent="0.3">
      <c r="A472" s="28" t="s">
        <v>575</v>
      </c>
      <c r="B472" s="28" t="s">
        <v>576</v>
      </c>
      <c r="C472" s="28" t="s">
        <v>559</v>
      </c>
      <c r="D472" s="28" t="s">
        <v>618</v>
      </c>
      <c r="E472" s="28" t="s">
        <v>608</v>
      </c>
      <c r="F472" s="28" t="s">
        <v>587</v>
      </c>
      <c r="G472" s="29">
        <v>114</v>
      </c>
      <c r="H472" s="29">
        <v>0</v>
      </c>
      <c r="I472" s="29">
        <v>0</v>
      </c>
      <c r="J472" s="29">
        <v>0</v>
      </c>
      <c r="K472" s="29">
        <v>0</v>
      </c>
      <c r="L472" s="29">
        <v>0</v>
      </c>
      <c r="M472" s="29">
        <v>0</v>
      </c>
      <c r="N472" s="29">
        <v>0</v>
      </c>
      <c r="O472" s="29">
        <v>0</v>
      </c>
    </row>
    <row r="473" spans="1:15" x14ac:dyDescent="0.3">
      <c r="A473" s="28" t="s">
        <v>575</v>
      </c>
      <c r="B473" s="28" t="s">
        <v>576</v>
      </c>
      <c r="C473" s="28" t="s">
        <v>559</v>
      </c>
      <c r="D473" s="28" t="s">
        <v>618</v>
      </c>
      <c r="E473" s="28" t="s">
        <v>608</v>
      </c>
      <c r="F473" s="28" t="s">
        <v>579</v>
      </c>
      <c r="G473" s="29">
        <v>140</v>
      </c>
      <c r="H473" s="29">
        <v>1</v>
      </c>
      <c r="I473" s="29">
        <v>7</v>
      </c>
      <c r="J473" s="29">
        <v>0</v>
      </c>
      <c r="K473" s="29">
        <v>7</v>
      </c>
      <c r="L473" s="29">
        <v>0</v>
      </c>
      <c r="M473" s="29">
        <v>0</v>
      </c>
      <c r="N473" s="29">
        <v>0</v>
      </c>
      <c r="O473" s="29">
        <v>0</v>
      </c>
    </row>
    <row r="474" spans="1:15" x14ac:dyDescent="0.3">
      <c r="A474" s="28" t="s">
        <v>575</v>
      </c>
      <c r="B474" s="28" t="s">
        <v>576</v>
      </c>
      <c r="C474" s="28" t="s">
        <v>559</v>
      </c>
      <c r="D474" s="28" t="s">
        <v>618</v>
      </c>
      <c r="E474" s="28" t="s">
        <v>608</v>
      </c>
      <c r="F474" s="28" t="s">
        <v>588</v>
      </c>
      <c r="G474" s="29">
        <v>128</v>
      </c>
      <c r="H474" s="29">
        <v>0</v>
      </c>
      <c r="I474" s="29">
        <v>1</v>
      </c>
      <c r="J474" s="29">
        <v>0</v>
      </c>
      <c r="K474" s="29">
        <v>1</v>
      </c>
      <c r="L474" s="29">
        <v>0</v>
      </c>
      <c r="M474" s="29">
        <v>0</v>
      </c>
      <c r="N474" s="29">
        <v>0</v>
      </c>
      <c r="O474" s="29">
        <v>0</v>
      </c>
    </row>
    <row r="475" spans="1:15" x14ac:dyDescent="0.3">
      <c r="A475" s="28" t="s">
        <v>575</v>
      </c>
      <c r="B475" s="28" t="s">
        <v>576</v>
      </c>
      <c r="C475" s="28" t="s">
        <v>559</v>
      </c>
      <c r="D475" s="28" t="s">
        <v>618</v>
      </c>
      <c r="E475" s="28" t="s">
        <v>608</v>
      </c>
      <c r="F475" s="28" t="s">
        <v>589</v>
      </c>
      <c r="G475" s="29">
        <v>128</v>
      </c>
      <c r="H475" s="29">
        <v>0</v>
      </c>
      <c r="I475" s="29">
        <v>0</v>
      </c>
      <c r="J475" s="29">
        <v>0</v>
      </c>
      <c r="K475" s="29">
        <v>0</v>
      </c>
      <c r="L475" s="29">
        <v>0</v>
      </c>
      <c r="M475" s="29">
        <v>0</v>
      </c>
      <c r="N475" s="29">
        <v>0</v>
      </c>
      <c r="O475" s="29">
        <v>0</v>
      </c>
    </row>
    <row r="476" spans="1:15" x14ac:dyDescent="0.3">
      <c r="A476" s="28" t="s">
        <v>575</v>
      </c>
      <c r="B476" s="28" t="s">
        <v>576</v>
      </c>
      <c r="C476" s="28" t="s">
        <v>559</v>
      </c>
      <c r="D476" s="28" t="s">
        <v>618</v>
      </c>
      <c r="E476" s="28" t="s">
        <v>608</v>
      </c>
      <c r="F476" s="28" t="s">
        <v>590</v>
      </c>
      <c r="G476" s="29">
        <v>139</v>
      </c>
      <c r="H476" s="29">
        <v>0</v>
      </c>
      <c r="I476" s="29">
        <v>4</v>
      </c>
      <c r="J476" s="29">
        <v>0</v>
      </c>
      <c r="K476" s="29">
        <v>4</v>
      </c>
      <c r="L476" s="29">
        <v>0</v>
      </c>
      <c r="M476" s="29">
        <v>0</v>
      </c>
      <c r="N476" s="29">
        <v>0</v>
      </c>
      <c r="O476" s="29">
        <v>0</v>
      </c>
    </row>
    <row r="477" spans="1:15" x14ac:dyDescent="0.3">
      <c r="A477" s="28" t="s">
        <v>575</v>
      </c>
      <c r="B477" s="28" t="s">
        <v>576</v>
      </c>
      <c r="C477" s="28" t="s">
        <v>559</v>
      </c>
      <c r="D477" s="28" t="s">
        <v>618</v>
      </c>
      <c r="E477" s="28" t="s">
        <v>608</v>
      </c>
      <c r="F477" s="28" t="s">
        <v>591</v>
      </c>
      <c r="G477" s="29">
        <v>121</v>
      </c>
      <c r="H477" s="29">
        <v>0</v>
      </c>
      <c r="I477" s="29">
        <v>0</v>
      </c>
      <c r="J477" s="29">
        <v>0</v>
      </c>
      <c r="K477" s="29">
        <v>0</v>
      </c>
      <c r="L477" s="29">
        <v>0</v>
      </c>
      <c r="M477" s="29">
        <v>0</v>
      </c>
      <c r="N477" s="29">
        <v>0</v>
      </c>
      <c r="O477" s="29">
        <v>0</v>
      </c>
    </row>
    <row r="478" spans="1:15" x14ac:dyDescent="0.3">
      <c r="A478" s="28" t="s">
        <v>575</v>
      </c>
      <c r="B478" s="28" t="s">
        <v>576</v>
      </c>
      <c r="C478" s="28" t="s">
        <v>559</v>
      </c>
      <c r="D478" s="28" t="s">
        <v>618</v>
      </c>
      <c r="E478" s="28" t="s">
        <v>608</v>
      </c>
      <c r="F478" s="28" t="s">
        <v>592</v>
      </c>
      <c r="G478" s="29">
        <v>157</v>
      </c>
      <c r="H478" s="29">
        <v>0</v>
      </c>
      <c r="I478" s="29">
        <v>0</v>
      </c>
      <c r="J478" s="29">
        <v>0</v>
      </c>
      <c r="K478" s="29">
        <v>0</v>
      </c>
      <c r="L478" s="29">
        <v>0</v>
      </c>
      <c r="M478" s="29">
        <v>0</v>
      </c>
      <c r="N478" s="29">
        <v>0</v>
      </c>
      <c r="O478" s="29">
        <v>0</v>
      </c>
    </row>
    <row r="479" spans="1:15" x14ac:dyDescent="0.3">
      <c r="A479" s="28" t="s">
        <v>575</v>
      </c>
      <c r="B479" s="28" t="s">
        <v>576</v>
      </c>
      <c r="C479" s="28" t="s">
        <v>559</v>
      </c>
      <c r="D479" s="28" t="s">
        <v>618</v>
      </c>
      <c r="E479" s="28" t="s">
        <v>608</v>
      </c>
      <c r="F479" s="28" t="s">
        <v>593</v>
      </c>
      <c r="G479" s="29">
        <v>109</v>
      </c>
      <c r="H479" s="29">
        <v>0</v>
      </c>
      <c r="I479" s="29">
        <v>0</v>
      </c>
      <c r="J479" s="29">
        <v>0</v>
      </c>
      <c r="K479" s="29">
        <v>0</v>
      </c>
      <c r="L479" s="29">
        <v>0</v>
      </c>
      <c r="M479" s="29">
        <v>0</v>
      </c>
      <c r="N479" s="29">
        <v>0</v>
      </c>
      <c r="O479" s="29">
        <v>0</v>
      </c>
    </row>
    <row r="480" spans="1:15" x14ac:dyDescent="0.3">
      <c r="A480" s="28" t="s">
        <v>575</v>
      </c>
      <c r="B480" s="28" t="s">
        <v>576</v>
      </c>
      <c r="C480" s="28" t="s">
        <v>559</v>
      </c>
      <c r="D480" s="28" t="s">
        <v>618</v>
      </c>
      <c r="E480" s="28" t="s">
        <v>608</v>
      </c>
      <c r="F480" s="28" t="s">
        <v>594</v>
      </c>
      <c r="G480" s="29">
        <v>143</v>
      </c>
      <c r="H480" s="29">
        <v>0</v>
      </c>
      <c r="I480" s="29">
        <v>0</v>
      </c>
      <c r="J480" s="29">
        <v>0</v>
      </c>
      <c r="K480" s="29">
        <v>0</v>
      </c>
      <c r="L480" s="29">
        <v>0</v>
      </c>
      <c r="M480" s="29">
        <v>0</v>
      </c>
      <c r="N480" s="29">
        <v>0</v>
      </c>
      <c r="O480" s="29">
        <v>0</v>
      </c>
    </row>
    <row r="481" spans="1:15" x14ac:dyDescent="0.3">
      <c r="A481" s="28" t="s">
        <v>575</v>
      </c>
      <c r="B481" s="28" t="s">
        <v>576</v>
      </c>
      <c r="C481" s="28" t="s">
        <v>559</v>
      </c>
      <c r="D481" s="28" t="s">
        <v>618</v>
      </c>
      <c r="E481" s="28" t="s">
        <v>608</v>
      </c>
      <c r="F481" s="28" t="s">
        <v>595</v>
      </c>
      <c r="G481" s="29">
        <v>130</v>
      </c>
      <c r="H481" s="29">
        <v>0</v>
      </c>
      <c r="I481" s="29">
        <v>0</v>
      </c>
      <c r="J481" s="29">
        <v>0</v>
      </c>
      <c r="K481" s="29">
        <v>0</v>
      </c>
      <c r="L481" s="29">
        <v>0</v>
      </c>
      <c r="M481" s="29">
        <v>0</v>
      </c>
      <c r="N481" s="29">
        <v>0</v>
      </c>
      <c r="O481" s="29">
        <v>0</v>
      </c>
    </row>
    <row r="482" spans="1:15" x14ac:dyDescent="0.3">
      <c r="A482" s="28" t="s">
        <v>575</v>
      </c>
      <c r="B482" s="28" t="s">
        <v>576</v>
      </c>
      <c r="C482" s="28" t="s">
        <v>559</v>
      </c>
      <c r="D482" s="28" t="s">
        <v>618</v>
      </c>
      <c r="E482" s="28" t="s">
        <v>609</v>
      </c>
      <c r="F482" s="28" t="s">
        <v>597</v>
      </c>
      <c r="G482" s="29">
        <v>120</v>
      </c>
      <c r="H482" s="29">
        <v>2</v>
      </c>
      <c r="I482" s="29">
        <v>0</v>
      </c>
      <c r="J482" s="29">
        <v>0</v>
      </c>
      <c r="K482" s="29">
        <v>0</v>
      </c>
      <c r="L482" s="29">
        <v>0</v>
      </c>
      <c r="M482" s="29">
        <v>0</v>
      </c>
      <c r="N482" s="29">
        <v>0</v>
      </c>
      <c r="O482" s="29">
        <v>0</v>
      </c>
    </row>
    <row r="483" spans="1:15" x14ac:dyDescent="0.3">
      <c r="A483" s="28" t="s">
        <v>575</v>
      </c>
      <c r="B483" s="28" t="s">
        <v>576</v>
      </c>
      <c r="C483" s="28" t="s">
        <v>559</v>
      </c>
      <c r="D483" s="28" t="s">
        <v>618</v>
      </c>
      <c r="E483" s="28" t="s">
        <v>609</v>
      </c>
      <c r="F483" s="28" t="s">
        <v>598</v>
      </c>
      <c r="G483" s="29">
        <v>66</v>
      </c>
      <c r="H483" s="29">
        <v>0</v>
      </c>
      <c r="I483" s="29">
        <v>0</v>
      </c>
      <c r="J483" s="29">
        <v>0</v>
      </c>
      <c r="K483" s="29">
        <v>0</v>
      </c>
      <c r="L483" s="29">
        <v>0</v>
      </c>
      <c r="M483" s="29">
        <v>0</v>
      </c>
      <c r="N483" s="29">
        <v>0</v>
      </c>
      <c r="O483" s="29">
        <v>0</v>
      </c>
    </row>
    <row r="484" spans="1:15" x14ac:dyDescent="0.3">
      <c r="A484" s="28" t="s">
        <v>575</v>
      </c>
      <c r="B484" s="28" t="s">
        <v>576</v>
      </c>
      <c r="C484" s="28" t="s">
        <v>559</v>
      </c>
      <c r="D484" s="28" t="s">
        <v>618</v>
      </c>
      <c r="E484" s="28" t="s">
        <v>609</v>
      </c>
      <c r="F484" s="28" t="s">
        <v>599</v>
      </c>
      <c r="G484" s="29">
        <v>47</v>
      </c>
      <c r="H484" s="29">
        <v>0</v>
      </c>
      <c r="I484" s="29">
        <v>0</v>
      </c>
      <c r="J484" s="29">
        <v>0</v>
      </c>
      <c r="K484" s="29">
        <v>0</v>
      </c>
      <c r="L484" s="29">
        <v>0</v>
      </c>
      <c r="M484" s="29">
        <v>0</v>
      </c>
      <c r="N484" s="29">
        <v>0</v>
      </c>
      <c r="O484" s="29">
        <v>0</v>
      </c>
    </row>
    <row r="485" spans="1:15" x14ac:dyDescent="0.3">
      <c r="A485" s="28" t="s">
        <v>575</v>
      </c>
      <c r="B485" s="28" t="s">
        <v>576</v>
      </c>
      <c r="C485" s="28" t="s">
        <v>559</v>
      </c>
      <c r="D485" s="28" t="s">
        <v>618</v>
      </c>
      <c r="E485" s="28" t="s">
        <v>609</v>
      </c>
      <c r="F485" s="28" t="s">
        <v>600</v>
      </c>
      <c r="G485" s="29">
        <v>31</v>
      </c>
      <c r="H485" s="29">
        <v>0</v>
      </c>
      <c r="I485" s="29">
        <v>0</v>
      </c>
      <c r="J485" s="29">
        <v>0</v>
      </c>
      <c r="K485" s="29">
        <v>0</v>
      </c>
      <c r="L485" s="29">
        <v>0</v>
      </c>
      <c r="M485" s="29">
        <v>0</v>
      </c>
      <c r="N485" s="29">
        <v>0</v>
      </c>
      <c r="O485" s="29">
        <v>0</v>
      </c>
    </row>
    <row r="486" spans="1:15" x14ac:dyDescent="0.3">
      <c r="A486" s="28" t="s">
        <v>575</v>
      </c>
      <c r="B486" s="28" t="s">
        <v>576</v>
      </c>
      <c r="C486" s="28" t="s">
        <v>559</v>
      </c>
      <c r="D486" s="28" t="s">
        <v>618</v>
      </c>
      <c r="E486" s="28" t="s">
        <v>609</v>
      </c>
      <c r="F486" s="28" t="s">
        <v>601</v>
      </c>
      <c r="G486" s="29">
        <v>47</v>
      </c>
      <c r="H486" s="29">
        <v>0</v>
      </c>
      <c r="I486" s="29">
        <v>0</v>
      </c>
      <c r="J486" s="29">
        <v>0</v>
      </c>
      <c r="K486" s="29">
        <v>0</v>
      </c>
      <c r="L486" s="29">
        <v>0</v>
      </c>
      <c r="M486" s="29">
        <v>0</v>
      </c>
      <c r="N486" s="29">
        <v>0</v>
      </c>
      <c r="O486" s="29">
        <v>0</v>
      </c>
    </row>
    <row r="487" spans="1:15" x14ac:dyDescent="0.3">
      <c r="A487" s="28" t="s">
        <v>575</v>
      </c>
      <c r="B487" s="28" t="s">
        <v>576</v>
      </c>
      <c r="C487" s="28" t="s">
        <v>559</v>
      </c>
      <c r="D487" s="28" t="s">
        <v>618</v>
      </c>
      <c r="E487" s="28" t="s">
        <v>609</v>
      </c>
      <c r="F487" s="28" t="s">
        <v>602</v>
      </c>
      <c r="G487" s="29">
        <v>57</v>
      </c>
      <c r="H487" s="29">
        <v>0</v>
      </c>
      <c r="I487" s="29">
        <v>0</v>
      </c>
      <c r="J487" s="29">
        <v>0</v>
      </c>
      <c r="K487" s="29">
        <v>0</v>
      </c>
      <c r="L487" s="29">
        <v>0</v>
      </c>
      <c r="M487" s="29">
        <v>0</v>
      </c>
      <c r="N487" s="29">
        <v>0</v>
      </c>
      <c r="O487" s="29">
        <v>0</v>
      </c>
    </row>
    <row r="488" spans="1:15" x14ac:dyDescent="0.3">
      <c r="A488" s="28" t="s">
        <v>575</v>
      </c>
      <c r="B488" s="28" t="s">
        <v>576</v>
      </c>
      <c r="C488" s="28" t="s">
        <v>559</v>
      </c>
      <c r="D488" s="28" t="s">
        <v>618</v>
      </c>
      <c r="E488" s="28" t="s">
        <v>609</v>
      </c>
      <c r="F488" s="28" t="s">
        <v>603</v>
      </c>
      <c r="G488" s="29">
        <v>165</v>
      </c>
      <c r="H488" s="29">
        <v>0</v>
      </c>
      <c r="I488" s="29">
        <v>0</v>
      </c>
      <c r="J488" s="29">
        <v>0</v>
      </c>
      <c r="K488" s="29">
        <v>0</v>
      </c>
      <c r="L488" s="29">
        <v>0</v>
      </c>
      <c r="M488" s="29">
        <v>0</v>
      </c>
      <c r="N488" s="29">
        <v>0</v>
      </c>
      <c r="O488" s="29">
        <v>0</v>
      </c>
    </row>
    <row r="489" spans="1:15" x14ac:dyDescent="0.3">
      <c r="A489" s="28" t="s">
        <v>575</v>
      </c>
      <c r="B489" s="28" t="s">
        <v>576</v>
      </c>
      <c r="C489" s="28" t="s">
        <v>559</v>
      </c>
      <c r="D489" s="28" t="s">
        <v>618</v>
      </c>
      <c r="E489" s="28" t="s">
        <v>609</v>
      </c>
      <c r="F489" s="28" t="s">
        <v>604</v>
      </c>
      <c r="G489" s="29">
        <v>373</v>
      </c>
      <c r="H489" s="29">
        <v>1</v>
      </c>
      <c r="I489" s="29">
        <v>0</v>
      </c>
      <c r="J489" s="29">
        <v>0</v>
      </c>
      <c r="K489" s="29">
        <v>0</v>
      </c>
      <c r="L489" s="29">
        <v>0</v>
      </c>
      <c r="M489" s="29">
        <v>0</v>
      </c>
      <c r="N489" s="29">
        <v>0</v>
      </c>
      <c r="O489" s="29">
        <v>0</v>
      </c>
    </row>
    <row r="490" spans="1:15" x14ac:dyDescent="0.3">
      <c r="A490" s="28" t="s">
        <v>575</v>
      </c>
      <c r="B490" s="28" t="s">
        <v>576</v>
      </c>
      <c r="C490" s="28" t="s">
        <v>559</v>
      </c>
      <c r="D490" s="28" t="s">
        <v>618</v>
      </c>
      <c r="E490" s="28" t="s">
        <v>609</v>
      </c>
      <c r="F490" s="28" t="s">
        <v>581</v>
      </c>
      <c r="G490" s="29">
        <v>453</v>
      </c>
      <c r="H490" s="29">
        <v>0</v>
      </c>
      <c r="I490" s="29">
        <v>0</v>
      </c>
      <c r="J490" s="29">
        <v>0</v>
      </c>
      <c r="K490" s="29">
        <v>0</v>
      </c>
      <c r="L490" s="29">
        <v>0</v>
      </c>
      <c r="M490" s="29">
        <v>0</v>
      </c>
      <c r="N490" s="29">
        <v>0</v>
      </c>
      <c r="O490" s="29">
        <v>0</v>
      </c>
    </row>
    <row r="491" spans="1:15" x14ac:dyDescent="0.3">
      <c r="A491" s="28" t="s">
        <v>575</v>
      </c>
      <c r="B491" s="28" t="s">
        <v>576</v>
      </c>
      <c r="C491" s="28" t="s">
        <v>559</v>
      </c>
      <c r="D491" s="28" t="s">
        <v>618</v>
      </c>
      <c r="E491" s="28" t="s">
        <v>609</v>
      </c>
      <c r="F491" s="28" t="s">
        <v>582</v>
      </c>
      <c r="G491" s="29">
        <v>147</v>
      </c>
      <c r="H491" s="29">
        <v>0</v>
      </c>
      <c r="I491" s="29">
        <v>0</v>
      </c>
      <c r="J491" s="29">
        <v>0</v>
      </c>
      <c r="K491" s="29">
        <v>0</v>
      </c>
      <c r="L491" s="29">
        <v>0</v>
      </c>
      <c r="M491" s="29">
        <v>0</v>
      </c>
      <c r="N491" s="29">
        <v>0</v>
      </c>
      <c r="O491" s="29">
        <v>0</v>
      </c>
    </row>
    <row r="492" spans="1:15" x14ac:dyDescent="0.3">
      <c r="A492" s="28" t="s">
        <v>575</v>
      </c>
      <c r="B492" s="28" t="s">
        <v>576</v>
      </c>
      <c r="C492" s="28" t="s">
        <v>559</v>
      </c>
      <c r="D492" s="28" t="s">
        <v>618</v>
      </c>
      <c r="E492" s="28" t="s">
        <v>609</v>
      </c>
      <c r="F492" s="28" t="s">
        <v>583</v>
      </c>
      <c r="G492" s="29">
        <v>150</v>
      </c>
      <c r="H492" s="29">
        <v>0</v>
      </c>
      <c r="I492" s="29">
        <v>0</v>
      </c>
      <c r="J492" s="29">
        <v>0</v>
      </c>
      <c r="K492" s="29">
        <v>0</v>
      </c>
      <c r="L492" s="29">
        <v>0</v>
      </c>
      <c r="M492" s="29">
        <v>0</v>
      </c>
      <c r="N492" s="29">
        <v>0</v>
      </c>
      <c r="O492" s="29">
        <v>0</v>
      </c>
    </row>
    <row r="493" spans="1:15" x14ac:dyDescent="0.3">
      <c r="A493" s="28" t="s">
        <v>575</v>
      </c>
      <c r="B493" s="28" t="s">
        <v>576</v>
      </c>
      <c r="C493" s="28" t="s">
        <v>559</v>
      </c>
      <c r="D493" s="28" t="s">
        <v>618</v>
      </c>
      <c r="E493" s="28" t="s">
        <v>609</v>
      </c>
      <c r="F493" s="28" t="s">
        <v>584</v>
      </c>
      <c r="G493" s="29">
        <v>131</v>
      </c>
      <c r="H493" s="29">
        <v>0</v>
      </c>
      <c r="I493" s="29">
        <v>0</v>
      </c>
      <c r="J493" s="29">
        <v>0</v>
      </c>
      <c r="K493" s="29">
        <v>0</v>
      </c>
      <c r="L493" s="29">
        <v>0</v>
      </c>
      <c r="M493" s="29">
        <v>0</v>
      </c>
      <c r="N493" s="29">
        <v>0</v>
      </c>
      <c r="O493" s="29">
        <v>0</v>
      </c>
    </row>
    <row r="494" spans="1:15" x14ac:dyDescent="0.3">
      <c r="A494" s="28" t="s">
        <v>575</v>
      </c>
      <c r="B494" s="28" t="s">
        <v>576</v>
      </c>
      <c r="C494" s="28" t="s">
        <v>559</v>
      </c>
      <c r="D494" s="28" t="s">
        <v>618</v>
      </c>
      <c r="E494" s="28" t="s">
        <v>609</v>
      </c>
      <c r="F494" s="28" t="s">
        <v>585</v>
      </c>
      <c r="G494" s="29">
        <v>142</v>
      </c>
      <c r="H494" s="29">
        <v>0</v>
      </c>
      <c r="I494" s="29">
        <v>0</v>
      </c>
      <c r="J494" s="29">
        <v>0</v>
      </c>
      <c r="K494" s="29">
        <v>0</v>
      </c>
      <c r="L494" s="29">
        <v>0</v>
      </c>
      <c r="M494" s="29">
        <v>0</v>
      </c>
      <c r="N494" s="29">
        <v>0</v>
      </c>
      <c r="O494" s="29">
        <v>0</v>
      </c>
    </row>
    <row r="495" spans="1:15" x14ac:dyDescent="0.3">
      <c r="A495" s="28" t="s">
        <v>575</v>
      </c>
      <c r="B495" s="28" t="s">
        <v>576</v>
      </c>
      <c r="C495" s="28" t="s">
        <v>559</v>
      </c>
      <c r="D495" s="28" t="s">
        <v>618</v>
      </c>
      <c r="E495" s="28" t="s">
        <v>609</v>
      </c>
      <c r="F495" s="28" t="s">
        <v>586</v>
      </c>
      <c r="G495" s="29">
        <v>145</v>
      </c>
      <c r="H495" s="29">
        <v>0</v>
      </c>
      <c r="I495" s="29">
        <v>0</v>
      </c>
      <c r="J495" s="29">
        <v>0</v>
      </c>
      <c r="K495" s="29">
        <v>0</v>
      </c>
      <c r="L495" s="29">
        <v>0</v>
      </c>
      <c r="M495" s="29">
        <v>0</v>
      </c>
      <c r="N495" s="29">
        <v>0</v>
      </c>
      <c r="O495" s="29">
        <v>0</v>
      </c>
    </row>
    <row r="496" spans="1:15" x14ac:dyDescent="0.3">
      <c r="A496" s="28" t="s">
        <v>575</v>
      </c>
      <c r="B496" s="28" t="s">
        <v>576</v>
      </c>
      <c r="C496" s="28" t="s">
        <v>559</v>
      </c>
      <c r="D496" s="28" t="s">
        <v>618</v>
      </c>
      <c r="E496" s="28" t="s">
        <v>609</v>
      </c>
      <c r="F496" s="28" t="s">
        <v>587</v>
      </c>
      <c r="G496" s="29">
        <v>137</v>
      </c>
      <c r="H496" s="29">
        <v>0</v>
      </c>
      <c r="I496" s="29">
        <v>1</v>
      </c>
      <c r="J496" s="29">
        <v>1</v>
      </c>
      <c r="K496" s="29">
        <v>0</v>
      </c>
      <c r="L496" s="29">
        <v>0</v>
      </c>
      <c r="M496" s="29">
        <v>0</v>
      </c>
      <c r="N496" s="29">
        <v>0</v>
      </c>
      <c r="O496" s="29">
        <v>0</v>
      </c>
    </row>
    <row r="497" spans="1:15" x14ac:dyDescent="0.3">
      <c r="A497" s="28" t="s">
        <v>575</v>
      </c>
      <c r="B497" s="28" t="s">
        <v>576</v>
      </c>
      <c r="C497" s="28" t="s">
        <v>559</v>
      </c>
      <c r="D497" s="28" t="s">
        <v>618</v>
      </c>
      <c r="E497" s="28" t="s">
        <v>609</v>
      </c>
      <c r="F497" s="28" t="s">
        <v>579</v>
      </c>
      <c r="G497" s="29">
        <v>144</v>
      </c>
      <c r="H497" s="29">
        <v>0</v>
      </c>
      <c r="I497" s="29">
        <v>0</v>
      </c>
      <c r="J497" s="29">
        <v>0</v>
      </c>
      <c r="K497" s="29">
        <v>0</v>
      </c>
      <c r="L497" s="29">
        <v>0</v>
      </c>
      <c r="M497" s="29">
        <v>0</v>
      </c>
      <c r="N497" s="29">
        <v>0</v>
      </c>
      <c r="O497" s="29">
        <v>0</v>
      </c>
    </row>
    <row r="498" spans="1:15" x14ac:dyDescent="0.3">
      <c r="A498" s="28" t="s">
        <v>575</v>
      </c>
      <c r="B498" s="28" t="s">
        <v>576</v>
      </c>
      <c r="C498" s="28" t="s">
        <v>559</v>
      </c>
      <c r="D498" s="28" t="s">
        <v>618</v>
      </c>
      <c r="E498" s="28" t="s">
        <v>609</v>
      </c>
      <c r="F498" s="28" t="s">
        <v>588</v>
      </c>
      <c r="G498" s="29">
        <v>153</v>
      </c>
      <c r="H498" s="29">
        <v>0</v>
      </c>
      <c r="I498" s="29">
        <v>0</v>
      </c>
      <c r="J498" s="29">
        <v>0</v>
      </c>
      <c r="K498" s="29">
        <v>0</v>
      </c>
      <c r="L498" s="29">
        <v>0</v>
      </c>
      <c r="M498" s="29">
        <v>0</v>
      </c>
      <c r="N498" s="29">
        <v>0</v>
      </c>
      <c r="O498" s="29">
        <v>0</v>
      </c>
    </row>
    <row r="499" spans="1:15" x14ac:dyDescent="0.3">
      <c r="A499" s="28" t="s">
        <v>575</v>
      </c>
      <c r="B499" s="28" t="s">
        <v>576</v>
      </c>
      <c r="C499" s="28" t="s">
        <v>559</v>
      </c>
      <c r="D499" s="28" t="s">
        <v>618</v>
      </c>
      <c r="E499" s="28" t="s">
        <v>609</v>
      </c>
      <c r="F499" s="28" t="s">
        <v>589</v>
      </c>
      <c r="G499" s="29">
        <v>149</v>
      </c>
      <c r="H499" s="29">
        <v>2</v>
      </c>
      <c r="I499" s="29">
        <v>0</v>
      </c>
      <c r="J499" s="29">
        <v>0</v>
      </c>
      <c r="K499" s="29">
        <v>0</v>
      </c>
      <c r="L499" s="29">
        <v>0</v>
      </c>
      <c r="M499" s="29">
        <v>0</v>
      </c>
      <c r="N499" s="29">
        <v>0</v>
      </c>
      <c r="O499" s="29">
        <v>0</v>
      </c>
    </row>
    <row r="500" spans="1:15" x14ac:dyDescent="0.3">
      <c r="A500" s="28" t="s">
        <v>575</v>
      </c>
      <c r="B500" s="28" t="s">
        <v>576</v>
      </c>
      <c r="C500" s="28" t="s">
        <v>559</v>
      </c>
      <c r="D500" s="28" t="s">
        <v>618</v>
      </c>
      <c r="E500" s="28" t="s">
        <v>609</v>
      </c>
      <c r="F500" s="28" t="s">
        <v>590</v>
      </c>
      <c r="G500" s="29">
        <v>139</v>
      </c>
      <c r="H500" s="29">
        <v>0</v>
      </c>
      <c r="I500" s="29">
        <v>0</v>
      </c>
      <c r="J500" s="29">
        <v>0</v>
      </c>
      <c r="K500" s="29">
        <v>0</v>
      </c>
      <c r="L500" s="29">
        <v>0</v>
      </c>
      <c r="M500" s="29">
        <v>0</v>
      </c>
      <c r="N500" s="29">
        <v>0</v>
      </c>
      <c r="O500" s="29">
        <v>0</v>
      </c>
    </row>
    <row r="501" spans="1:15" x14ac:dyDescent="0.3">
      <c r="A501" s="28" t="s">
        <v>575</v>
      </c>
      <c r="B501" s="28" t="s">
        <v>576</v>
      </c>
      <c r="C501" s="28" t="s">
        <v>559</v>
      </c>
      <c r="D501" s="28" t="s">
        <v>618</v>
      </c>
      <c r="E501" s="28" t="s">
        <v>609</v>
      </c>
      <c r="F501" s="28" t="s">
        <v>591</v>
      </c>
      <c r="G501" s="29">
        <v>148</v>
      </c>
      <c r="H501" s="29">
        <v>0</v>
      </c>
      <c r="I501" s="29">
        <v>0</v>
      </c>
      <c r="J501" s="29">
        <v>0</v>
      </c>
      <c r="K501" s="29">
        <v>0</v>
      </c>
      <c r="L501" s="29">
        <v>0</v>
      </c>
      <c r="M501" s="29">
        <v>0</v>
      </c>
      <c r="N501" s="29">
        <v>0</v>
      </c>
      <c r="O501" s="29">
        <v>0</v>
      </c>
    </row>
    <row r="502" spans="1:15" x14ac:dyDescent="0.3">
      <c r="A502" s="28" t="s">
        <v>575</v>
      </c>
      <c r="B502" s="28" t="s">
        <v>576</v>
      </c>
      <c r="C502" s="28" t="s">
        <v>559</v>
      </c>
      <c r="D502" s="28" t="s">
        <v>618</v>
      </c>
      <c r="E502" s="28" t="s">
        <v>609</v>
      </c>
      <c r="F502" s="28" t="s">
        <v>592</v>
      </c>
      <c r="G502" s="29">
        <v>190</v>
      </c>
      <c r="H502" s="29">
        <v>0</v>
      </c>
      <c r="I502" s="29">
        <v>0</v>
      </c>
      <c r="J502" s="29">
        <v>0</v>
      </c>
      <c r="K502" s="29">
        <v>0</v>
      </c>
      <c r="L502" s="29">
        <v>0</v>
      </c>
      <c r="M502" s="29">
        <v>0</v>
      </c>
      <c r="N502" s="29">
        <v>0</v>
      </c>
      <c r="O502" s="29">
        <v>0</v>
      </c>
    </row>
    <row r="503" spans="1:15" x14ac:dyDescent="0.3">
      <c r="A503" s="28" t="s">
        <v>575</v>
      </c>
      <c r="B503" s="28" t="s">
        <v>576</v>
      </c>
      <c r="C503" s="28" t="s">
        <v>559</v>
      </c>
      <c r="D503" s="28" t="s">
        <v>618</v>
      </c>
      <c r="E503" s="28" t="s">
        <v>609</v>
      </c>
      <c r="F503" s="28" t="s">
        <v>593</v>
      </c>
      <c r="G503" s="29">
        <v>89</v>
      </c>
      <c r="H503" s="29">
        <v>2</v>
      </c>
      <c r="I503" s="29">
        <v>0</v>
      </c>
      <c r="J503" s="29">
        <v>0</v>
      </c>
      <c r="K503" s="29">
        <v>0</v>
      </c>
      <c r="L503" s="29">
        <v>0</v>
      </c>
      <c r="M503" s="29">
        <v>0</v>
      </c>
      <c r="N503" s="29">
        <v>0</v>
      </c>
      <c r="O503" s="29">
        <v>0</v>
      </c>
    </row>
    <row r="504" spans="1:15" x14ac:dyDescent="0.3">
      <c r="A504" s="28" t="s">
        <v>575</v>
      </c>
      <c r="B504" s="28" t="s">
        <v>576</v>
      </c>
      <c r="C504" s="28" t="s">
        <v>559</v>
      </c>
      <c r="D504" s="28" t="s">
        <v>618</v>
      </c>
      <c r="E504" s="28" t="s">
        <v>609</v>
      </c>
      <c r="F504" s="28" t="s">
        <v>594</v>
      </c>
      <c r="G504" s="29">
        <v>202</v>
      </c>
      <c r="H504" s="29">
        <v>0</v>
      </c>
      <c r="I504" s="29">
        <v>1</v>
      </c>
      <c r="J504" s="29">
        <v>0</v>
      </c>
      <c r="K504" s="29">
        <v>1</v>
      </c>
      <c r="L504" s="29">
        <v>0</v>
      </c>
      <c r="M504" s="29">
        <v>0</v>
      </c>
      <c r="N504" s="29">
        <v>0</v>
      </c>
      <c r="O504" s="29">
        <v>0</v>
      </c>
    </row>
    <row r="505" spans="1:15" x14ac:dyDescent="0.3">
      <c r="A505" s="28" t="s">
        <v>575</v>
      </c>
      <c r="B505" s="28" t="s">
        <v>576</v>
      </c>
      <c r="C505" s="28" t="s">
        <v>559</v>
      </c>
      <c r="D505" s="28" t="s">
        <v>618</v>
      </c>
      <c r="E505" s="28" t="s">
        <v>609</v>
      </c>
      <c r="F505" s="28" t="s">
        <v>595</v>
      </c>
      <c r="G505" s="29">
        <v>174</v>
      </c>
      <c r="H505" s="29">
        <v>1</v>
      </c>
      <c r="I505" s="29">
        <v>2</v>
      </c>
      <c r="J505" s="29">
        <v>2</v>
      </c>
      <c r="K505" s="29">
        <v>0</v>
      </c>
      <c r="L505" s="29">
        <v>0</v>
      </c>
      <c r="M505" s="29">
        <v>0</v>
      </c>
      <c r="N505" s="29">
        <v>0</v>
      </c>
      <c r="O505" s="29">
        <v>0</v>
      </c>
    </row>
    <row r="506" spans="1:15" x14ac:dyDescent="0.3">
      <c r="A506" s="28" t="s">
        <v>575</v>
      </c>
      <c r="B506" s="28" t="s">
        <v>576</v>
      </c>
      <c r="C506" s="28" t="s">
        <v>559</v>
      </c>
      <c r="D506" s="28" t="s">
        <v>618</v>
      </c>
      <c r="E506" s="28" t="s">
        <v>610</v>
      </c>
      <c r="F506" s="28" t="s">
        <v>597</v>
      </c>
      <c r="G506" s="29">
        <v>162</v>
      </c>
      <c r="H506" s="29">
        <v>0</v>
      </c>
      <c r="I506" s="29">
        <v>0</v>
      </c>
      <c r="J506" s="29">
        <v>0</v>
      </c>
      <c r="K506" s="29">
        <v>0</v>
      </c>
      <c r="L506" s="29">
        <v>0</v>
      </c>
      <c r="M506" s="29">
        <v>0</v>
      </c>
      <c r="N506" s="29">
        <v>0</v>
      </c>
      <c r="O506" s="29">
        <v>0</v>
      </c>
    </row>
    <row r="507" spans="1:15" x14ac:dyDescent="0.3">
      <c r="A507" s="28" t="s">
        <v>575</v>
      </c>
      <c r="B507" s="28" t="s">
        <v>576</v>
      </c>
      <c r="C507" s="28" t="s">
        <v>559</v>
      </c>
      <c r="D507" s="28" t="s">
        <v>618</v>
      </c>
      <c r="E507" s="28" t="s">
        <v>610</v>
      </c>
      <c r="F507" s="28" t="s">
        <v>598</v>
      </c>
      <c r="G507" s="29">
        <v>94</v>
      </c>
      <c r="H507" s="29">
        <v>0</v>
      </c>
      <c r="I507" s="29">
        <v>0</v>
      </c>
      <c r="J507" s="29">
        <v>0</v>
      </c>
      <c r="K507" s="29">
        <v>0</v>
      </c>
      <c r="L507" s="29">
        <v>0</v>
      </c>
      <c r="M507" s="29">
        <v>0</v>
      </c>
      <c r="N507" s="29">
        <v>0</v>
      </c>
      <c r="O507" s="29">
        <v>0</v>
      </c>
    </row>
    <row r="508" spans="1:15" x14ac:dyDescent="0.3">
      <c r="A508" s="28" t="s">
        <v>575</v>
      </c>
      <c r="B508" s="28" t="s">
        <v>576</v>
      </c>
      <c r="C508" s="28" t="s">
        <v>559</v>
      </c>
      <c r="D508" s="28" t="s">
        <v>618</v>
      </c>
      <c r="E508" s="28" t="s">
        <v>610</v>
      </c>
      <c r="F508" s="28" t="s">
        <v>599</v>
      </c>
      <c r="G508" s="29">
        <v>86</v>
      </c>
      <c r="H508" s="29">
        <v>0</v>
      </c>
      <c r="I508" s="29">
        <v>0</v>
      </c>
      <c r="J508" s="29">
        <v>0</v>
      </c>
      <c r="K508" s="29">
        <v>0</v>
      </c>
      <c r="L508" s="29">
        <v>0</v>
      </c>
      <c r="M508" s="29">
        <v>0</v>
      </c>
      <c r="N508" s="29">
        <v>0</v>
      </c>
      <c r="O508" s="29">
        <v>0</v>
      </c>
    </row>
    <row r="509" spans="1:15" x14ac:dyDescent="0.3">
      <c r="A509" s="28" t="s">
        <v>575</v>
      </c>
      <c r="B509" s="28" t="s">
        <v>576</v>
      </c>
      <c r="C509" s="28" t="s">
        <v>559</v>
      </c>
      <c r="D509" s="28" t="s">
        <v>618</v>
      </c>
      <c r="E509" s="28" t="s">
        <v>610</v>
      </c>
      <c r="F509" s="28" t="s">
        <v>600</v>
      </c>
      <c r="G509" s="29">
        <v>59</v>
      </c>
      <c r="H509" s="29">
        <v>1</v>
      </c>
      <c r="I509" s="29">
        <v>2</v>
      </c>
      <c r="J509" s="29">
        <v>2</v>
      </c>
      <c r="K509" s="29">
        <v>0</v>
      </c>
      <c r="L509" s="29">
        <v>0</v>
      </c>
      <c r="M509" s="29">
        <v>0</v>
      </c>
      <c r="N509" s="29">
        <v>0</v>
      </c>
      <c r="O509" s="29">
        <v>0</v>
      </c>
    </row>
    <row r="510" spans="1:15" x14ac:dyDescent="0.3">
      <c r="A510" s="28" t="s">
        <v>575</v>
      </c>
      <c r="B510" s="28" t="s">
        <v>576</v>
      </c>
      <c r="C510" s="28" t="s">
        <v>559</v>
      </c>
      <c r="D510" s="28" t="s">
        <v>618</v>
      </c>
      <c r="E510" s="28" t="s">
        <v>610</v>
      </c>
      <c r="F510" s="28" t="s">
        <v>601</v>
      </c>
      <c r="G510" s="29">
        <v>108</v>
      </c>
      <c r="H510" s="29">
        <v>0</v>
      </c>
      <c r="I510" s="29">
        <v>0</v>
      </c>
      <c r="J510" s="29">
        <v>0</v>
      </c>
      <c r="K510" s="29">
        <v>0</v>
      </c>
      <c r="L510" s="29">
        <v>0</v>
      </c>
      <c r="M510" s="29">
        <v>0</v>
      </c>
      <c r="N510" s="29">
        <v>0</v>
      </c>
      <c r="O510" s="29">
        <v>0</v>
      </c>
    </row>
    <row r="511" spans="1:15" x14ac:dyDescent="0.3">
      <c r="A511" s="28" t="s">
        <v>575</v>
      </c>
      <c r="B511" s="28" t="s">
        <v>576</v>
      </c>
      <c r="C511" s="28" t="s">
        <v>559</v>
      </c>
      <c r="D511" s="28" t="s">
        <v>618</v>
      </c>
      <c r="E511" s="28" t="s">
        <v>610</v>
      </c>
      <c r="F511" s="28" t="s">
        <v>602</v>
      </c>
      <c r="G511" s="29">
        <v>232</v>
      </c>
      <c r="H511" s="29">
        <v>1</v>
      </c>
      <c r="I511" s="29">
        <v>0</v>
      </c>
      <c r="J511" s="29">
        <v>0</v>
      </c>
      <c r="K511" s="29">
        <v>0</v>
      </c>
      <c r="L511" s="29">
        <v>0</v>
      </c>
      <c r="M511" s="29">
        <v>0</v>
      </c>
      <c r="N511" s="29">
        <v>0</v>
      </c>
      <c r="O511" s="29">
        <v>0</v>
      </c>
    </row>
    <row r="512" spans="1:15" x14ac:dyDescent="0.3">
      <c r="A512" s="28" t="s">
        <v>575</v>
      </c>
      <c r="B512" s="28" t="s">
        <v>576</v>
      </c>
      <c r="C512" s="28" t="s">
        <v>559</v>
      </c>
      <c r="D512" s="28" t="s">
        <v>618</v>
      </c>
      <c r="E512" s="28" t="s">
        <v>610</v>
      </c>
      <c r="F512" s="28" t="s">
        <v>603</v>
      </c>
      <c r="G512" s="29">
        <v>580</v>
      </c>
      <c r="H512" s="29">
        <v>0</v>
      </c>
      <c r="I512" s="29">
        <v>0</v>
      </c>
      <c r="J512" s="29">
        <v>0</v>
      </c>
      <c r="K512" s="29">
        <v>0</v>
      </c>
      <c r="L512" s="29">
        <v>0</v>
      </c>
      <c r="M512" s="29">
        <v>0</v>
      </c>
      <c r="N512" s="29">
        <v>0</v>
      </c>
      <c r="O512" s="29">
        <v>0</v>
      </c>
    </row>
    <row r="513" spans="1:15" x14ac:dyDescent="0.3">
      <c r="A513" s="28" t="s">
        <v>575</v>
      </c>
      <c r="B513" s="28" t="s">
        <v>576</v>
      </c>
      <c r="C513" s="28" t="s">
        <v>559</v>
      </c>
      <c r="D513" s="28" t="s">
        <v>618</v>
      </c>
      <c r="E513" s="28" t="s">
        <v>610</v>
      </c>
      <c r="F513" s="28" t="s">
        <v>604</v>
      </c>
      <c r="G513" s="29">
        <v>384</v>
      </c>
      <c r="H513" s="29">
        <v>0</v>
      </c>
      <c r="I513" s="29">
        <v>0</v>
      </c>
      <c r="J513" s="29">
        <v>0</v>
      </c>
      <c r="K513" s="29">
        <v>0</v>
      </c>
      <c r="L513" s="29">
        <v>0</v>
      </c>
      <c r="M513" s="29">
        <v>0</v>
      </c>
      <c r="N513" s="29">
        <v>0</v>
      </c>
      <c r="O513" s="29">
        <v>0</v>
      </c>
    </row>
    <row r="514" spans="1:15" x14ac:dyDescent="0.3">
      <c r="A514" s="28" t="s">
        <v>575</v>
      </c>
      <c r="B514" s="28" t="s">
        <v>576</v>
      </c>
      <c r="C514" s="28" t="s">
        <v>559</v>
      </c>
      <c r="D514" s="28" t="s">
        <v>618</v>
      </c>
      <c r="E514" s="28" t="s">
        <v>610</v>
      </c>
      <c r="F514" s="28" t="s">
        <v>581</v>
      </c>
      <c r="G514" s="29">
        <v>209</v>
      </c>
      <c r="H514" s="29">
        <v>2</v>
      </c>
      <c r="I514" s="29">
        <v>3</v>
      </c>
      <c r="J514" s="29">
        <v>3</v>
      </c>
      <c r="K514" s="29">
        <v>0</v>
      </c>
      <c r="L514" s="29">
        <v>0</v>
      </c>
      <c r="M514" s="29">
        <v>0</v>
      </c>
      <c r="N514" s="29">
        <v>0</v>
      </c>
      <c r="O514" s="29">
        <v>0</v>
      </c>
    </row>
    <row r="515" spans="1:15" x14ac:dyDescent="0.3">
      <c r="A515" s="28" t="s">
        <v>575</v>
      </c>
      <c r="B515" s="28" t="s">
        <v>576</v>
      </c>
      <c r="C515" s="28" t="s">
        <v>559</v>
      </c>
      <c r="D515" s="28" t="s">
        <v>618</v>
      </c>
      <c r="E515" s="28" t="s">
        <v>610</v>
      </c>
      <c r="F515" s="28" t="s">
        <v>582</v>
      </c>
      <c r="G515" s="29">
        <v>201</v>
      </c>
      <c r="H515" s="29">
        <v>1</v>
      </c>
      <c r="I515" s="29">
        <v>2</v>
      </c>
      <c r="J515" s="29">
        <v>2</v>
      </c>
      <c r="K515" s="29">
        <v>0</v>
      </c>
      <c r="L515" s="29">
        <v>500</v>
      </c>
      <c r="M515" s="29">
        <v>500</v>
      </c>
      <c r="N515" s="29">
        <v>0</v>
      </c>
      <c r="O515" s="29">
        <v>0</v>
      </c>
    </row>
    <row r="516" spans="1:15" x14ac:dyDescent="0.3">
      <c r="A516" s="28" t="s">
        <v>575</v>
      </c>
      <c r="B516" s="28" t="s">
        <v>576</v>
      </c>
      <c r="C516" s="28" t="s">
        <v>559</v>
      </c>
      <c r="D516" s="28" t="s">
        <v>618</v>
      </c>
      <c r="E516" s="28" t="s">
        <v>610</v>
      </c>
      <c r="F516" s="28" t="s">
        <v>583</v>
      </c>
      <c r="G516" s="29">
        <v>209</v>
      </c>
      <c r="H516" s="29">
        <v>0</v>
      </c>
      <c r="I516" s="29">
        <v>1</v>
      </c>
      <c r="J516" s="29">
        <v>0</v>
      </c>
      <c r="K516" s="29">
        <v>1</v>
      </c>
      <c r="L516" s="29">
        <v>0</v>
      </c>
      <c r="M516" s="29">
        <v>0</v>
      </c>
      <c r="N516" s="29">
        <v>0</v>
      </c>
      <c r="O516" s="29">
        <v>0</v>
      </c>
    </row>
    <row r="517" spans="1:15" x14ac:dyDescent="0.3">
      <c r="A517" s="28" t="s">
        <v>575</v>
      </c>
      <c r="B517" s="28" t="s">
        <v>576</v>
      </c>
      <c r="C517" s="28" t="s">
        <v>559</v>
      </c>
      <c r="D517" s="28" t="s">
        <v>618</v>
      </c>
      <c r="E517" s="28" t="s">
        <v>610</v>
      </c>
      <c r="F517" s="28" t="s">
        <v>584</v>
      </c>
      <c r="G517" s="29">
        <v>204</v>
      </c>
      <c r="H517" s="29">
        <v>0</v>
      </c>
      <c r="I517" s="29">
        <v>0</v>
      </c>
      <c r="J517" s="29">
        <v>0</v>
      </c>
      <c r="K517" s="29">
        <v>0</v>
      </c>
      <c r="L517" s="29">
        <v>0</v>
      </c>
      <c r="M517" s="29">
        <v>0</v>
      </c>
      <c r="N517" s="29">
        <v>0</v>
      </c>
      <c r="O517" s="29">
        <v>0</v>
      </c>
    </row>
    <row r="518" spans="1:15" x14ac:dyDescent="0.3">
      <c r="A518" s="28" t="s">
        <v>575</v>
      </c>
      <c r="B518" s="28" t="s">
        <v>576</v>
      </c>
      <c r="C518" s="28" t="s">
        <v>559</v>
      </c>
      <c r="D518" s="28" t="s">
        <v>618</v>
      </c>
      <c r="E518" s="28" t="s">
        <v>610</v>
      </c>
      <c r="F518" s="28" t="s">
        <v>585</v>
      </c>
      <c r="G518" s="29">
        <v>188</v>
      </c>
      <c r="H518" s="29">
        <v>0</v>
      </c>
      <c r="I518" s="29">
        <v>0</v>
      </c>
      <c r="J518" s="29">
        <v>0</v>
      </c>
      <c r="K518" s="29">
        <v>0</v>
      </c>
      <c r="L518" s="29">
        <v>0</v>
      </c>
      <c r="M518" s="29">
        <v>0</v>
      </c>
      <c r="N518" s="29">
        <v>0</v>
      </c>
      <c r="O518" s="29">
        <v>0</v>
      </c>
    </row>
    <row r="519" spans="1:15" x14ac:dyDescent="0.3">
      <c r="A519" s="28" t="s">
        <v>575</v>
      </c>
      <c r="B519" s="28" t="s">
        <v>576</v>
      </c>
      <c r="C519" s="28" t="s">
        <v>559</v>
      </c>
      <c r="D519" s="28" t="s">
        <v>618</v>
      </c>
      <c r="E519" s="28" t="s">
        <v>610</v>
      </c>
      <c r="F519" s="28" t="s">
        <v>586</v>
      </c>
      <c r="G519" s="29">
        <v>198</v>
      </c>
      <c r="H519" s="29">
        <v>0</v>
      </c>
      <c r="I519" s="29">
        <v>0</v>
      </c>
      <c r="J519" s="29">
        <v>0</v>
      </c>
      <c r="K519" s="29">
        <v>0</v>
      </c>
      <c r="L519" s="29">
        <v>0</v>
      </c>
      <c r="M519" s="29">
        <v>0</v>
      </c>
      <c r="N519" s="29">
        <v>0</v>
      </c>
      <c r="O519" s="29">
        <v>0</v>
      </c>
    </row>
    <row r="520" spans="1:15" x14ac:dyDescent="0.3">
      <c r="A520" s="28" t="s">
        <v>575</v>
      </c>
      <c r="B520" s="28" t="s">
        <v>576</v>
      </c>
      <c r="C520" s="28" t="s">
        <v>559</v>
      </c>
      <c r="D520" s="28" t="s">
        <v>618</v>
      </c>
      <c r="E520" s="28" t="s">
        <v>610</v>
      </c>
      <c r="F520" s="28" t="s">
        <v>587</v>
      </c>
      <c r="G520" s="29">
        <v>193</v>
      </c>
      <c r="H520" s="29">
        <v>0</v>
      </c>
      <c r="I520" s="29">
        <v>0</v>
      </c>
      <c r="J520" s="29">
        <v>0</v>
      </c>
      <c r="K520" s="29">
        <v>0</v>
      </c>
      <c r="L520" s="29">
        <v>0</v>
      </c>
      <c r="M520" s="29">
        <v>0</v>
      </c>
      <c r="N520" s="29">
        <v>0</v>
      </c>
      <c r="O520" s="29">
        <v>0</v>
      </c>
    </row>
    <row r="521" spans="1:15" x14ac:dyDescent="0.3">
      <c r="A521" s="28" t="s">
        <v>575</v>
      </c>
      <c r="B521" s="28" t="s">
        <v>576</v>
      </c>
      <c r="C521" s="28" t="s">
        <v>559</v>
      </c>
      <c r="D521" s="28" t="s">
        <v>618</v>
      </c>
      <c r="E521" s="28" t="s">
        <v>610</v>
      </c>
      <c r="F521" s="28" t="s">
        <v>579</v>
      </c>
      <c r="G521" s="29">
        <v>219</v>
      </c>
      <c r="H521" s="29">
        <v>2</v>
      </c>
      <c r="I521" s="29">
        <v>0</v>
      </c>
      <c r="J521" s="29">
        <v>0</v>
      </c>
      <c r="K521" s="29">
        <v>0</v>
      </c>
      <c r="L521" s="29">
        <v>0</v>
      </c>
      <c r="M521" s="29">
        <v>0</v>
      </c>
      <c r="N521" s="29">
        <v>0</v>
      </c>
      <c r="O521" s="29">
        <v>0</v>
      </c>
    </row>
    <row r="522" spans="1:15" x14ac:dyDescent="0.3">
      <c r="A522" s="28" t="s">
        <v>575</v>
      </c>
      <c r="B522" s="28" t="s">
        <v>576</v>
      </c>
      <c r="C522" s="28" t="s">
        <v>559</v>
      </c>
      <c r="D522" s="28" t="s">
        <v>618</v>
      </c>
      <c r="E522" s="28" t="s">
        <v>610</v>
      </c>
      <c r="F522" s="28" t="s">
        <v>588</v>
      </c>
      <c r="G522" s="29">
        <v>199</v>
      </c>
      <c r="H522" s="29">
        <v>0</v>
      </c>
      <c r="I522" s="29">
        <v>0</v>
      </c>
      <c r="J522" s="29">
        <v>0</v>
      </c>
      <c r="K522" s="29">
        <v>0</v>
      </c>
      <c r="L522" s="29">
        <v>0</v>
      </c>
      <c r="M522" s="29">
        <v>0</v>
      </c>
      <c r="N522" s="29">
        <v>0</v>
      </c>
      <c r="O522" s="29">
        <v>0</v>
      </c>
    </row>
    <row r="523" spans="1:15" x14ac:dyDescent="0.3">
      <c r="A523" s="28" t="s">
        <v>575</v>
      </c>
      <c r="B523" s="28" t="s">
        <v>576</v>
      </c>
      <c r="C523" s="28" t="s">
        <v>559</v>
      </c>
      <c r="D523" s="28" t="s">
        <v>618</v>
      </c>
      <c r="E523" s="28" t="s">
        <v>610</v>
      </c>
      <c r="F523" s="28" t="s">
        <v>589</v>
      </c>
      <c r="G523" s="29">
        <v>183</v>
      </c>
      <c r="H523" s="29">
        <v>0</v>
      </c>
      <c r="I523" s="29">
        <v>0</v>
      </c>
      <c r="J523" s="29">
        <v>0</v>
      </c>
      <c r="K523" s="29">
        <v>0</v>
      </c>
      <c r="L523" s="29">
        <v>0</v>
      </c>
      <c r="M523" s="29">
        <v>0</v>
      </c>
      <c r="N523" s="29">
        <v>0</v>
      </c>
      <c r="O523" s="29">
        <v>0</v>
      </c>
    </row>
    <row r="524" spans="1:15" x14ac:dyDescent="0.3">
      <c r="A524" s="28" t="s">
        <v>575</v>
      </c>
      <c r="B524" s="28" t="s">
        <v>576</v>
      </c>
      <c r="C524" s="28" t="s">
        <v>559</v>
      </c>
      <c r="D524" s="28" t="s">
        <v>618</v>
      </c>
      <c r="E524" s="28" t="s">
        <v>610</v>
      </c>
      <c r="F524" s="28" t="s">
        <v>590</v>
      </c>
      <c r="G524" s="29">
        <v>209</v>
      </c>
      <c r="H524" s="29">
        <v>1</v>
      </c>
      <c r="I524" s="29">
        <v>1</v>
      </c>
      <c r="J524" s="29">
        <v>1</v>
      </c>
      <c r="K524" s="29">
        <v>0</v>
      </c>
      <c r="L524" s="29">
        <v>0</v>
      </c>
      <c r="M524" s="29">
        <v>0</v>
      </c>
      <c r="N524" s="29">
        <v>0</v>
      </c>
      <c r="O524" s="29">
        <v>0</v>
      </c>
    </row>
    <row r="525" spans="1:15" x14ac:dyDescent="0.3">
      <c r="A525" s="28" t="s">
        <v>575</v>
      </c>
      <c r="B525" s="28" t="s">
        <v>576</v>
      </c>
      <c r="C525" s="28" t="s">
        <v>559</v>
      </c>
      <c r="D525" s="28" t="s">
        <v>618</v>
      </c>
      <c r="E525" s="28" t="s">
        <v>610</v>
      </c>
      <c r="F525" s="28" t="s">
        <v>591</v>
      </c>
      <c r="G525" s="29">
        <v>210</v>
      </c>
      <c r="H525" s="29">
        <v>0</v>
      </c>
      <c r="I525" s="29">
        <v>0</v>
      </c>
      <c r="J525" s="29">
        <v>0</v>
      </c>
      <c r="K525" s="29">
        <v>0</v>
      </c>
      <c r="L525" s="29">
        <v>0</v>
      </c>
      <c r="M525" s="29">
        <v>0</v>
      </c>
      <c r="N525" s="29">
        <v>0</v>
      </c>
      <c r="O525" s="29">
        <v>0</v>
      </c>
    </row>
    <row r="526" spans="1:15" x14ac:dyDescent="0.3">
      <c r="A526" s="28" t="s">
        <v>575</v>
      </c>
      <c r="B526" s="28" t="s">
        <v>576</v>
      </c>
      <c r="C526" s="28" t="s">
        <v>559</v>
      </c>
      <c r="D526" s="28" t="s">
        <v>618</v>
      </c>
      <c r="E526" s="28" t="s">
        <v>610</v>
      </c>
      <c r="F526" s="28" t="s">
        <v>592</v>
      </c>
      <c r="G526" s="29">
        <v>244</v>
      </c>
      <c r="H526" s="29">
        <v>1</v>
      </c>
      <c r="I526" s="29">
        <v>0</v>
      </c>
      <c r="J526" s="29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0</v>
      </c>
    </row>
    <row r="527" spans="1:15" x14ac:dyDescent="0.3">
      <c r="A527" s="28" t="s">
        <v>575</v>
      </c>
      <c r="B527" s="28" t="s">
        <v>576</v>
      </c>
      <c r="C527" s="28" t="s">
        <v>559</v>
      </c>
      <c r="D527" s="28" t="s">
        <v>618</v>
      </c>
      <c r="E527" s="28" t="s">
        <v>610</v>
      </c>
      <c r="F527" s="28" t="s">
        <v>593</v>
      </c>
      <c r="G527" s="29">
        <v>170</v>
      </c>
      <c r="H527" s="29">
        <v>0</v>
      </c>
      <c r="I527" s="29">
        <v>0</v>
      </c>
      <c r="J527" s="29">
        <v>0</v>
      </c>
      <c r="K527" s="29">
        <v>0</v>
      </c>
      <c r="L527" s="29">
        <v>0</v>
      </c>
      <c r="M527" s="29">
        <v>0</v>
      </c>
      <c r="N527" s="29">
        <v>0</v>
      </c>
      <c r="O527" s="29">
        <v>0</v>
      </c>
    </row>
    <row r="528" spans="1:15" x14ac:dyDescent="0.3">
      <c r="A528" s="28" t="s">
        <v>575</v>
      </c>
      <c r="B528" s="28" t="s">
        <v>576</v>
      </c>
      <c r="C528" s="28" t="s">
        <v>559</v>
      </c>
      <c r="D528" s="28" t="s">
        <v>618</v>
      </c>
      <c r="E528" s="28" t="s">
        <v>610</v>
      </c>
      <c r="F528" s="28" t="s">
        <v>594</v>
      </c>
      <c r="G528" s="29">
        <v>169</v>
      </c>
      <c r="H528" s="29">
        <v>1</v>
      </c>
      <c r="I528" s="29">
        <v>0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</row>
    <row r="529" spans="1:15" x14ac:dyDescent="0.3">
      <c r="A529" s="28" t="s">
        <v>575</v>
      </c>
      <c r="B529" s="28" t="s">
        <v>576</v>
      </c>
      <c r="C529" s="28" t="s">
        <v>559</v>
      </c>
      <c r="D529" s="28" t="s">
        <v>618</v>
      </c>
      <c r="E529" s="28" t="s">
        <v>610</v>
      </c>
      <c r="F529" s="28" t="s">
        <v>595</v>
      </c>
      <c r="G529" s="29">
        <v>179</v>
      </c>
      <c r="H529" s="29">
        <v>0</v>
      </c>
      <c r="I529" s="29">
        <v>0</v>
      </c>
      <c r="J529" s="29">
        <v>0</v>
      </c>
      <c r="K529" s="29">
        <v>0</v>
      </c>
      <c r="L529" s="29">
        <v>0</v>
      </c>
      <c r="M529" s="29">
        <v>0</v>
      </c>
      <c r="N529" s="29">
        <v>0</v>
      </c>
      <c r="O529" s="29">
        <v>0</v>
      </c>
    </row>
    <row r="530" spans="1:15" x14ac:dyDescent="0.3">
      <c r="A530" s="28" t="s">
        <v>575</v>
      </c>
      <c r="B530" s="28" t="s">
        <v>576</v>
      </c>
      <c r="C530" s="28" t="s">
        <v>559</v>
      </c>
      <c r="D530" s="28" t="s">
        <v>618</v>
      </c>
      <c r="E530" s="28" t="s">
        <v>611</v>
      </c>
      <c r="F530" s="28" t="s">
        <v>597</v>
      </c>
      <c r="G530" s="29">
        <v>109</v>
      </c>
      <c r="H530" s="29">
        <v>0</v>
      </c>
      <c r="I530" s="29">
        <v>0</v>
      </c>
      <c r="J530" s="29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0</v>
      </c>
    </row>
    <row r="531" spans="1:15" x14ac:dyDescent="0.3">
      <c r="A531" s="28" t="s">
        <v>575</v>
      </c>
      <c r="B531" s="28" t="s">
        <v>576</v>
      </c>
      <c r="C531" s="28" t="s">
        <v>559</v>
      </c>
      <c r="D531" s="28" t="s">
        <v>618</v>
      </c>
      <c r="E531" s="28" t="s">
        <v>611</v>
      </c>
      <c r="F531" s="28" t="s">
        <v>598</v>
      </c>
      <c r="G531" s="29">
        <v>85</v>
      </c>
      <c r="H531" s="29">
        <v>0</v>
      </c>
      <c r="I531" s="29">
        <v>0</v>
      </c>
      <c r="J531" s="29">
        <v>0</v>
      </c>
      <c r="K531" s="29">
        <v>0</v>
      </c>
      <c r="L531" s="29">
        <v>0</v>
      </c>
      <c r="M531" s="29">
        <v>0</v>
      </c>
      <c r="N531" s="29">
        <v>0</v>
      </c>
      <c r="O531" s="29">
        <v>0</v>
      </c>
    </row>
    <row r="532" spans="1:15" x14ac:dyDescent="0.3">
      <c r="A532" s="28" t="s">
        <v>575</v>
      </c>
      <c r="B532" s="28" t="s">
        <v>576</v>
      </c>
      <c r="C532" s="28" t="s">
        <v>559</v>
      </c>
      <c r="D532" s="28" t="s">
        <v>618</v>
      </c>
      <c r="E532" s="28" t="s">
        <v>611</v>
      </c>
      <c r="F532" s="28" t="s">
        <v>599</v>
      </c>
      <c r="G532" s="29">
        <v>58</v>
      </c>
      <c r="H532" s="29">
        <v>0</v>
      </c>
      <c r="I532" s="29">
        <v>0</v>
      </c>
      <c r="J532" s="29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0</v>
      </c>
    </row>
    <row r="533" spans="1:15" x14ac:dyDescent="0.3">
      <c r="A533" s="28" t="s">
        <v>575</v>
      </c>
      <c r="B533" s="28" t="s">
        <v>576</v>
      </c>
      <c r="C533" s="28" t="s">
        <v>559</v>
      </c>
      <c r="D533" s="28" t="s">
        <v>618</v>
      </c>
      <c r="E533" s="28" t="s">
        <v>611</v>
      </c>
      <c r="F533" s="28" t="s">
        <v>600</v>
      </c>
      <c r="G533" s="29">
        <v>67</v>
      </c>
      <c r="H533" s="29">
        <v>0</v>
      </c>
      <c r="I533" s="29">
        <v>0</v>
      </c>
      <c r="J533" s="29">
        <v>0</v>
      </c>
      <c r="K533" s="29">
        <v>0</v>
      </c>
      <c r="L533" s="29">
        <v>0</v>
      </c>
      <c r="M533" s="29">
        <v>0</v>
      </c>
      <c r="N533" s="29">
        <v>0</v>
      </c>
      <c r="O533" s="29">
        <v>0</v>
      </c>
    </row>
    <row r="534" spans="1:15" x14ac:dyDescent="0.3">
      <c r="A534" s="28" t="s">
        <v>575</v>
      </c>
      <c r="B534" s="28" t="s">
        <v>576</v>
      </c>
      <c r="C534" s="28" t="s">
        <v>559</v>
      </c>
      <c r="D534" s="28" t="s">
        <v>618</v>
      </c>
      <c r="E534" s="28" t="s">
        <v>611</v>
      </c>
      <c r="F534" s="28" t="s">
        <v>601</v>
      </c>
      <c r="G534" s="29">
        <v>51</v>
      </c>
      <c r="H534" s="29">
        <v>0</v>
      </c>
      <c r="I534" s="29">
        <v>0</v>
      </c>
      <c r="J534" s="29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0</v>
      </c>
    </row>
    <row r="535" spans="1:15" x14ac:dyDescent="0.3">
      <c r="A535" s="28" t="s">
        <v>575</v>
      </c>
      <c r="B535" s="28" t="s">
        <v>576</v>
      </c>
      <c r="C535" s="28" t="s">
        <v>559</v>
      </c>
      <c r="D535" s="28" t="s">
        <v>618</v>
      </c>
      <c r="E535" s="28" t="s">
        <v>611</v>
      </c>
      <c r="F535" s="28" t="s">
        <v>602</v>
      </c>
      <c r="G535" s="29">
        <v>139</v>
      </c>
      <c r="H535" s="29">
        <v>0</v>
      </c>
      <c r="I535" s="29">
        <v>2</v>
      </c>
      <c r="J535" s="29">
        <v>0</v>
      </c>
      <c r="K535" s="29">
        <v>2</v>
      </c>
      <c r="L535" s="29">
        <v>0</v>
      </c>
      <c r="M535" s="29">
        <v>0</v>
      </c>
      <c r="N535" s="29">
        <v>0</v>
      </c>
      <c r="O535" s="29">
        <v>0</v>
      </c>
    </row>
    <row r="536" spans="1:15" x14ac:dyDescent="0.3">
      <c r="A536" s="28" t="s">
        <v>575</v>
      </c>
      <c r="B536" s="28" t="s">
        <v>576</v>
      </c>
      <c r="C536" s="28" t="s">
        <v>559</v>
      </c>
      <c r="D536" s="28" t="s">
        <v>618</v>
      </c>
      <c r="E536" s="28" t="s">
        <v>611</v>
      </c>
      <c r="F536" s="28" t="s">
        <v>603</v>
      </c>
      <c r="G536" s="29">
        <v>638</v>
      </c>
      <c r="H536" s="29">
        <v>3</v>
      </c>
      <c r="I536" s="29">
        <v>2</v>
      </c>
      <c r="J536" s="29">
        <v>1</v>
      </c>
      <c r="K536" s="29">
        <v>1</v>
      </c>
      <c r="L536" s="29">
        <v>100</v>
      </c>
      <c r="M536" s="29">
        <v>0</v>
      </c>
      <c r="N536" s="29">
        <v>100</v>
      </c>
      <c r="O536" s="29">
        <v>0</v>
      </c>
    </row>
    <row r="537" spans="1:15" x14ac:dyDescent="0.3">
      <c r="A537" s="28" t="s">
        <v>575</v>
      </c>
      <c r="B537" s="28" t="s">
        <v>576</v>
      </c>
      <c r="C537" s="28" t="s">
        <v>559</v>
      </c>
      <c r="D537" s="28" t="s">
        <v>618</v>
      </c>
      <c r="E537" s="28" t="s">
        <v>611</v>
      </c>
      <c r="F537" s="28" t="s">
        <v>604</v>
      </c>
      <c r="G537" s="29">
        <v>551</v>
      </c>
      <c r="H537" s="29">
        <v>1</v>
      </c>
      <c r="I537" s="29">
        <v>0</v>
      </c>
      <c r="J537" s="29">
        <v>0</v>
      </c>
      <c r="K537" s="29">
        <v>0</v>
      </c>
      <c r="L537" s="29">
        <v>0</v>
      </c>
      <c r="M537" s="29">
        <v>0</v>
      </c>
      <c r="N537" s="29">
        <v>0</v>
      </c>
      <c r="O537" s="29">
        <v>0</v>
      </c>
    </row>
    <row r="538" spans="1:15" x14ac:dyDescent="0.3">
      <c r="A538" s="28" t="s">
        <v>575</v>
      </c>
      <c r="B538" s="28" t="s">
        <v>576</v>
      </c>
      <c r="C538" s="28" t="s">
        <v>559</v>
      </c>
      <c r="D538" s="28" t="s">
        <v>618</v>
      </c>
      <c r="E538" s="28" t="s">
        <v>611</v>
      </c>
      <c r="F538" s="28" t="s">
        <v>581</v>
      </c>
      <c r="G538" s="29">
        <v>204</v>
      </c>
      <c r="H538" s="29">
        <v>1</v>
      </c>
      <c r="I538" s="29">
        <v>1</v>
      </c>
      <c r="J538" s="29">
        <v>0</v>
      </c>
      <c r="K538" s="29">
        <v>1</v>
      </c>
      <c r="L538" s="29">
        <v>0</v>
      </c>
      <c r="M538" s="29">
        <v>0</v>
      </c>
      <c r="N538" s="29">
        <v>0</v>
      </c>
      <c r="O538" s="29">
        <v>0</v>
      </c>
    </row>
    <row r="539" spans="1:15" x14ac:dyDescent="0.3">
      <c r="A539" s="28" t="s">
        <v>575</v>
      </c>
      <c r="B539" s="28" t="s">
        <v>576</v>
      </c>
      <c r="C539" s="28" t="s">
        <v>559</v>
      </c>
      <c r="D539" s="28" t="s">
        <v>618</v>
      </c>
      <c r="E539" s="28" t="s">
        <v>611</v>
      </c>
      <c r="F539" s="28" t="s">
        <v>582</v>
      </c>
      <c r="G539" s="29">
        <v>203</v>
      </c>
      <c r="H539" s="29">
        <v>1</v>
      </c>
      <c r="I539" s="29">
        <v>0</v>
      </c>
      <c r="J539" s="29">
        <v>0</v>
      </c>
      <c r="K539" s="29">
        <v>0</v>
      </c>
      <c r="L539" s="29">
        <v>0</v>
      </c>
      <c r="M539" s="29">
        <v>0</v>
      </c>
      <c r="N539" s="29">
        <v>0</v>
      </c>
      <c r="O539" s="29">
        <v>0</v>
      </c>
    </row>
    <row r="540" spans="1:15" x14ac:dyDescent="0.3">
      <c r="A540" s="28" t="s">
        <v>575</v>
      </c>
      <c r="B540" s="28" t="s">
        <v>576</v>
      </c>
      <c r="C540" s="28" t="s">
        <v>559</v>
      </c>
      <c r="D540" s="28" t="s">
        <v>618</v>
      </c>
      <c r="E540" s="28" t="s">
        <v>611</v>
      </c>
      <c r="F540" s="28" t="s">
        <v>583</v>
      </c>
      <c r="G540" s="29">
        <v>191</v>
      </c>
      <c r="H540" s="29">
        <v>1</v>
      </c>
      <c r="I540" s="29">
        <v>1</v>
      </c>
      <c r="J540" s="29">
        <v>0</v>
      </c>
      <c r="K540" s="29">
        <v>1</v>
      </c>
      <c r="L540" s="29">
        <v>0</v>
      </c>
      <c r="M540" s="29">
        <v>0</v>
      </c>
      <c r="N540" s="29">
        <v>0</v>
      </c>
      <c r="O540" s="29">
        <v>0</v>
      </c>
    </row>
    <row r="541" spans="1:15" x14ac:dyDescent="0.3">
      <c r="A541" s="28" t="s">
        <v>575</v>
      </c>
      <c r="B541" s="28" t="s">
        <v>576</v>
      </c>
      <c r="C541" s="28" t="s">
        <v>559</v>
      </c>
      <c r="D541" s="28" t="s">
        <v>618</v>
      </c>
      <c r="E541" s="28" t="s">
        <v>611</v>
      </c>
      <c r="F541" s="28" t="s">
        <v>584</v>
      </c>
      <c r="G541" s="29">
        <v>205</v>
      </c>
      <c r="H541" s="29">
        <v>0</v>
      </c>
      <c r="I541" s="29">
        <v>0</v>
      </c>
      <c r="J541" s="29">
        <v>0</v>
      </c>
      <c r="K541" s="29">
        <v>0</v>
      </c>
      <c r="L541" s="29">
        <v>0</v>
      </c>
      <c r="M541" s="29">
        <v>0</v>
      </c>
      <c r="N541" s="29">
        <v>0</v>
      </c>
      <c r="O541" s="29">
        <v>0</v>
      </c>
    </row>
    <row r="542" spans="1:15" x14ac:dyDescent="0.3">
      <c r="A542" s="28" t="s">
        <v>575</v>
      </c>
      <c r="B542" s="28" t="s">
        <v>576</v>
      </c>
      <c r="C542" s="28" t="s">
        <v>559</v>
      </c>
      <c r="D542" s="28" t="s">
        <v>618</v>
      </c>
      <c r="E542" s="28" t="s">
        <v>611</v>
      </c>
      <c r="F542" s="28" t="s">
        <v>585</v>
      </c>
      <c r="G542" s="29">
        <v>201</v>
      </c>
      <c r="H542" s="29">
        <v>0</v>
      </c>
      <c r="I542" s="29">
        <v>0</v>
      </c>
      <c r="J542" s="29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0</v>
      </c>
    </row>
    <row r="543" spans="1:15" x14ac:dyDescent="0.3">
      <c r="A543" s="28" t="s">
        <v>575</v>
      </c>
      <c r="B543" s="28" t="s">
        <v>576</v>
      </c>
      <c r="C543" s="28" t="s">
        <v>559</v>
      </c>
      <c r="D543" s="28" t="s">
        <v>618</v>
      </c>
      <c r="E543" s="28" t="s">
        <v>611</v>
      </c>
      <c r="F543" s="28" t="s">
        <v>586</v>
      </c>
      <c r="G543" s="29">
        <v>208</v>
      </c>
      <c r="H543" s="29">
        <v>0</v>
      </c>
      <c r="I543" s="29">
        <v>0</v>
      </c>
      <c r="J543" s="29">
        <v>0</v>
      </c>
      <c r="K543" s="29">
        <v>0</v>
      </c>
      <c r="L543" s="29">
        <v>0</v>
      </c>
      <c r="M543" s="29">
        <v>0</v>
      </c>
      <c r="N543" s="29">
        <v>0</v>
      </c>
      <c r="O543" s="29">
        <v>0</v>
      </c>
    </row>
    <row r="544" spans="1:15" x14ac:dyDescent="0.3">
      <c r="A544" s="28" t="s">
        <v>575</v>
      </c>
      <c r="B544" s="28" t="s">
        <v>576</v>
      </c>
      <c r="C544" s="28" t="s">
        <v>559</v>
      </c>
      <c r="D544" s="28" t="s">
        <v>618</v>
      </c>
      <c r="E544" s="28" t="s">
        <v>611</v>
      </c>
      <c r="F544" s="28" t="s">
        <v>587</v>
      </c>
      <c r="G544" s="29">
        <v>190</v>
      </c>
      <c r="H544" s="29">
        <v>1</v>
      </c>
      <c r="I544" s="29">
        <v>0</v>
      </c>
      <c r="J544" s="29">
        <v>0</v>
      </c>
      <c r="K544" s="29">
        <v>0</v>
      </c>
      <c r="L544" s="29">
        <v>0</v>
      </c>
      <c r="M544" s="29">
        <v>0</v>
      </c>
      <c r="N544" s="29">
        <v>0</v>
      </c>
      <c r="O544" s="29">
        <v>0</v>
      </c>
    </row>
    <row r="545" spans="1:15" x14ac:dyDescent="0.3">
      <c r="A545" s="28" t="s">
        <v>575</v>
      </c>
      <c r="B545" s="28" t="s">
        <v>576</v>
      </c>
      <c r="C545" s="28" t="s">
        <v>559</v>
      </c>
      <c r="D545" s="28" t="s">
        <v>618</v>
      </c>
      <c r="E545" s="28" t="s">
        <v>611</v>
      </c>
      <c r="F545" s="28" t="s">
        <v>579</v>
      </c>
      <c r="G545" s="29">
        <v>209</v>
      </c>
      <c r="H545" s="29">
        <v>0</v>
      </c>
      <c r="I545" s="29">
        <v>0</v>
      </c>
      <c r="J545" s="29">
        <v>0</v>
      </c>
      <c r="K545" s="29">
        <v>0</v>
      </c>
      <c r="L545" s="29">
        <v>0</v>
      </c>
      <c r="M545" s="29">
        <v>0</v>
      </c>
      <c r="N545" s="29">
        <v>0</v>
      </c>
      <c r="O545" s="29">
        <v>0</v>
      </c>
    </row>
    <row r="546" spans="1:15" x14ac:dyDescent="0.3">
      <c r="A546" s="28" t="s">
        <v>575</v>
      </c>
      <c r="B546" s="28" t="s">
        <v>576</v>
      </c>
      <c r="C546" s="28" t="s">
        <v>559</v>
      </c>
      <c r="D546" s="28" t="s">
        <v>618</v>
      </c>
      <c r="E546" s="28" t="s">
        <v>611</v>
      </c>
      <c r="F546" s="28" t="s">
        <v>588</v>
      </c>
      <c r="G546" s="29">
        <v>198</v>
      </c>
      <c r="H546" s="29">
        <v>3</v>
      </c>
      <c r="I546" s="29">
        <v>4</v>
      </c>
      <c r="J546" s="29">
        <v>4</v>
      </c>
      <c r="K546" s="29">
        <v>0</v>
      </c>
      <c r="L546" s="29">
        <v>0</v>
      </c>
      <c r="M546" s="29">
        <v>0</v>
      </c>
      <c r="N546" s="29">
        <v>0</v>
      </c>
      <c r="O546" s="29">
        <v>0</v>
      </c>
    </row>
    <row r="547" spans="1:15" x14ac:dyDescent="0.3">
      <c r="A547" s="28" t="s">
        <v>575</v>
      </c>
      <c r="B547" s="28" t="s">
        <v>576</v>
      </c>
      <c r="C547" s="28" t="s">
        <v>559</v>
      </c>
      <c r="D547" s="28" t="s">
        <v>618</v>
      </c>
      <c r="E547" s="28" t="s">
        <v>611</v>
      </c>
      <c r="F547" s="28" t="s">
        <v>589</v>
      </c>
      <c r="G547" s="29">
        <v>196</v>
      </c>
      <c r="H547" s="29">
        <v>0</v>
      </c>
      <c r="I547" s="29">
        <v>1</v>
      </c>
      <c r="J547" s="29">
        <v>1</v>
      </c>
      <c r="K547" s="29">
        <v>0</v>
      </c>
      <c r="L547" s="29">
        <v>0</v>
      </c>
      <c r="M547" s="29">
        <v>0</v>
      </c>
      <c r="N547" s="29">
        <v>0</v>
      </c>
      <c r="O547" s="29">
        <v>0</v>
      </c>
    </row>
    <row r="548" spans="1:15" x14ac:dyDescent="0.3">
      <c r="A548" s="28" t="s">
        <v>575</v>
      </c>
      <c r="B548" s="28" t="s">
        <v>576</v>
      </c>
      <c r="C548" s="28" t="s">
        <v>559</v>
      </c>
      <c r="D548" s="28" t="s">
        <v>618</v>
      </c>
      <c r="E548" s="28" t="s">
        <v>611</v>
      </c>
      <c r="F548" s="28" t="s">
        <v>590</v>
      </c>
      <c r="G548" s="29">
        <v>207</v>
      </c>
      <c r="H548" s="29">
        <v>2</v>
      </c>
      <c r="I548" s="29">
        <v>0</v>
      </c>
      <c r="J548" s="29">
        <v>0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</row>
    <row r="549" spans="1:15" x14ac:dyDescent="0.3">
      <c r="A549" s="28" t="s">
        <v>575</v>
      </c>
      <c r="B549" s="28" t="s">
        <v>576</v>
      </c>
      <c r="C549" s="28" t="s">
        <v>559</v>
      </c>
      <c r="D549" s="28" t="s">
        <v>618</v>
      </c>
      <c r="E549" s="28" t="s">
        <v>611</v>
      </c>
      <c r="F549" s="28" t="s">
        <v>591</v>
      </c>
      <c r="G549" s="29">
        <v>200</v>
      </c>
      <c r="H549" s="29">
        <v>1</v>
      </c>
      <c r="I549" s="29">
        <v>0</v>
      </c>
      <c r="J549" s="29">
        <v>0</v>
      </c>
      <c r="K549" s="29">
        <v>0</v>
      </c>
      <c r="L549" s="29">
        <v>0</v>
      </c>
      <c r="M549" s="29">
        <v>0</v>
      </c>
      <c r="N549" s="29">
        <v>0</v>
      </c>
      <c r="O549" s="29">
        <v>0</v>
      </c>
    </row>
    <row r="550" spans="1:15" x14ac:dyDescent="0.3">
      <c r="A550" s="28" t="s">
        <v>575</v>
      </c>
      <c r="B550" s="28" t="s">
        <v>576</v>
      </c>
      <c r="C550" s="28" t="s">
        <v>559</v>
      </c>
      <c r="D550" s="28" t="s">
        <v>618</v>
      </c>
      <c r="E550" s="28" t="s">
        <v>611</v>
      </c>
      <c r="F550" s="28" t="s">
        <v>592</v>
      </c>
      <c r="G550" s="29">
        <v>243</v>
      </c>
      <c r="H550" s="29">
        <v>0</v>
      </c>
      <c r="I550" s="29">
        <v>0</v>
      </c>
      <c r="J550" s="29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</row>
    <row r="551" spans="1:15" x14ac:dyDescent="0.3">
      <c r="A551" s="28" t="s">
        <v>575</v>
      </c>
      <c r="B551" s="28" t="s">
        <v>576</v>
      </c>
      <c r="C551" s="28" t="s">
        <v>559</v>
      </c>
      <c r="D551" s="28" t="s">
        <v>618</v>
      </c>
      <c r="E551" s="28" t="s">
        <v>611</v>
      </c>
      <c r="F551" s="28" t="s">
        <v>593</v>
      </c>
      <c r="G551" s="29">
        <v>145</v>
      </c>
      <c r="H551" s="29">
        <v>1</v>
      </c>
      <c r="I551" s="29">
        <v>0</v>
      </c>
      <c r="J551" s="29">
        <v>0</v>
      </c>
      <c r="K551" s="29">
        <v>0</v>
      </c>
      <c r="L551" s="29">
        <v>0</v>
      </c>
      <c r="M551" s="29">
        <v>0</v>
      </c>
      <c r="N551" s="29">
        <v>0</v>
      </c>
      <c r="O551" s="29">
        <v>0</v>
      </c>
    </row>
    <row r="552" spans="1:15" x14ac:dyDescent="0.3">
      <c r="A552" s="28" t="s">
        <v>575</v>
      </c>
      <c r="B552" s="28" t="s">
        <v>576</v>
      </c>
      <c r="C552" s="28" t="s">
        <v>559</v>
      </c>
      <c r="D552" s="28" t="s">
        <v>618</v>
      </c>
      <c r="E552" s="28" t="s">
        <v>611</v>
      </c>
      <c r="F552" s="28" t="s">
        <v>594</v>
      </c>
      <c r="G552" s="29">
        <v>188</v>
      </c>
      <c r="H552" s="29">
        <v>1</v>
      </c>
      <c r="I552" s="29">
        <v>0</v>
      </c>
      <c r="J552" s="29">
        <v>0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</row>
    <row r="553" spans="1:15" x14ac:dyDescent="0.3">
      <c r="A553" s="28" t="s">
        <v>575</v>
      </c>
      <c r="B553" s="28" t="s">
        <v>576</v>
      </c>
      <c r="C553" s="28" t="s">
        <v>559</v>
      </c>
      <c r="D553" s="28" t="s">
        <v>618</v>
      </c>
      <c r="E553" s="28" t="s">
        <v>611</v>
      </c>
      <c r="F553" s="28" t="s">
        <v>595</v>
      </c>
      <c r="G553" s="29">
        <v>158</v>
      </c>
      <c r="H553" s="29">
        <v>0</v>
      </c>
      <c r="I553" s="29">
        <v>0</v>
      </c>
      <c r="J553" s="29">
        <v>0</v>
      </c>
      <c r="K553" s="29">
        <v>0</v>
      </c>
      <c r="L553" s="29">
        <v>0</v>
      </c>
      <c r="M553" s="29">
        <v>0</v>
      </c>
      <c r="N553" s="29">
        <v>0</v>
      </c>
      <c r="O553" s="29">
        <v>0</v>
      </c>
    </row>
    <row r="554" spans="1:15" x14ac:dyDescent="0.3">
      <c r="A554" s="28" t="s">
        <v>575</v>
      </c>
      <c r="B554" s="28" t="s">
        <v>576</v>
      </c>
      <c r="C554" s="28" t="s">
        <v>559</v>
      </c>
      <c r="D554" s="28" t="s">
        <v>618</v>
      </c>
      <c r="E554" s="28" t="s">
        <v>612</v>
      </c>
      <c r="F554" s="28" t="s">
        <v>597</v>
      </c>
      <c r="G554" s="29">
        <v>132</v>
      </c>
      <c r="H554" s="29">
        <v>0</v>
      </c>
      <c r="I554" s="29">
        <v>0</v>
      </c>
      <c r="J554" s="29">
        <v>0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</row>
    <row r="555" spans="1:15" x14ac:dyDescent="0.3">
      <c r="A555" s="28" t="s">
        <v>575</v>
      </c>
      <c r="B555" s="28" t="s">
        <v>576</v>
      </c>
      <c r="C555" s="28" t="s">
        <v>559</v>
      </c>
      <c r="D555" s="28" t="s">
        <v>618</v>
      </c>
      <c r="E555" s="28" t="s">
        <v>612</v>
      </c>
      <c r="F555" s="28" t="s">
        <v>598</v>
      </c>
      <c r="G555" s="29">
        <v>77</v>
      </c>
      <c r="H555" s="29">
        <v>0</v>
      </c>
      <c r="I555" s="29">
        <v>0</v>
      </c>
      <c r="J555" s="29">
        <v>0</v>
      </c>
      <c r="K555" s="29">
        <v>0</v>
      </c>
      <c r="L555" s="29">
        <v>0</v>
      </c>
      <c r="M555" s="29">
        <v>0</v>
      </c>
      <c r="N555" s="29">
        <v>0</v>
      </c>
      <c r="O555" s="29">
        <v>0</v>
      </c>
    </row>
    <row r="556" spans="1:15" x14ac:dyDescent="0.3">
      <c r="A556" s="28" t="s">
        <v>575</v>
      </c>
      <c r="B556" s="28" t="s">
        <v>576</v>
      </c>
      <c r="C556" s="28" t="s">
        <v>559</v>
      </c>
      <c r="D556" s="28" t="s">
        <v>618</v>
      </c>
      <c r="E556" s="28" t="s">
        <v>612</v>
      </c>
      <c r="F556" s="28" t="s">
        <v>599</v>
      </c>
      <c r="G556" s="29">
        <v>57</v>
      </c>
      <c r="H556" s="29">
        <v>0</v>
      </c>
      <c r="I556" s="29">
        <v>0</v>
      </c>
      <c r="J556" s="29">
        <v>0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</row>
    <row r="557" spans="1:15" x14ac:dyDescent="0.3">
      <c r="A557" s="28" t="s">
        <v>575</v>
      </c>
      <c r="B557" s="28" t="s">
        <v>576</v>
      </c>
      <c r="C557" s="28" t="s">
        <v>559</v>
      </c>
      <c r="D557" s="28" t="s">
        <v>618</v>
      </c>
      <c r="E557" s="28" t="s">
        <v>612</v>
      </c>
      <c r="F557" s="28" t="s">
        <v>600</v>
      </c>
      <c r="G557" s="29">
        <v>64</v>
      </c>
      <c r="H557" s="29">
        <v>0</v>
      </c>
      <c r="I557" s="29">
        <v>0</v>
      </c>
      <c r="J557" s="29">
        <v>0</v>
      </c>
      <c r="K557" s="29">
        <v>0</v>
      </c>
      <c r="L557" s="29">
        <v>0</v>
      </c>
      <c r="M557" s="29">
        <v>0</v>
      </c>
      <c r="N557" s="29">
        <v>0</v>
      </c>
      <c r="O557" s="29">
        <v>0</v>
      </c>
    </row>
    <row r="558" spans="1:15" x14ac:dyDescent="0.3">
      <c r="A558" s="28" t="s">
        <v>575</v>
      </c>
      <c r="B558" s="28" t="s">
        <v>576</v>
      </c>
      <c r="C558" s="28" t="s">
        <v>559</v>
      </c>
      <c r="D558" s="28" t="s">
        <v>618</v>
      </c>
      <c r="E558" s="28" t="s">
        <v>612</v>
      </c>
      <c r="F558" s="28" t="s">
        <v>601</v>
      </c>
      <c r="G558" s="29">
        <v>51</v>
      </c>
      <c r="H558" s="29">
        <v>0</v>
      </c>
      <c r="I558" s="29">
        <v>0</v>
      </c>
      <c r="J558" s="29">
        <v>0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</row>
    <row r="559" spans="1:15" x14ac:dyDescent="0.3">
      <c r="A559" s="28" t="s">
        <v>575</v>
      </c>
      <c r="B559" s="28" t="s">
        <v>576</v>
      </c>
      <c r="C559" s="28" t="s">
        <v>559</v>
      </c>
      <c r="D559" s="28" t="s">
        <v>618</v>
      </c>
      <c r="E559" s="28" t="s">
        <v>612</v>
      </c>
      <c r="F559" s="28" t="s">
        <v>602</v>
      </c>
      <c r="G559" s="29">
        <v>155</v>
      </c>
      <c r="H559" s="29">
        <v>0</v>
      </c>
      <c r="I559" s="29">
        <v>0</v>
      </c>
      <c r="J559" s="29">
        <v>0</v>
      </c>
      <c r="K559" s="29">
        <v>0</v>
      </c>
      <c r="L559" s="29">
        <v>0</v>
      </c>
      <c r="M559" s="29">
        <v>0</v>
      </c>
      <c r="N559" s="29">
        <v>0</v>
      </c>
      <c r="O559" s="29">
        <v>0</v>
      </c>
    </row>
    <row r="560" spans="1:15" x14ac:dyDescent="0.3">
      <c r="A560" s="28" t="s">
        <v>575</v>
      </c>
      <c r="B560" s="28" t="s">
        <v>576</v>
      </c>
      <c r="C560" s="28" t="s">
        <v>559</v>
      </c>
      <c r="D560" s="28" t="s">
        <v>618</v>
      </c>
      <c r="E560" s="28" t="s">
        <v>612</v>
      </c>
      <c r="F560" s="28" t="s">
        <v>603</v>
      </c>
      <c r="G560" s="29">
        <v>634</v>
      </c>
      <c r="H560" s="29">
        <v>2</v>
      </c>
      <c r="I560" s="29">
        <v>1</v>
      </c>
      <c r="J560" s="29">
        <v>0</v>
      </c>
      <c r="K560" s="29">
        <v>1</v>
      </c>
      <c r="L560" s="29">
        <v>0</v>
      </c>
      <c r="M560" s="29">
        <v>0</v>
      </c>
      <c r="N560" s="29">
        <v>0</v>
      </c>
      <c r="O560" s="29">
        <v>0</v>
      </c>
    </row>
    <row r="561" spans="1:15" x14ac:dyDescent="0.3">
      <c r="A561" s="28" t="s">
        <v>575</v>
      </c>
      <c r="B561" s="28" t="s">
        <v>576</v>
      </c>
      <c r="C561" s="28" t="s">
        <v>559</v>
      </c>
      <c r="D561" s="28" t="s">
        <v>618</v>
      </c>
      <c r="E561" s="28" t="s">
        <v>612</v>
      </c>
      <c r="F561" s="28" t="s">
        <v>604</v>
      </c>
      <c r="G561" s="29">
        <v>333</v>
      </c>
      <c r="H561" s="29">
        <v>0</v>
      </c>
      <c r="I561" s="29">
        <v>1</v>
      </c>
      <c r="J561" s="29">
        <v>0</v>
      </c>
      <c r="K561" s="29">
        <v>1</v>
      </c>
      <c r="L561" s="29">
        <v>0</v>
      </c>
      <c r="M561" s="29">
        <v>0</v>
      </c>
      <c r="N561" s="29">
        <v>0</v>
      </c>
      <c r="O561" s="29">
        <v>0</v>
      </c>
    </row>
    <row r="562" spans="1:15" x14ac:dyDescent="0.3">
      <c r="A562" s="28" t="s">
        <v>575</v>
      </c>
      <c r="B562" s="28" t="s">
        <v>576</v>
      </c>
      <c r="C562" s="28" t="s">
        <v>559</v>
      </c>
      <c r="D562" s="28" t="s">
        <v>618</v>
      </c>
      <c r="E562" s="28" t="s">
        <v>612</v>
      </c>
      <c r="F562" s="28" t="s">
        <v>581</v>
      </c>
      <c r="G562" s="29">
        <v>182</v>
      </c>
      <c r="H562" s="29">
        <v>0</v>
      </c>
      <c r="I562" s="29">
        <v>0</v>
      </c>
      <c r="J562" s="29">
        <v>0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</row>
    <row r="563" spans="1:15" x14ac:dyDescent="0.3">
      <c r="A563" s="28" t="s">
        <v>575</v>
      </c>
      <c r="B563" s="28" t="s">
        <v>576</v>
      </c>
      <c r="C563" s="28" t="s">
        <v>559</v>
      </c>
      <c r="D563" s="28" t="s">
        <v>618</v>
      </c>
      <c r="E563" s="28" t="s">
        <v>612</v>
      </c>
      <c r="F563" s="28" t="s">
        <v>582</v>
      </c>
      <c r="G563" s="29">
        <v>190</v>
      </c>
      <c r="H563" s="29">
        <v>0</v>
      </c>
      <c r="I563" s="29">
        <v>0</v>
      </c>
      <c r="J563" s="29">
        <v>0</v>
      </c>
      <c r="K563" s="29">
        <v>0</v>
      </c>
      <c r="L563" s="29">
        <v>0</v>
      </c>
      <c r="M563" s="29">
        <v>0</v>
      </c>
      <c r="N563" s="29">
        <v>0</v>
      </c>
      <c r="O563" s="29">
        <v>0</v>
      </c>
    </row>
    <row r="564" spans="1:15" x14ac:dyDescent="0.3">
      <c r="A564" s="28" t="s">
        <v>575</v>
      </c>
      <c r="B564" s="28" t="s">
        <v>576</v>
      </c>
      <c r="C564" s="28" t="s">
        <v>559</v>
      </c>
      <c r="D564" s="28" t="s">
        <v>618</v>
      </c>
      <c r="E564" s="28" t="s">
        <v>612</v>
      </c>
      <c r="F564" s="28" t="s">
        <v>583</v>
      </c>
      <c r="G564" s="29">
        <v>177</v>
      </c>
      <c r="H564" s="29">
        <v>1</v>
      </c>
      <c r="I564" s="29">
        <v>0</v>
      </c>
      <c r="J564" s="29">
        <v>0</v>
      </c>
      <c r="K564" s="29">
        <v>0</v>
      </c>
      <c r="L564" s="29">
        <v>0</v>
      </c>
      <c r="M564" s="29">
        <v>0</v>
      </c>
      <c r="N564" s="29">
        <v>0</v>
      </c>
      <c r="O564" s="29">
        <v>0</v>
      </c>
    </row>
    <row r="565" spans="1:15" x14ac:dyDescent="0.3">
      <c r="A565" s="28" t="s">
        <v>575</v>
      </c>
      <c r="B565" s="28" t="s">
        <v>576</v>
      </c>
      <c r="C565" s="28" t="s">
        <v>559</v>
      </c>
      <c r="D565" s="28" t="s">
        <v>618</v>
      </c>
      <c r="E565" s="28" t="s">
        <v>612</v>
      </c>
      <c r="F565" s="28" t="s">
        <v>584</v>
      </c>
      <c r="G565" s="29">
        <v>184</v>
      </c>
      <c r="H565" s="29">
        <v>0</v>
      </c>
      <c r="I565" s="29">
        <v>1</v>
      </c>
      <c r="J565" s="29">
        <v>0</v>
      </c>
      <c r="K565" s="29">
        <v>1</v>
      </c>
      <c r="L565" s="29">
        <v>0</v>
      </c>
      <c r="M565" s="29">
        <v>0</v>
      </c>
      <c r="N565" s="29">
        <v>0</v>
      </c>
      <c r="O565" s="29">
        <v>0</v>
      </c>
    </row>
    <row r="566" spans="1:15" x14ac:dyDescent="0.3">
      <c r="A566" s="28" t="s">
        <v>575</v>
      </c>
      <c r="B566" s="28" t="s">
        <v>576</v>
      </c>
      <c r="C566" s="28" t="s">
        <v>559</v>
      </c>
      <c r="D566" s="28" t="s">
        <v>618</v>
      </c>
      <c r="E566" s="28" t="s">
        <v>612</v>
      </c>
      <c r="F566" s="28" t="s">
        <v>585</v>
      </c>
      <c r="G566" s="29">
        <v>190</v>
      </c>
      <c r="H566" s="29">
        <v>1</v>
      </c>
      <c r="I566" s="29">
        <v>0</v>
      </c>
      <c r="J566" s="29">
        <v>0</v>
      </c>
      <c r="K566" s="29">
        <v>0</v>
      </c>
      <c r="L566" s="29">
        <v>0</v>
      </c>
      <c r="M566" s="29">
        <v>0</v>
      </c>
      <c r="N566" s="29">
        <v>0</v>
      </c>
      <c r="O566" s="29">
        <v>0</v>
      </c>
    </row>
    <row r="567" spans="1:15" x14ac:dyDescent="0.3">
      <c r="A567" s="28" t="s">
        <v>575</v>
      </c>
      <c r="B567" s="28" t="s">
        <v>576</v>
      </c>
      <c r="C567" s="28" t="s">
        <v>559</v>
      </c>
      <c r="D567" s="28" t="s">
        <v>618</v>
      </c>
      <c r="E567" s="28" t="s">
        <v>612</v>
      </c>
      <c r="F567" s="28" t="s">
        <v>586</v>
      </c>
      <c r="G567" s="29">
        <v>192</v>
      </c>
      <c r="H567" s="29">
        <v>0</v>
      </c>
      <c r="I567" s="29">
        <v>0</v>
      </c>
      <c r="J567" s="29">
        <v>0</v>
      </c>
      <c r="K567" s="29">
        <v>0</v>
      </c>
      <c r="L567" s="29">
        <v>0</v>
      </c>
      <c r="M567" s="29">
        <v>0</v>
      </c>
      <c r="N567" s="29">
        <v>0</v>
      </c>
      <c r="O567" s="29">
        <v>0</v>
      </c>
    </row>
    <row r="568" spans="1:15" x14ac:dyDescent="0.3">
      <c r="A568" s="28" t="s">
        <v>575</v>
      </c>
      <c r="B568" s="28" t="s">
        <v>576</v>
      </c>
      <c r="C568" s="28" t="s">
        <v>559</v>
      </c>
      <c r="D568" s="28" t="s">
        <v>618</v>
      </c>
      <c r="E568" s="28" t="s">
        <v>612</v>
      </c>
      <c r="F568" s="28" t="s">
        <v>587</v>
      </c>
      <c r="G568" s="29">
        <v>174</v>
      </c>
      <c r="H568" s="29">
        <v>0</v>
      </c>
      <c r="I568" s="29">
        <v>0</v>
      </c>
      <c r="J568" s="29">
        <v>0</v>
      </c>
      <c r="K568" s="29">
        <v>0</v>
      </c>
      <c r="L568" s="29">
        <v>0</v>
      </c>
      <c r="M568" s="29">
        <v>0</v>
      </c>
      <c r="N568" s="29">
        <v>0</v>
      </c>
      <c r="O568" s="29">
        <v>0</v>
      </c>
    </row>
    <row r="569" spans="1:15" x14ac:dyDescent="0.3">
      <c r="A569" s="28" t="s">
        <v>575</v>
      </c>
      <c r="B569" s="28" t="s">
        <v>576</v>
      </c>
      <c r="C569" s="28" t="s">
        <v>559</v>
      </c>
      <c r="D569" s="28" t="s">
        <v>618</v>
      </c>
      <c r="E569" s="28" t="s">
        <v>612</v>
      </c>
      <c r="F569" s="28" t="s">
        <v>579</v>
      </c>
      <c r="G569" s="29">
        <v>201</v>
      </c>
      <c r="H569" s="29">
        <v>0</v>
      </c>
      <c r="I569" s="29">
        <v>0</v>
      </c>
      <c r="J569" s="29">
        <v>0</v>
      </c>
      <c r="K569" s="29">
        <v>0</v>
      </c>
      <c r="L569" s="29">
        <v>0</v>
      </c>
      <c r="M569" s="29">
        <v>0</v>
      </c>
      <c r="N569" s="29">
        <v>0</v>
      </c>
      <c r="O569" s="29">
        <v>0</v>
      </c>
    </row>
    <row r="570" spans="1:15" x14ac:dyDescent="0.3">
      <c r="A570" s="28" t="s">
        <v>575</v>
      </c>
      <c r="B570" s="28" t="s">
        <v>576</v>
      </c>
      <c r="C570" s="28" t="s">
        <v>559</v>
      </c>
      <c r="D570" s="28" t="s">
        <v>618</v>
      </c>
      <c r="E570" s="28" t="s">
        <v>612</v>
      </c>
      <c r="F570" s="28" t="s">
        <v>588</v>
      </c>
      <c r="G570" s="29">
        <v>151</v>
      </c>
      <c r="H570" s="29">
        <v>0</v>
      </c>
      <c r="I570" s="29">
        <v>2</v>
      </c>
      <c r="J570" s="29">
        <v>0</v>
      </c>
      <c r="K570" s="29">
        <v>2</v>
      </c>
      <c r="L570" s="29">
        <v>500</v>
      </c>
      <c r="M570" s="29">
        <v>0</v>
      </c>
      <c r="N570" s="29">
        <v>500</v>
      </c>
      <c r="O570" s="29">
        <v>0</v>
      </c>
    </row>
    <row r="571" spans="1:15" x14ac:dyDescent="0.3">
      <c r="A571" s="28" t="s">
        <v>575</v>
      </c>
      <c r="B571" s="28" t="s">
        <v>576</v>
      </c>
      <c r="C571" s="28" t="s">
        <v>559</v>
      </c>
      <c r="D571" s="28" t="s">
        <v>618</v>
      </c>
      <c r="E571" s="28" t="s">
        <v>612</v>
      </c>
      <c r="F571" s="28" t="s">
        <v>589</v>
      </c>
      <c r="G571" s="29">
        <v>191</v>
      </c>
      <c r="H571" s="29">
        <v>0</v>
      </c>
      <c r="I571" s="29">
        <v>1</v>
      </c>
      <c r="J571" s="29">
        <v>0</v>
      </c>
      <c r="K571" s="29">
        <v>1</v>
      </c>
      <c r="L571" s="29">
        <v>0</v>
      </c>
      <c r="M571" s="29">
        <v>0</v>
      </c>
      <c r="N571" s="29">
        <v>0</v>
      </c>
      <c r="O571" s="29">
        <v>0</v>
      </c>
    </row>
    <row r="572" spans="1:15" x14ac:dyDescent="0.3">
      <c r="A572" s="28" t="s">
        <v>575</v>
      </c>
      <c r="B572" s="28" t="s">
        <v>576</v>
      </c>
      <c r="C572" s="28" t="s">
        <v>559</v>
      </c>
      <c r="D572" s="28" t="s">
        <v>618</v>
      </c>
      <c r="E572" s="28" t="s">
        <v>612</v>
      </c>
      <c r="F572" s="28" t="s">
        <v>590</v>
      </c>
      <c r="G572" s="29">
        <v>184</v>
      </c>
      <c r="H572" s="29">
        <v>0</v>
      </c>
      <c r="I572" s="29">
        <v>0</v>
      </c>
      <c r="J572" s="29">
        <v>0</v>
      </c>
      <c r="K572" s="29">
        <v>0</v>
      </c>
      <c r="L572" s="29">
        <v>0</v>
      </c>
      <c r="M572" s="29">
        <v>0</v>
      </c>
      <c r="N572" s="29">
        <v>0</v>
      </c>
      <c r="O572" s="29">
        <v>0</v>
      </c>
    </row>
    <row r="573" spans="1:15" x14ac:dyDescent="0.3">
      <c r="A573" s="28" t="s">
        <v>575</v>
      </c>
      <c r="B573" s="28" t="s">
        <v>576</v>
      </c>
      <c r="C573" s="28" t="s">
        <v>559</v>
      </c>
      <c r="D573" s="28" t="s">
        <v>618</v>
      </c>
      <c r="E573" s="28" t="s">
        <v>612</v>
      </c>
      <c r="F573" s="28" t="s">
        <v>591</v>
      </c>
      <c r="G573" s="29">
        <v>187</v>
      </c>
      <c r="H573" s="29">
        <v>0</v>
      </c>
      <c r="I573" s="29">
        <v>0</v>
      </c>
      <c r="J573" s="29">
        <v>0</v>
      </c>
      <c r="K573" s="29">
        <v>0</v>
      </c>
      <c r="L573" s="29">
        <v>0</v>
      </c>
      <c r="M573" s="29">
        <v>0</v>
      </c>
      <c r="N573" s="29">
        <v>0</v>
      </c>
      <c r="O573" s="29">
        <v>0</v>
      </c>
    </row>
    <row r="574" spans="1:15" x14ac:dyDescent="0.3">
      <c r="A574" s="28" t="s">
        <v>575</v>
      </c>
      <c r="B574" s="28" t="s">
        <v>576</v>
      </c>
      <c r="C574" s="28" t="s">
        <v>559</v>
      </c>
      <c r="D574" s="28" t="s">
        <v>618</v>
      </c>
      <c r="E574" s="28" t="s">
        <v>612</v>
      </c>
      <c r="F574" s="28" t="s">
        <v>592</v>
      </c>
      <c r="G574" s="29">
        <v>306</v>
      </c>
      <c r="H574" s="29">
        <v>0</v>
      </c>
      <c r="I574" s="29">
        <v>1</v>
      </c>
      <c r="J574" s="29">
        <v>0</v>
      </c>
      <c r="K574" s="29">
        <v>1</v>
      </c>
      <c r="L574" s="29">
        <v>0</v>
      </c>
      <c r="M574" s="29">
        <v>0</v>
      </c>
      <c r="N574" s="29">
        <v>0</v>
      </c>
      <c r="O574" s="29">
        <v>0</v>
      </c>
    </row>
    <row r="575" spans="1:15" x14ac:dyDescent="0.3">
      <c r="A575" s="28" t="s">
        <v>575</v>
      </c>
      <c r="B575" s="28" t="s">
        <v>576</v>
      </c>
      <c r="C575" s="28" t="s">
        <v>559</v>
      </c>
      <c r="D575" s="28" t="s">
        <v>618</v>
      </c>
      <c r="E575" s="28" t="s">
        <v>612</v>
      </c>
      <c r="F575" s="28" t="s">
        <v>593</v>
      </c>
      <c r="G575" s="29">
        <v>59</v>
      </c>
      <c r="H575" s="29">
        <v>0</v>
      </c>
      <c r="I575" s="29">
        <v>0</v>
      </c>
      <c r="J575" s="29">
        <v>0</v>
      </c>
      <c r="K575" s="29">
        <v>0</v>
      </c>
      <c r="L575" s="29">
        <v>0</v>
      </c>
      <c r="M575" s="29">
        <v>0</v>
      </c>
      <c r="N575" s="29">
        <v>0</v>
      </c>
      <c r="O575" s="29">
        <v>0</v>
      </c>
    </row>
    <row r="576" spans="1:15" x14ac:dyDescent="0.3">
      <c r="A576" s="28" t="s">
        <v>575</v>
      </c>
      <c r="B576" s="28" t="s">
        <v>576</v>
      </c>
      <c r="C576" s="28" t="s">
        <v>559</v>
      </c>
      <c r="D576" s="28" t="s">
        <v>618</v>
      </c>
      <c r="E576" s="28" t="s">
        <v>612</v>
      </c>
      <c r="F576" s="28" t="s">
        <v>594</v>
      </c>
      <c r="G576" s="29">
        <v>193</v>
      </c>
      <c r="H576" s="29">
        <v>1</v>
      </c>
      <c r="I576" s="29">
        <v>7</v>
      </c>
      <c r="J576" s="29">
        <v>0</v>
      </c>
      <c r="K576" s="29">
        <v>7</v>
      </c>
      <c r="L576" s="29">
        <v>100</v>
      </c>
      <c r="M576" s="29">
        <v>0</v>
      </c>
      <c r="N576" s="29">
        <v>100</v>
      </c>
      <c r="O576" s="29">
        <v>0</v>
      </c>
    </row>
    <row r="577" spans="1:15" x14ac:dyDescent="0.3">
      <c r="A577" s="28" t="s">
        <v>575</v>
      </c>
      <c r="B577" s="28" t="s">
        <v>576</v>
      </c>
      <c r="C577" s="28" t="s">
        <v>559</v>
      </c>
      <c r="D577" s="28" t="s">
        <v>618</v>
      </c>
      <c r="E577" s="28" t="s">
        <v>612</v>
      </c>
      <c r="F577" s="28" t="s">
        <v>595</v>
      </c>
      <c r="G577" s="29">
        <v>167</v>
      </c>
      <c r="H577" s="29">
        <v>0</v>
      </c>
      <c r="I577" s="29">
        <v>0</v>
      </c>
      <c r="J577" s="29">
        <v>0</v>
      </c>
      <c r="K577" s="29">
        <v>0</v>
      </c>
      <c r="L577" s="29">
        <v>0</v>
      </c>
      <c r="M577" s="29">
        <v>0</v>
      </c>
      <c r="N577" s="29">
        <v>0</v>
      </c>
      <c r="O577" s="29">
        <v>0</v>
      </c>
    </row>
    <row r="578" spans="1:15" x14ac:dyDescent="0.3">
      <c r="A578" s="28" t="s">
        <v>575</v>
      </c>
      <c r="B578" s="28" t="s">
        <v>576</v>
      </c>
      <c r="C578" s="28" t="s">
        <v>559</v>
      </c>
      <c r="D578" s="28" t="s">
        <v>618</v>
      </c>
      <c r="E578" s="28" t="s">
        <v>613</v>
      </c>
      <c r="F578" s="28" t="s">
        <v>597</v>
      </c>
      <c r="G578" s="29">
        <v>158</v>
      </c>
      <c r="H578" s="29">
        <v>1</v>
      </c>
      <c r="I578" s="29">
        <v>1</v>
      </c>
      <c r="J578" s="29">
        <v>1</v>
      </c>
      <c r="K578" s="29">
        <v>0</v>
      </c>
      <c r="L578" s="29">
        <v>0</v>
      </c>
      <c r="M578" s="29">
        <v>0</v>
      </c>
      <c r="N578" s="29">
        <v>0</v>
      </c>
      <c r="O578" s="29">
        <v>0</v>
      </c>
    </row>
    <row r="579" spans="1:15" x14ac:dyDescent="0.3">
      <c r="A579" s="28" t="s">
        <v>575</v>
      </c>
      <c r="B579" s="28" t="s">
        <v>576</v>
      </c>
      <c r="C579" s="28" t="s">
        <v>559</v>
      </c>
      <c r="D579" s="28" t="s">
        <v>618</v>
      </c>
      <c r="E579" s="28" t="s">
        <v>613</v>
      </c>
      <c r="F579" s="28" t="s">
        <v>598</v>
      </c>
      <c r="G579" s="29">
        <v>137</v>
      </c>
      <c r="H579" s="29">
        <v>0</v>
      </c>
      <c r="I579" s="29">
        <v>0</v>
      </c>
      <c r="J579" s="29">
        <v>0</v>
      </c>
      <c r="K579" s="29">
        <v>0</v>
      </c>
      <c r="L579" s="29">
        <v>0</v>
      </c>
      <c r="M579" s="29">
        <v>0</v>
      </c>
      <c r="N579" s="29">
        <v>0</v>
      </c>
      <c r="O579" s="29">
        <v>0</v>
      </c>
    </row>
    <row r="580" spans="1:15" x14ac:dyDescent="0.3">
      <c r="A580" s="28" t="s">
        <v>575</v>
      </c>
      <c r="B580" s="28" t="s">
        <v>576</v>
      </c>
      <c r="C580" s="28" t="s">
        <v>559</v>
      </c>
      <c r="D580" s="28" t="s">
        <v>618</v>
      </c>
      <c r="E580" s="28" t="s">
        <v>613</v>
      </c>
      <c r="F580" s="28" t="s">
        <v>599</v>
      </c>
      <c r="G580" s="29">
        <v>78</v>
      </c>
      <c r="H580" s="29">
        <v>0</v>
      </c>
      <c r="I580" s="29">
        <v>0</v>
      </c>
      <c r="J580" s="29">
        <v>0</v>
      </c>
      <c r="K580" s="29">
        <v>0</v>
      </c>
      <c r="L580" s="29">
        <v>0</v>
      </c>
      <c r="M580" s="29">
        <v>0</v>
      </c>
      <c r="N580" s="29">
        <v>0</v>
      </c>
      <c r="O580" s="29">
        <v>0</v>
      </c>
    </row>
    <row r="581" spans="1:15" x14ac:dyDescent="0.3">
      <c r="A581" s="28" t="s">
        <v>575</v>
      </c>
      <c r="B581" s="28" t="s">
        <v>576</v>
      </c>
      <c r="C581" s="28" t="s">
        <v>559</v>
      </c>
      <c r="D581" s="28" t="s">
        <v>618</v>
      </c>
      <c r="E581" s="28" t="s">
        <v>613</v>
      </c>
      <c r="F581" s="28" t="s">
        <v>600</v>
      </c>
      <c r="G581" s="29">
        <v>77</v>
      </c>
      <c r="H581" s="29">
        <v>0</v>
      </c>
      <c r="I581" s="29">
        <v>0</v>
      </c>
      <c r="J581" s="29">
        <v>0</v>
      </c>
      <c r="K581" s="29">
        <v>0</v>
      </c>
      <c r="L581" s="29">
        <v>0</v>
      </c>
      <c r="M581" s="29">
        <v>0</v>
      </c>
      <c r="N581" s="29">
        <v>0</v>
      </c>
      <c r="O581" s="29">
        <v>0</v>
      </c>
    </row>
    <row r="582" spans="1:15" x14ac:dyDescent="0.3">
      <c r="A582" s="28" t="s">
        <v>575</v>
      </c>
      <c r="B582" s="28" t="s">
        <v>576</v>
      </c>
      <c r="C582" s="28" t="s">
        <v>559</v>
      </c>
      <c r="D582" s="28" t="s">
        <v>618</v>
      </c>
      <c r="E582" s="28" t="s">
        <v>613</v>
      </c>
      <c r="F582" s="28" t="s">
        <v>601</v>
      </c>
      <c r="G582" s="29">
        <v>118</v>
      </c>
      <c r="H582" s="29">
        <v>1</v>
      </c>
      <c r="I582" s="29">
        <v>0</v>
      </c>
      <c r="J582" s="29">
        <v>0</v>
      </c>
      <c r="K582" s="29">
        <v>0</v>
      </c>
      <c r="L582" s="29">
        <v>0</v>
      </c>
      <c r="M582" s="29">
        <v>0</v>
      </c>
      <c r="N582" s="29">
        <v>0</v>
      </c>
      <c r="O582" s="29">
        <v>0</v>
      </c>
    </row>
    <row r="583" spans="1:15" x14ac:dyDescent="0.3">
      <c r="A583" s="28" t="s">
        <v>575</v>
      </c>
      <c r="B583" s="28" t="s">
        <v>576</v>
      </c>
      <c r="C583" s="28" t="s">
        <v>559</v>
      </c>
      <c r="D583" s="28" t="s">
        <v>618</v>
      </c>
      <c r="E583" s="28" t="s">
        <v>613</v>
      </c>
      <c r="F583" s="28" t="s">
        <v>602</v>
      </c>
      <c r="G583" s="29">
        <v>346</v>
      </c>
      <c r="H583" s="29">
        <v>0</v>
      </c>
      <c r="I583" s="29">
        <v>0</v>
      </c>
      <c r="J583" s="29">
        <v>0</v>
      </c>
      <c r="K583" s="29">
        <v>0</v>
      </c>
      <c r="L583" s="29">
        <v>0</v>
      </c>
      <c r="M583" s="29">
        <v>0</v>
      </c>
      <c r="N583" s="29">
        <v>0</v>
      </c>
      <c r="O583" s="29">
        <v>0</v>
      </c>
    </row>
    <row r="584" spans="1:15" x14ac:dyDescent="0.3">
      <c r="A584" s="28" t="s">
        <v>575</v>
      </c>
      <c r="B584" s="28" t="s">
        <v>576</v>
      </c>
      <c r="C584" s="28" t="s">
        <v>559</v>
      </c>
      <c r="D584" s="28" t="s">
        <v>618</v>
      </c>
      <c r="E584" s="28" t="s">
        <v>613</v>
      </c>
      <c r="F584" s="28" t="s">
        <v>603</v>
      </c>
      <c r="G584" s="29">
        <v>274</v>
      </c>
      <c r="H584" s="29">
        <v>0</v>
      </c>
      <c r="I584" s="29">
        <v>0</v>
      </c>
      <c r="J584" s="29">
        <v>0</v>
      </c>
      <c r="K584" s="29">
        <v>0</v>
      </c>
      <c r="L584" s="29">
        <v>0</v>
      </c>
      <c r="M584" s="29">
        <v>0</v>
      </c>
      <c r="N584" s="29">
        <v>0</v>
      </c>
      <c r="O584" s="29">
        <v>0</v>
      </c>
    </row>
    <row r="585" spans="1:15" x14ac:dyDescent="0.3">
      <c r="A585" s="28" t="s">
        <v>575</v>
      </c>
      <c r="B585" s="28" t="s">
        <v>576</v>
      </c>
      <c r="C585" s="28" t="s">
        <v>559</v>
      </c>
      <c r="D585" s="28" t="s">
        <v>618</v>
      </c>
      <c r="E585" s="28" t="s">
        <v>613</v>
      </c>
      <c r="F585" s="28" t="s">
        <v>604</v>
      </c>
      <c r="G585" s="29">
        <v>316</v>
      </c>
      <c r="H585" s="29">
        <v>0</v>
      </c>
      <c r="I585" s="29">
        <v>0</v>
      </c>
      <c r="J585" s="29">
        <v>0</v>
      </c>
      <c r="K585" s="29">
        <v>0</v>
      </c>
      <c r="L585" s="29">
        <v>0</v>
      </c>
      <c r="M585" s="29">
        <v>0</v>
      </c>
      <c r="N585" s="29">
        <v>0</v>
      </c>
      <c r="O585" s="29">
        <v>0</v>
      </c>
    </row>
    <row r="586" spans="1:15" x14ac:dyDescent="0.3">
      <c r="A586" s="28" t="s">
        <v>575</v>
      </c>
      <c r="B586" s="28" t="s">
        <v>576</v>
      </c>
      <c r="C586" s="28" t="s">
        <v>559</v>
      </c>
      <c r="D586" s="28" t="s">
        <v>618</v>
      </c>
      <c r="E586" s="28" t="s">
        <v>613</v>
      </c>
      <c r="F586" s="28" t="s">
        <v>581</v>
      </c>
      <c r="G586" s="29">
        <v>184</v>
      </c>
      <c r="H586" s="29">
        <v>0</v>
      </c>
      <c r="I586" s="29">
        <v>0</v>
      </c>
      <c r="J586" s="29">
        <v>0</v>
      </c>
      <c r="K586" s="29">
        <v>0</v>
      </c>
      <c r="L586" s="29">
        <v>0</v>
      </c>
      <c r="M586" s="29">
        <v>0</v>
      </c>
      <c r="N586" s="29">
        <v>0</v>
      </c>
      <c r="O586" s="29">
        <v>0</v>
      </c>
    </row>
    <row r="587" spans="1:15" x14ac:dyDescent="0.3">
      <c r="A587" s="28" t="s">
        <v>575</v>
      </c>
      <c r="B587" s="28" t="s">
        <v>576</v>
      </c>
      <c r="C587" s="28" t="s">
        <v>559</v>
      </c>
      <c r="D587" s="28" t="s">
        <v>618</v>
      </c>
      <c r="E587" s="28" t="s">
        <v>613</v>
      </c>
      <c r="F587" s="28" t="s">
        <v>582</v>
      </c>
      <c r="G587" s="29">
        <v>188</v>
      </c>
      <c r="H587" s="29">
        <v>1</v>
      </c>
      <c r="I587" s="29">
        <v>0</v>
      </c>
      <c r="J587" s="29">
        <v>0</v>
      </c>
      <c r="K587" s="29">
        <v>0</v>
      </c>
      <c r="L587" s="29">
        <v>0</v>
      </c>
      <c r="M587" s="29">
        <v>0</v>
      </c>
      <c r="N587" s="29">
        <v>0</v>
      </c>
      <c r="O587" s="29">
        <v>0</v>
      </c>
    </row>
    <row r="588" spans="1:15" x14ac:dyDescent="0.3">
      <c r="A588" s="28" t="s">
        <v>575</v>
      </c>
      <c r="B588" s="28" t="s">
        <v>576</v>
      </c>
      <c r="C588" s="28" t="s">
        <v>559</v>
      </c>
      <c r="D588" s="28" t="s">
        <v>618</v>
      </c>
      <c r="E588" s="28" t="s">
        <v>613</v>
      </c>
      <c r="F588" s="28" t="s">
        <v>583</v>
      </c>
      <c r="G588" s="29">
        <v>183</v>
      </c>
      <c r="H588" s="29">
        <v>0</v>
      </c>
      <c r="I588" s="29">
        <v>4</v>
      </c>
      <c r="J588" s="29">
        <v>0</v>
      </c>
      <c r="K588" s="29">
        <v>4</v>
      </c>
      <c r="L588" s="29">
        <v>500</v>
      </c>
      <c r="M588" s="29">
        <v>0</v>
      </c>
      <c r="N588" s="29">
        <v>500</v>
      </c>
      <c r="O588" s="29">
        <v>0</v>
      </c>
    </row>
    <row r="589" spans="1:15" x14ac:dyDescent="0.3">
      <c r="A589" s="28" t="s">
        <v>575</v>
      </c>
      <c r="B589" s="28" t="s">
        <v>576</v>
      </c>
      <c r="C589" s="28" t="s">
        <v>559</v>
      </c>
      <c r="D589" s="28" t="s">
        <v>618</v>
      </c>
      <c r="E589" s="28" t="s">
        <v>613</v>
      </c>
      <c r="F589" s="28" t="s">
        <v>584</v>
      </c>
      <c r="G589" s="29">
        <v>189</v>
      </c>
      <c r="H589" s="29">
        <v>1</v>
      </c>
      <c r="I589" s="29">
        <v>0</v>
      </c>
      <c r="J589" s="29">
        <v>0</v>
      </c>
      <c r="K589" s="29">
        <v>0</v>
      </c>
      <c r="L589" s="29">
        <v>0</v>
      </c>
      <c r="M589" s="29">
        <v>0</v>
      </c>
      <c r="N589" s="29">
        <v>0</v>
      </c>
      <c r="O589" s="29">
        <v>0</v>
      </c>
    </row>
    <row r="590" spans="1:15" x14ac:dyDescent="0.3">
      <c r="A590" s="28" t="s">
        <v>575</v>
      </c>
      <c r="B590" s="28" t="s">
        <v>576</v>
      </c>
      <c r="C590" s="28" t="s">
        <v>559</v>
      </c>
      <c r="D590" s="28" t="s">
        <v>618</v>
      </c>
      <c r="E590" s="28" t="s">
        <v>613</v>
      </c>
      <c r="F590" s="28" t="s">
        <v>585</v>
      </c>
      <c r="G590" s="29">
        <v>187</v>
      </c>
      <c r="H590" s="29">
        <v>1</v>
      </c>
      <c r="I590" s="29">
        <v>2</v>
      </c>
      <c r="J590" s="29">
        <v>2</v>
      </c>
      <c r="K590" s="29">
        <v>0</v>
      </c>
      <c r="L590" s="29">
        <v>0</v>
      </c>
      <c r="M590" s="29">
        <v>0</v>
      </c>
      <c r="N590" s="29">
        <v>0</v>
      </c>
      <c r="O590" s="29">
        <v>0</v>
      </c>
    </row>
    <row r="591" spans="1:15" x14ac:dyDescent="0.3">
      <c r="A591" s="28" t="s">
        <v>575</v>
      </c>
      <c r="B591" s="28" t="s">
        <v>576</v>
      </c>
      <c r="C591" s="28" t="s">
        <v>559</v>
      </c>
      <c r="D591" s="28" t="s">
        <v>618</v>
      </c>
      <c r="E591" s="28" t="s">
        <v>613</v>
      </c>
      <c r="F591" s="28" t="s">
        <v>586</v>
      </c>
      <c r="G591" s="29">
        <v>178</v>
      </c>
      <c r="H591" s="29">
        <v>0</v>
      </c>
      <c r="I591" s="29">
        <v>0</v>
      </c>
      <c r="J591" s="29">
        <v>0</v>
      </c>
      <c r="K591" s="29">
        <v>0</v>
      </c>
      <c r="L591" s="29">
        <v>0</v>
      </c>
      <c r="M591" s="29">
        <v>0</v>
      </c>
      <c r="N591" s="29">
        <v>0</v>
      </c>
      <c r="O591" s="29">
        <v>0</v>
      </c>
    </row>
    <row r="592" spans="1:15" x14ac:dyDescent="0.3">
      <c r="A592" s="28" t="s">
        <v>575</v>
      </c>
      <c r="B592" s="28" t="s">
        <v>576</v>
      </c>
      <c r="C592" s="28" t="s">
        <v>559</v>
      </c>
      <c r="D592" s="28" t="s">
        <v>618</v>
      </c>
      <c r="E592" s="28" t="s">
        <v>613</v>
      </c>
      <c r="F592" s="28" t="s">
        <v>587</v>
      </c>
      <c r="G592" s="29">
        <v>194</v>
      </c>
      <c r="H592" s="29">
        <v>0</v>
      </c>
      <c r="I592" s="29">
        <v>0</v>
      </c>
      <c r="J592" s="29">
        <v>0</v>
      </c>
      <c r="K592" s="29">
        <v>0</v>
      </c>
      <c r="L592" s="29">
        <v>0</v>
      </c>
      <c r="M592" s="29">
        <v>0</v>
      </c>
      <c r="N592" s="29">
        <v>0</v>
      </c>
      <c r="O592" s="29">
        <v>0</v>
      </c>
    </row>
    <row r="593" spans="1:15" x14ac:dyDescent="0.3">
      <c r="A593" s="28" t="s">
        <v>575</v>
      </c>
      <c r="B593" s="28" t="s">
        <v>576</v>
      </c>
      <c r="C593" s="28" t="s">
        <v>559</v>
      </c>
      <c r="D593" s="28" t="s">
        <v>618</v>
      </c>
      <c r="E593" s="28" t="s">
        <v>613</v>
      </c>
      <c r="F593" s="28" t="s">
        <v>579</v>
      </c>
      <c r="G593" s="29">
        <v>183</v>
      </c>
      <c r="H593" s="29">
        <v>0</v>
      </c>
      <c r="I593" s="29">
        <v>1</v>
      </c>
      <c r="J593" s="29">
        <v>0</v>
      </c>
      <c r="K593" s="29">
        <v>1</v>
      </c>
      <c r="L593" s="29">
        <v>0</v>
      </c>
      <c r="M593" s="29">
        <v>0</v>
      </c>
      <c r="N593" s="29">
        <v>0</v>
      </c>
      <c r="O593" s="29">
        <v>0</v>
      </c>
    </row>
    <row r="594" spans="1:15" x14ac:dyDescent="0.3">
      <c r="A594" s="28" t="s">
        <v>575</v>
      </c>
      <c r="B594" s="28" t="s">
        <v>576</v>
      </c>
      <c r="C594" s="28" t="s">
        <v>559</v>
      </c>
      <c r="D594" s="28" t="s">
        <v>618</v>
      </c>
      <c r="E594" s="28" t="s">
        <v>613</v>
      </c>
      <c r="F594" s="28" t="s">
        <v>588</v>
      </c>
      <c r="G594" s="29">
        <v>185</v>
      </c>
      <c r="H594" s="29">
        <v>1</v>
      </c>
      <c r="I594" s="29">
        <v>0</v>
      </c>
      <c r="J594" s="29">
        <v>0</v>
      </c>
      <c r="K594" s="29">
        <v>0</v>
      </c>
      <c r="L594" s="29">
        <v>0</v>
      </c>
      <c r="M594" s="29">
        <v>0</v>
      </c>
      <c r="N594" s="29">
        <v>0</v>
      </c>
      <c r="O594" s="29">
        <v>0</v>
      </c>
    </row>
    <row r="595" spans="1:15" x14ac:dyDescent="0.3">
      <c r="A595" s="28" t="s">
        <v>575</v>
      </c>
      <c r="B595" s="28" t="s">
        <v>576</v>
      </c>
      <c r="C595" s="28" t="s">
        <v>559</v>
      </c>
      <c r="D595" s="28" t="s">
        <v>618</v>
      </c>
      <c r="E595" s="28" t="s">
        <v>613</v>
      </c>
      <c r="F595" s="28" t="s">
        <v>589</v>
      </c>
      <c r="G595" s="29">
        <v>179</v>
      </c>
      <c r="H595" s="29">
        <v>0</v>
      </c>
      <c r="I595" s="29">
        <v>0</v>
      </c>
      <c r="J595" s="29">
        <v>0</v>
      </c>
      <c r="K595" s="29">
        <v>0</v>
      </c>
      <c r="L595" s="29">
        <v>0</v>
      </c>
      <c r="M595" s="29">
        <v>0</v>
      </c>
      <c r="N595" s="29">
        <v>0</v>
      </c>
      <c r="O595" s="29">
        <v>0</v>
      </c>
    </row>
    <row r="596" spans="1:15" x14ac:dyDescent="0.3">
      <c r="A596" s="28" t="s">
        <v>575</v>
      </c>
      <c r="B596" s="28" t="s">
        <v>576</v>
      </c>
      <c r="C596" s="28" t="s">
        <v>559</v>
      </c>
      <c r="D596" s="28" t="s">
        <v>618</v>
      </c>
      <c r="E596" s="28" t="s">
        <v>613</v>
      </c>
      <c r="F596" s="28" t="s">
        <v>590</v>
      </c>
      <c r="G596" s="29">
        <v>189</v>
      </c>
      <c r="H596" s="29">
        <v>1</v>
      </c>
      <c r="I596" s="29">
        <v>0</v>
      </c>
      <c r="J596" s="29">
        <v>0</v>
      </c>
      <c r="K596" s="29">
        <v>0</v>
      </c>
      <c r="L596" s="29">
        <v>0</v>
      </c>
      <c r="M596" s="29">
        <v>0</v>
      </c>
      <c r="N596" s="29">
        <v>0</v>
      </c>
      <c r="O596" s="29">
        <v>0</v>
      </c>
    </row>
    <row r="597" spans="1:15" x14ac:dyDescent="0.3">
      <c r="A597" s="28" t="s">
        <v>575</v>
      </c>
      <c r="B597" s="28" t="s">
        <v>576</v>
      </c>
      <c r="C597" s="28" t="s">
        <v>559</v>
      </c>
      <c r="D597" s="28" t="s">
        <v>618</v>
      </c>
      <c r="E597" s="28" t="s">
        <v>613</v>
      </c>
      <c r="F597" s="28" t="s">
        <v>591</v>
      </c>
      <c r="G597" s="29">
        <v>168</v>
      </c>
      <c r="H597" s="29">
        <v>1</v>
      </c>
      <c r="I597" s="29">
        <v>0</v>
      </c>
      <c r="J597" s="29">
        <v>0</v>
      </c>
      <c r="K597" s="29">
        <v>0</v>
      </c>
      <c r="L597" s="29">
        <v>0</v>
      </c>
      <c r="M597" s="29">
        <v>0</v>
      </c>
      <c r="N597" s="29">
        <v>0</v>
      </c>
      <c r="O597" s="29">
        <v>0</v>
      </c>
    </row>
    <row r="598" spans="1:15" x14ac:dyDescent="0.3">
      <c r="A598" s="28" t="s">
        <v>575</v>
      </c>
      <c r="B598" s="28" t="s">
        <v>576</v>
      </c>
      <c r="C598" s="28" t="s">
        <v>559</v>
      </c>
      <c r="D598" s="28" t="s">
        <v>618</v>
      </c>
      <c r="E598" s="28" t="s">
        <v>613</v>
      </c>
      <c r="F598" s="28" t="s">
        <v>592</v>
      </c>
      <c r="G598" s="29">
        <v>247</v>
      </c>
      <c r="H598" s="29">
        <v>2</v>
      </c>
      <c r="I598" s="29">
        <v>0</v>
      </c>
      <c r="J598" s="29">
        <v>0</v>
      </c>
      <c r="K598" s="29">
        <v>0</v>
      </c>
      <c r="L598" s="29">
        <v>0</v>
      </c>
      <c r="M598" s="29">
        <v>0</v>
      </c>
      <c r="N598" s="29">
        <v>0</v>
      </c>
      <c r="O598" s="29">
        <v>0</v>
      </c>
    </row>
    <row r="599" spans="1:15" x14ac:dyDescent="0.3">
      <c r="A599" s="28" t="s">
        <v>575</v>
      </c>
      <c r="B599" s="28" t="s">
        <v>576</v>
      </c>
      <c r="C599" s="28" t="s">
        <v>559</v>
      </c>
      <c r="D599" s="28" t="s">
        <v>618</v>
      </c>
      <c r="E599" s="28" t="s">
        <v>613</v>
      </c>
      <c r="F599" s="28" t="s">
        <v>593</v>
      </c>
      <c r="G599" s="29">
        <v>150</v>
      </c>
      <c r="H599" s="29">
        <v>0</v>
      </c>
      <c r="I599" s="29">
        <v>2</v>
      </c>
      <c r="J599" s="29">
        <v>0</v>
      </c>
      <c r="K599" s="29">
        <v>2</v>
      </c>
      <c r="L599" s="29">
        <v>500</v>
      </c>
      <c r="M599" s="29">
        <v>0</v>
      </c>
      <c r="N599" s="29">
        <v>500</v>
      </c>
      <c r="O599" s="29">
        <v>0</v>
      </c>
    </row>
    <row r="600" spans="1:15" x14ac:dyDescent="0.3">
      <c r="A600" s="28" t="s">
        <v>575</v>
      </c>
      <c r="B600" s="28" t="s">
        <v>576</v>
      </c>
      <c r="C600" s="28" t="s">
        <v>559</v>
      </c>
      <c r="D600" s="28" t="s">
        <v>618</v>
      </c>
      <c r="E600" s="28" t="s">
        <v>613</v>
      </c>
      <c r="F600" s="28" t="s">
        <v>594</v>
      </c>
      <c r="G600" s="29">
        <v>181</v>
      </c>
      <c r="H600" s="29">
        <v>1</v>
      </c>
      <c r="I600" s="29">
        <v>2</v>
      </c>
      <c r="J600" s="29">
        <v>2</v>
      </c>
      <c r="K600" s="29">
        <v>0</v>
      </c>
      <c r="L600" s="29">
        <v>0</v>
      </c>
      <c r="M600" s="29">
        <v>0</v>
      </c>
      <c r="N600" s="29">
        <v>0</v>
      </c>
      <c r="O600" s="29">
        <v>0</v>
      </c>
    </row>
    <row r="601" spans="1:15" x14ac:dyDescent="0.3">
      <c r="A601" s="28" t="s">
        <v>575</v>
      </c>
      <c r="B601" s="28" t="s">
        <v>576</v>
      </c>
      <c r="C601" s="28" t="s">
        <v>559</v>
      </c>
      <c r="D601" s="28" t="s">
        <v>618</v>
      </c>
      <c r="E601" s="28" t="s">
        <v>613</v>
      </c>
      <c r="F601" s="28" t="s">
        <v>595</v>
      </c>
      <c r="G601" s="29">
        <v>152</v>
      </c>
      <c r="H601" s="29">
        <v>1</v>
      </c>
      <c r="I601" s="29">
        <v>0</v>
      </c>
      <c r="J601" s="29">
        <v>0</v>
      </c>
      <c r="K601" s="29">
        <v>0</v>
      </c>
      <c r="L601" s="29">
        <v>0</v>
      </c>
      <c r="M601" s="29">
        <v>0</v>
      </c>
      <c r="N601" s="29">
        <v>0</v>
      </c>
      <c r="O601" s="29">
        <v>0</v>
      </c>
    </row>
    <row r="602" spans="1:15" x14ac:dyDescent="0.3">
      <c r="A602" s="28" t="s">
        <v>575</v>
      </c>
      <c r="B602" s="28" t="s">
        <v>576</v>
      </c>
      <c r="C602" s="28" t="s">
        <v>559</v>
      </c>
      <c r="D602" s="28" t="s">
        <v>618</v>
      </c>
      <c r="E602" s="28" t="s">
        <v>614</v>
      </c>
      <c r="F602" s="28" t="s">
        <v>597</v>
      </c>
      <c r="G602" s="29">
        <v>116</v>
      </c>
      <c r="H602" s="29">
        <v>6</v>
      </c>
      <c r="I602" s="29">
        <v>0</v>
      </c>
      <c r="J602" s="29">
        <v>0</v>
      </c>
      <c r="K602" s="29">
        <v>0</v>
      </c>
      <c r="L602" s="29">
        <v>0</v>
      </c>
      <c r="M602" s="29">
        <v>0</v>
      </c>
      <c r="N602" s="29">
        <v>0</v>
      </c>
      <c r="O602" s="29">
        <v>0</v>
      </c>
    </row>
    <row r="603" spans="1:15" x14ac:dyDescent="0.3">
      <c r="A603" s="28" t="s">
        <v>575</v>
      </c>
      <c r="B603" s="28" t="s">
        <v>576</v>
      </c>
      <c r="C603" s="28" t="s">
        <v>559</v>
      </c>
      <c r="D603" s="28" t="s">
        <v>618</v>
      </c>
      <c r="E603" s="28" t="s">
        <v>614</v>
      </c>
      <c r="F603" s="28" t="s">
        <v>598</v>
      </c>
      <c r="G603" s="29">
        <v>63</v>
      </c>
      <c r="H603" s="29">
        <v>0</v>
      </c>
      <c r="I603" s="29">
        <v>0</v>
      </c>
      <c r="J603" s="29">
        <v>0</v>
      </c>
      <c r="K603" s="29">
        <v>0</v>
      </c>
      <c r="L603" s="29">
        <v>0</v>
      </c>
      <c r="M603" s="29">
        <v>0</v>
      </c>
      <c r="N603" s="29">
        <v>0</v>
      </c>
      <c r="O603" s="29">
        <v>0</v>
      </c>
    </row>
    <row r="604" spans="1:15" x14ac:dyDescent="0.3">
      <c r="A604" s="28" t="s">
        <v>575</v>
      </c>
      <c r="B604" s="28" t="s">
        <v>576</v>
      </c>
      <c r="C604" s="28" t="s">
        <v>559</v>
      </c>
      <c r="D604" s="28" t="s">
        <v>618</v>
      </c>
      <c r="E604" s="28" t="s">
        <v>614</v>
      </c>
      <c r="F604" s="28" t="s">
        <v>599</v>
      </c>
      <c r="G604" s="29">
        <v>59</v>
      </c>
      <c r="H604" s="29">
        <v>0</v>
      </c>
      <c r="I604" s="29">
        <v>0</v>
      </c>
      <c r="J604" s="29">
        <v>0</v>
      </c>
      <c r="K604" s="29">
        <v>0</v>
      </c>
      <c r="L604" s="29">
        <v>0</v>
      </c>
      <c r="M604" s="29">
        <v>0</v>
      </c>
      <c r="N604" s="29">
        <v>0</v>
      </c>
      <c r="O604" s="29">
        <v>0</v>
      </c>
    </row>
    <row r="605" spans="1:15" x14ac:dyDescent="0.3">
      <c r="A605" s="28" t="s">
        <v>575</v>
      </c>
      <c r="B605" s="28" t="s">
        <v>576</v>
      </c>
      <c r="C605" s="28" t="s">
        <v>559</v>
      </c>
      <c r="D605" s="28" t="s">
        <v>618</v>
      </c>
      <c r="E605" s="28" t="s">
        <v>614</v>
      </c>
      <c r="F605" s="28" t="s">
        <v>600</v>
      </c>
      <c r="G605" s="29">
        <v>110</v>
      </c>
      <c r="H605" s="29">
        <v>0</v>
      </c>
      <c r="I605" s="29">
        <v>0</v>
      </c>
      <c r="J605" s="29">
        <v>0</v>
      </c>
      <c r="K605" s="29">
        <v>0</v>
      </c>
      <c r="L605" s="29">
        <v>0</v>
      </c>
      <c r="M605" s="29">
        <v>0</v>
      </c>
      <c r="N605" s="29">
        <v>0</v>
      </c>
      <c r="O605" s="29">
        <v>0</v>
      </c>
    </row>
    <row r="606" spans="1:15" x14ac:dyDescent="0.3">
      <c r="A606" s="28" t="s">
        <v>575</v>
      </c>
      <c r="B606" s="28" t="s">
        <v>576</v>
      </c>
      <c r="C606" s="28" t="s">
        <v>559</v>
      </c>
      <c r="D606" s="28" t="s">
        <v>618</v>
      </c>
      <c r="E606" s="28" t="s">
        <v>614</v>
      </c>
      <c r="F606" s="28" t="s">
        <v>601</v>
      </c>
      <c r="G606" s="29">
        <v>69</v>
      </c>
      <c r="H606" s="29">
        <v>1</v>
      </c>
      <c r="I606" s="29">
        <v>0</v>
      </c>
      <c r="J606" s="29">
        <v>0</v>
      </c>
      <c r="K606" s="29">
        <v>0</v>
      </c>
      <c r="L606" s="29">
        <v>0</v>
      </c>
      <c r="M606" s="29">
        <v>0</v>
      </c>
      <c r="N606" s="29">
        <v>0</v>
      </c>
      <c r="O606" s="29">
        <v>0</v>
      </c>
    </row>
    <row r="607" spans="1:15" x14ac:dyDescent="0.3">
      <c r="A607" s="28" t="s">
        <v>575</v>
      </c>
      <c r="B607" s="28" t="s">
        <v>576</v>
      </c>
      <c r="C607" s="28" t="s">
        <v>559</v>
      </c>
      <c r="D607" s="28" t="s">
        <v>618</v>
      </c>
      <c r="E607" s="28" t="s">
        <v>614</v>
      </c>
      <c r="F607" s="28" t="s">
        <v>602</v>
      </c>
      <c r="G607" s="29">
        <v>106</v>
      </c>
      <c r="H607" s="29">
        <v>0</v>
      </c>
      <c r="I607" s="29">
        <v>0</v>
      </c>
      <c r="J607" s="29">
        <v>0</v>
      </c>
      <c r="K607" s="29">
        <v>0</v>
      </c>
      <c r="L607" s="29">
        <v>0</v>
      </c>
      <c r="M607" s="29">
        <v>0</v>
      </c>
      <c r="N607" s="29">
        <v>0</v>
      </c>
      <c r="O607" s="29">
        <v>0</v>
      </c>
    </row>
    <row r="608" spans="1:15" x14ac:dyDescent="0.3">
      <c r="A608" s="28" t="s">
        <v>575</v>
      </c>
      <c r="B608" s="28" t="s">
        <v>576</v>
      </c>
      <c r="C608" s="28" t="s">
        <v>559</v>
      </c>
      <c r="D608" s="28" t="s">
        <v>618</v>
      </c>
      <c r="E608" s="28" t="s">
        <v>614</v>
      </c>
      <c r="F608" s="28" t="s">
        <v>603</v>
      </c>
      <c r="G608" s="29">
        <v>617</v>
      </c>
      <c r="H608" s="29">
        <v>1</v>
      </c>
      <c r="I608" s="29">
        <v>0</v>
      </c>
      <c r="J608" s="29">
        <v>0</v>
      </c>
      <c r="K608" s="29">
        <v>0</v>
      </c>
      <c r="L608" s="29">
        <v>0</v>
      </c>
      <c r="M608" s="29">
        <v>0</v>
      </c>
      <c r="N608" s="29">
        <v>0</v>
      </c>
      <c r="O608" s="29">
        <v>0</v>
      </c>
    </row>
    <row r="609" spans="1:15" x14ac:dyDescent="0.3">
      <c r="A609" s="28" t="s">
        <v>575</v>
      </c>
      <c r="B609" s="28" t="s">
        <v>576</v>
      </c>
      <c r="C609" s="28" t="s">
        <v>559</v>
      </c>
      <c r="D609" s="28" t="s">
        <v>618</v>
      </c>
      <c r="E609" s="28" t="s">
        <v>614</v>
      </c>
      <c r="F609" s="28" t="s">
        <v>604</v>
      </c>
      <c r="G609" s="29">
        <v>570</v>
      </c>
      <c r="H609" s="29">
        <v>0</v>
      </c>
      <c r="I609" s="29">
        <v>1</v>
      </c>
      <c r="J609" s="29">
        <v>0</v>
      </c>
      <c r="K609" s="29">
        <v>1</v>
      </c>
      <c r="L609" s="29">
        <v>0</v>
      </c>
      <c r="M609" s="29">
        <v>0</v>
      </c>
      <c r="N609" s="29">
        <v>0</v>
      </c>
      <c r="O609" s="29">
        <v>0</v>
      </c>
    </row>
    <row r="610" spans="1:15" x14ac:dyDescent="0.3">
      <c r="A610" s="28" t="s">
        <v>575</v>
      </c>
      <c r="B610" s="28" t="s">
        <v>576</v>
      </c>
      <c r="C610" s="28" t="s">
        <v>559</v>
      </c>
      <c r="D610" s="28" t="s">
        <v>618</v>
      </c>
      <c r="E610" s="28" t="s">
        <v>614</v>
      </c>
      <c r="F610" s="28" t="s">
        <v>581</v>
      </c>
      <c r="G610" s="29">
        <v>167</v>
      </c>
      <c r="H610" s="29">
        <v>0</v>
      </c>
      <c r="I610" s="29">
        <v>1</v>
      </c>
      <c r="J610" s="29">
        <v>0</v>
      </c>
      <c r="K610" s="29">
        <v>1</v>
      </c>
      <c r="L610" s="29">
        <v>0</v>
      </c>
      <c r="M610" s="29">
        <v>0</v>
      </c>
      <c r="N610" s="29">
        <v>0</v>
      </c>
      <c r="O610" s="29">
        <v>0</v>
      </c>
    </row>
    <row r="611" spans="1:15" x14ac:dyDescent="0.3">
      <c r="A611" s="28" t="s">
        <v>575</v>
      </c>
      <c r="B611" s="28" t="s">
        <v>576</v>
      </c>
      <c r="C611" s="28" t="s">
        <v>559</v>
      </c>
      <c r="D611" s="28" t="s">
        <v>618</v>
      </c>
      <c r="E611" s="28" t="s">
        <v>614</v>
      </c>
      <c r="F611" s="28" t="s">
        <v>582</v>
      </c>
      <c r="G611" s="29">
        <v>195</v>
      </c>
      <c r="H611" s="29">
        <v>0</v>
      </c>
      <c r="I611" s="29">
        <v>0</v>
      </c>
      <c r="J611" s="29">
        <v>0</v>
      </c>
      <c r="K611" s="29">
        <v>0</v>
      </c>
      <c r="L611" s="29">
        <v>0</v>
      </c>
      <c r="M611" s="29">
        <v>0</v>
      </c>
      <c r="N611" s="29">
        <v>0</v>
      </c>
      <c r="O611" s="29">
        <v>0</v>
      </c>
    </row>
    <row r="612" spans="1:15" x14ac:dyDescent="0.3">
      <c r="A612" s="28" t="s">
        <v>575</v>
      </c>
      <c r="B612" s="28" t="s">
        <v>576</v>
      </c>
      <c r="C612" s="28" t="s">
        <v>559</v>
      </c>
      <c r="D612" s="28" t="s">
        <v>618</v>
      </c>
      <c r="E612" s="28" t="s">
        <v>614</v>
      </c>
      <c r="F612" s="28" t="s">
        <v>583</v>
      </c>
      <c r="G612" s="29">
        <v>176</v>
      </c>
      <c r="H612" s="29">
        <v>1</v>
      </c>
      <c r="I612" s="29">
        <v>0</v>
      </c>
      <c r="J612" s="29">
        <v>0</v>
      </c>
      <c r="K612" s="29">
        <v>0</v>
      </c>
      <c r="L612" s="29">
        <v>0</v>
      </c>
      <c r="M612" s="29">
        <v>0</v>
      </c>
      <c r="N612" s="29">
        <v>0</v>
      </c>
      <c r="O612" s="29">
        <v>0</v>
      </c>
    </row>
    <row r="613" spans="1:15" x14ac:dyDescent="0.3">
      <c r="A613" s="28" t="s">
        <v>575</v>
      </c>
      <c r="B613" s="28" t="s">
        <v>576</v>
      </c>
      <c r="C613" s="28" t="s">
        <v>559</v>
      </c>
      <c r="D613" s="28" t="s">
        <v>618</v>
      </c>
      <c r="E613" s="28" t="s">
        <v>614</v>
      </c>
      <c r="F613" s="28" t="s">
        <v>584</v>
      </c>
      <c r="G613" s="29">
        <v>175</v>
      </c>
      <c r="H613" s="29">
        <v>0</v>
      </c>
      <c r="I613" s="29">
        <v>0</v>
      </c>
      <c r="J613" s="29">
        <v>0</v>
      </c>
      <c r="K613" s="29">
        <v>0</v>
      </c>
      <c r="L613" s="29">
        <v>0</v>
      </c>
      <c r="M613" s="29">
        <v>0</v>
      </c>
      <c r="N613" s="29">
        <v>0</v>
      </c>
      <c r="O613" s="29">
        <v>0</v>
      </c>
    </row>
    <row r="614" spans="1:15" x14ac:dyDescent="0.3">
      <c r="A614" s="28" t="s">
        <v>575</v>
      </c>
      <c r="B614" s="28" t="s">
        <v>576</v>
      </c>
      <c r="C614" s="28" t="s">
        <v>559</v>
      </c>
      <c r="D614" s="28" t="s">
        <v>618</v>
      </c>
      <c r="E614" s="28" t="s">
        <v>614</v>
      </c>
      <c r="F614" s="28" t="s">
        <v>585</v>
      </c>
      <c r="G614" s="29">
        <v>183</v>
      </c>
      <c r="H614" s="29">
        <v>1</v>
      </c>
      <c r="I614" s="29">
        <v>4</v>
      </c>
      <c r="J614" s="29">
        <v>4</v>
      </c>
      <c r="K614" s="29">
        <v>0</v>
      </c>
      <c r="L614" s="29">
        <v>500</v>
      </c>
      <c r="M614" s="29">
        <v>500</v>
      </c>
      <c r="N614" s="29">
        <v>0</v>
      </c>
      <c r="O614" s="29">
        <v>0</v>
      </c>
    </row>
    <row r="615" spans="1:15" x14ac:dyDescent="0.3">
      <c r="A615" s="28" t="s">
        <v>575</v>
      </c>
      <c r="B615" s="28" t="s">
        <v>576</v>
      </c>
      <c r="C615" s="28" t="s">
        <v>559</v>
      </c>
      <c r="D615" s="28" t="s">
        <v>618</v>
      </c>
      <c r="E615" s="28" t="s">
        <v>614</v>
      </c>
      <c r="F615" s="28" t="s">
        <v>586</v>
      </c>
      <c r="G615" s="29">
        <v>184</v>
      </c>
      <c r="H615" s="29">
        <v>0</v>
      </c>
      <c r="I615" s="29">
        <v>0</v>
      </c>
      <c r="J615" s="29">
        <v>0</v>
      </c>
      <c r="K615" s="29">
        <v>0</v>
      </c>
      <c r="L615" s="29">
        <v>0</v>
      </c>
      <c r="M615" s="29">
        <v>0</v>
      </c>
      <c r="N615" s="29">
        <v>0</v>
      </c>
      <c r="O615" s="29">
        <v>0</v>
      </c>
    </row>
    <row r="616" spans="1:15" x14ac:dyDescent="0.3">
      <c r="A616" s="28" t="s">
        <v>575</v>
      </c>
      <c r="B616" s="28" t="s">
        <v>576</v>
      </c>
      <c r="C616" s="28" t="s">
        <v>559</v>
      </c>
      <c r="D616" s="28" t="s">
        <v>618</v>
      </c>
      <c r="E616" s="28" t="s">
        <v>614</v>
      </c>
      <c r="F616" s="28" t="s">
        <v>587</v>
      </c>
      <c r="G616" s="29">
        <v>182</v>
      </c>
      <c r="H616" s="29">
        <v>0</v>
      </c>
      <c r="I616" s="29">
        <v>0</v>
      </c>
      <c r="J616" s="29">
        <v>0</v>
      </c>
      <c r="K616" s="29">
        <v>0</v>
      </c>
      <c r="L616" s="29">
        <v>0</v>
      </c>
      <c r="M616" s="29">
        <v>0</v>
      </c>
      <c r="N616" s="29">
        <v>0</v>
      </c>
      <c r="O616" s="29">
        <v>0</v>
      </c>
    </row>
    <row r="617" spans="1:15" x14ac:dyDescent="0.3">
      <c r="A617" s="28" t="s">
        <v>575</v>
      </c>
      <c r="B617" s="28" t="s">
        <v>576</v>
      </c>
      <c r="C617" s="28" t="s">
        <v>559</v>
      </c>
      <c r="D617" s="28" t="s">
        <v>618</v>
      </c>
      <c r="E617" s="28" t="s">
        <v>614</v>
      </c>
      <c r="F617" s="28" t="s">
        <v>579</v>
      </c>
      <c r="G617" s="29">
        <v>165</v>
      </c>
      <c r="H617" s="29">
        <v>0</v>
      </c>
      <c r="I617" s="29">
        <v>0</v>
      </c>
      <c r="J617" s="29">
        <v>0</v>
      </c>
      <c r="K617" s="29">
        <v>0</v>
      </c>
      <c r="L617" s="29">
        <v>0</v>
      </c>
      <c r="M617" s="29">
        <v>0</v>
      </c>
      <c r="N617" s="29">
        <v>0</v>
      </c>
      <c r="O617" s="29">
        <v>0</v>
      </c>
    </row>
    <row r="618" spans="1:15" x14ac:dyDescent="0.3">
      <c r="A618" s="28" t="s">
        <v>575</v>
      </c>
      <c r="B618" s="28" t="s">
        <v>576</v>
      </c>
      <c r="C618" s="28" t="s">
        <v>559</v>
      </c>
      <c r="D618" s="28" t="s">
        <v>618</v>
      </c>
      <c r="E618" s="28" t="s">
        <v>614</v>
      </c>
      <c r="F618" s="28" t="s">
        <v>588</v>
      </c>
      <c r="G618" s="29">
        <v>173</v>
      </c>
      <c r="H618" s="29">
        <v>0</v>
      </c>
      <c r="I618" s="29">
        <v>0</v>
      </c>
      <c r="J618" s="29">
        <v>0</v>
      </c>
      <c r="K618" s="29">
        <v>0</v>
      </c>
      <c r="L618" s="29">
        <v>0</v>
      </c>
      <c r="M618" s="29">
        <v>0</v>
      </c>
      <c r="N618" s="29">
        <v>0</v>
      </c>
      <c r="O618" s="29">
        <v>0</v>
      </c>
    </row>
    <row r="619" spans="1:15" x14ac:dyDescent="0.3">
      <c r="A619" s="28" t="s">
        <v>575</v>
      </c>
      <c r="B619" s="28" t="s">
        <v>576</v>
      </c>
      <c r="C619" s="28" t="s">
        <v>559</v>
      </c>
      <c r="D619" s="28" t="s">
        <v>618</v>
      </c>
      <c r="E619" s="28" t="s">
        <v>614</v>
      </c>
      <c r="F619" s="28" t="s">
        <v>589</v>
      </c>
      <c r="G619" s="29">
        <v>167</v>
      </c>
      <c r="H619" s="29">
        <v>0</v>
      </c>
      <c r="I619" s="29">
        <v>0</v>
      </c>
      <c r="J619" s="29">
        <v>0</v>
      </c>
      <c r="K619" s="29">
        <v>0</v>
      </c>
      <c r="L619" s="29">
        <v>0</v>
      </c>
      <c r="M619" s="29">
        <v>0</v>
      </c>
      <c r="N619" s="29">
        <v>0</v>
      </c>
      <c r="O619" s="29">
        <v>0</v>
      </c>
    </row>
    <row r="620" spans="1:15" x14ac:dyDescent="0.3">
      <c r="A620" s="28" t="s">
        <v>575</v>
      </c>
      <c r="B620" s="28" t="s">
        <v>576</v>
      </c>
      <c r="C620" s="28" t="s">
        <v>559</v>
      </c>
      <c r="D620" s="28" t="s">
        <v>618</v>
      </c>
      <c r="E620" s="28" t="s">
        <v>614</v>
      </c>
      <c r="F620" s="28" t="s">
        <v>590</v>
      </c>
      <c r="G620" s="29">
        <v>190</v>
      </c>
      <c r="H620" s="29">
        <v>1</v>
      </c>
      <c r="I620" s="29">
        <v>0</v>
      </c>
      <c r="J620" s="29">
        <v>0</v>
      </c>
      <c r="K620" s="29">
        <v>0</v>
      </c>
      <c r="L620" s="29">
        <v>0</v>
      </c>
      <c r="M620" s="29">
        <v>0</v>
      </c>
      <c r="N620" s="29">
        <v>0</v>
      </c>
      <c r="O620" s="29">
        <v>0</v>
      </c>
    </row>
    <row r="621" spans="1:15" x14ac:dyDescent="0.3">
      <c r="A621" s="28" t="s">
        <v>575</v>
      </c>
      <c r="B621" s="28" t="s">
        <v>576</v>
      </c>
      <c r="C621" s="28" t="s">
        <v>559</v>
      </c>
      <c r="D621" s="28" t="s">
        <v>618</v>
      </c>
      <c r="E621" s="28" t="s">
        <v>614</v>
      </c>
      <c r="F621" s="28" t="s">
        <v>591</v>
      </c>
      <c r="G621" s="29">
        <v>174</v>
      </c>
      <c r="H621" s="29">
        <v>0</v>
      </c>
      <c r="I621" s="29">
        <v>1</v>
      </c>
      <c r="J621" s="29">
        <v>1</v>
      </c>
      <c r="K621" s="29">
        <v>0</v>
      </c>
      <c r="L621" s="29">
        <v>0</v>
      </c>
      <c r="M621" s="29">
        <v>0</v>
      </c>
      <c r="N621" s="29">
        <v>0</v>
      </c>
      <c r="O621" s="29">
        <v>0</v>
      </c>
    </row>
    <row r="622" spans="1:15" x14ac:dyDescent="0.3">
      <c r="A622" s="28" t="s">
        <v>575</v>
      </c>
      <c r="B622" s="28" t="s">
        <v>576</v>
      </c>
      <c r="C622" s="28" t="s">
        <v>559</v>
      </c>
      <c r="D622" s="28" t="s">
        <v>618</v>
      </c>
      <c r="E622" s="28" t="s">
        <v>614</v>
      </c>
      <c r="F622" s="28" t="s">
        <v>592</v>
      </c>
      <c r="G622" s="29">
        <v>237</v>
      </c>
      <c r="H622" s="29">
        <v>4</v>
      </c>
      <c r="I622" s="29">
        <v>0</v>
      </c>
      <c r="J622" s="29">
        <v>0</v>
      </c>
      <c r="K622" s="29">
        <v>0</v>
      </c>
      <c r="L622" s="29">
        <v>0</v>
      </c>
      <c r="M622" s="29">
        <v>0</v>
      </c>
      <c r="N622" s="29">
        <v>0</v>
      </c>
      <c r="O622" s="29">
        <v>0</v>
      </c>
    </row>
    <row r="623" spans="1:15" x14ac:dyDescent="0.3">
      <c r="A623" s="28" t="s">
        <v>575</v>
      </c>
      <c r="B623" s="28" t="s">
        <v>576</v>
      </c>
      <c r="C623" s="28" t="s">
        <v>559</v>
      </c>
      <c r="D623" s="28" t="s">
        <v>618</v>
      </c>
      <c r="E623" s="28" t="s">
        <v>614</v>
      </c>
      <c r="F623" s="28" t="s">
        <v>593</v>
      </c>
      <c r="G623" s="29">
        <v>96</v>
      </c>
      <c r="H623" s="29">
        <v>0</v>
      </c>
      <c r="I623" s="29">
        <v>0</v>
      </c>
      <c r="J623" s="29">
        <v>0</v>
      </c>
      <c r="K623" s="29">
        <v>0</v>
      </c>
      <c r="L623" s="29">
        <v>0</v>
      </c>
      <c r="M623" s="29">
        <v>0</v>
      </c>
      <c r="N623" s="29">
        <v>0</v>
      </c>
      <c r="O623" s="29">
        <v>0</v>
      </c>
    </row>
    <row r="624" spans="1:15" x14ac:dyDescent="0.3">
      <c r="A624" s="28" t="s">
        <v>575</v>
      </c>
      <c r="B624" s="28" t="s">
        <v>576</v>
      </c>
      <c r="C624" s="28" t="s">
        <v>559</v>
      </c>
      <c r="D624" s="28" t="s">
        <v>618</v>
      </c>
      <c r="E624" s="28" t="s">
        <v>614</v>
      </c>
      <c r="F624" s="28" t="s">
        <v>594</v>
      </c>
      <c r="G624" s="29">
        <v>116</v>
      </c>
      <c r="H624" s="29">
        <v>0</v>
      </c>
      <c r="I624" s="29">
        <v>1</v>
      </c>
      <c r="J624" s="29">
        <v>0</v>
      </c>
      <c r="K624" s="29">
        <v>1</v>
      </c>
      <c r="L624" s="29">
        <v>0</v>
      </c>
      <c r="M624" s="29">
        <v>0</v>
      </c>
      <c r="N624" s="29">
        <v>0</v>
      </c>
      <c r="O624" s="29">
        <v>0</v>
      </c>
    </row>
    <row r="625" spans="1:15" x14ac:dyDescent="0.3">
      <c r="A625" s="28" t="s">
        <v>575</v>
      </c>
      <c r="B625" s="28" t="s">
        <v>576</v>
      </c>
      <c r="C625" s="28" t="s">
        <v>559</v>
      </c>
      <c r="D625" s="28" t="s">
        <v>618</v>
      </c>
      <c r="E625" s="28" t="s">
        <v>614</v>
      </c>
      <c r="F625" s="28" t="s">
        <v>595</v>
      </c>
      <c r="G625" s="29">
        <v>102</v>
      </c>
      <c r="H625" s="29">
        <v>2</v>
      </c>
      <c r="I625" s="29">
        <v>0</v>
      </c>
      <c r="J625" s="29">
        <v>0</v>
      </c>
      <c r="K625" s="29">
        <v>0</v>
      </c>
      <c r="L625" s="29">
        <v>0</v>
      </c>
      <c r="M625" s="29">
        <v>0</v>
      </c>
      <c r="N625" s="29">
        <v>0</v>
      </c>
      <c r="O625" s="29">
        <v>0</v>
      </c>
    </row>
    <row r="626" spans="1:15" x14ac:dyDescent="0.3">
      <c r="A626" s="28" t="s">
        <v>575</v>
      </c>
      <c r="B626" s="28" t="s">
        <v>576</v>
      </c>
      <c r="C626" s="28" t="s">
        <v>559</v>
      </c>
      <c r="D626" s="28" t="s">
        <v>618</v>
      </c>
      <c r="E626" s="28" t="s">
        <v>615</v>
      </c>
      <c r="F626" s="28" t="s">
        <v>597</v>
      </c>
      <c r="G626" s="29">
        <v>102</v>
      </c>
      <c r="H626" s="29">
        <v>3</v>
      </c>
      <c r="I626" s="29">
        <v>0</v>
      </c>
      <c r="J626" s="29">
        <v>0</v>
      </c>
      <c r="K626" s="29">
        <v>0</v>
      </c>
      <c r="L626" s="29">
        <v>0</v>
      </c>
      <c r="M626" s="29">
        <v>0</v>
      </c>
      <c r="N626" s="29">
        <v>0</v>
      </c>
      <c r="O626" s="29">
        <v>0</v>
      </c>
    </row>
    <row r="627" spans="1:15" x14ac:dyDescent="0.3">
      <c r="A627" s="28" t="s">
        <v>575</v>
      </c>
      <c r="B627" s="28" t="s">
        <v>576</v>
      </c>
      <c r="C627" s="28" t="s">
        <v>559</v>
      </c>
      <c r="D627" s="28" t="s">
        <v>618</v>
      </c>
      <c r="E627" s="28" t="s">
        <v>615</v>
      </c>
      <c r="F627" s="28" t="s">
        <v>598</v>
      </c>
      <c r="G627" s="29">
        <v>94</v>
      </c>
      <c r="H627" s="29">
        <v>0</v>
      </c>
      <c r="I627" s="29">
        <v>0</v>
      </c>
      <c r="J627" s="29">
        <v>0</v>
      </c>
      <c r="K627" s="29">
        <v>0</v>
      </c>
      <c r="L627" s="29">
        <v>0</v>
      </c>
      <c r="M627" s="29">
        <v>0</v>
      </c>
      <c r="N627" s="29">
        <v>0</v>
      </c>
      <c r="O627" s="29">
        <v>0</v>
      </c>
    </row>
    <row r="628" spans="1:15" x14ac:dyDescent="0.3">
      <c r="A628" s="28" t="s">
        <v>575</v>
      </c>
      <c r="B628" s="28" t="s">
        <v>576</v>
      </c>
      <c r="C628" s="28" t="s">
        <v>559</v>
      </c>
      <c r="D628" s="28" t="s">
        <v>618</v>
      </c>
      <c r="E628" s="28" t="s">
        <v>615</v>
      </c>
      <c r="F628" s="28" t="s">
        <v>599</v>
      </c>
      <c r="G628" s="29">
        <v>63</v>
      </c>
      <c r="H628" s="29">
        <v>0</v>
      </c>
      <c r="I628" s="29">
        <v>0</v>
      </c>
      <c r="J628" s="29">
        <v>0</v>
      </c>
      <c r="K628" s="29">
        <v>0</v>
      </c>
      <c r="L628" s="29">
        <v>0</v>
      </c>
      <c r="M628" s="29">
        <v>0</v>
      </c>
      <c r="N628" s="29">
        <v>0</v>
      </c>
      <c r="O628" s="29">
        <v>0</v>
      </c>
    </row>
    <row r="629" spans="1:15" x14ac:dyDescent="0.3">
      <c r="A629" s="28" t="s">
        <v>575</v>
      </c>
      <c r="B629" s="28" t="s">
        <v>576</v>
      </c>
      <c r="C629" s="28" t="s">
        <v>559</v>
      </c>
      <c r="D629" s="28" t="s">
        <v>618</v>
      </c>
      <c r="E629" s="28" t="s">
        <v>615</v>
      </c>
      <c r="F629" s="28" t="s">
        <v>600</v>
      </c>
      <c r="G629" s="29">
        <v>50</v>
      </c>
      <c r="H629" s="29">
        <v>0</v>
      </c>
      <c r="I629" s="29">
        <v>0</v>
      </c>
      <c r="J629" s="29">
        <v>0</v>
      </c>
      <c r="K629" s="29">
        <v>0</v>
      </c>
      <c r="L629" s="29">
        <v>0</v>
      </c>
      <c r="M629" s="29">
        <v>0</v>
      </c>
      <c r="N629" s="29">
        <v>0</v>
      </c>
      <c r="O629" s="29">
        <v>0</v>
      </c>
    </row>
    <row r="630" spans="1:15" x14ac:dyDescent="0.3">
      <c r="A630" s="28" t="s">
        <v>575</v>
      </c>
      <c r="B630" s="28" t="s">
        <v>576</v>
      </c>
      <c r="C630" s="28" t="s">
        <v>559</v>
      </c>
      <c r="D630" s="28" t="s">
        <v>618</v>
      </c>
      <c r="E630" s="28" t="s">
        <v>615</v>
      </c>
      <c r="F630" s="28" t="s">
        <v>601</v>
      </c>
      <c r="G630" s="29">
        <v>51</v>
      </c>
      <c r="H630" s="29">
        <v>0</v>
      </c>
      <c r="I630" s="29">
        <v>0</v>
      </c>
      <c r="J630" s="29">
        <v>0</v>
      </c>
      <c r="K630" s="29">
        <v>0</v>
      </c>
      <c r="L630" s="29">
        <v>0</v>
      </c>
      <c r="M630" s="29">
        <v>0</v>
      </c>
      <c r="N630" s="29">
        <v>0</v>
      </c>
      <c r="O630" s="29">
        <v>0</v>
      </c>
    </row>
    <row r="631" spans="1:15" x14ac:dyDescent="0.3">
      <c r="A631" s="28" t="s">
        <v>575</v>
      </c>
      <c r="B631" s="28" t="s">
        <v>576</v>
      </c>
      <c r="C631" s="28" t="s">
        <v>559</v>
      </c>
      <c r="D631" s="28" t="s">
        <v>618</v>
      </c>
      <c r="E631" s="28" t="s">
        <v>615</v>
      </c>
      <c r="F631" s="28" t="s">
        <v>602</v>
      </c>
      <c r="G631" s="29">
        <v>85</v>
      </c>
      <c r="H631" s="29">
        <v>0</v>
      </c>
      <c r="I631" s="29">
        <v>0</v>
      </c>
      <c r="J631" s="29">
        <v>0</v>
      </c>
      <c r="K631" s="29">
        <v>0</v>
      </c>
      <c r="L631" s="29">
        <v>0</v>
      </c>
      <c r="M631" s="29">
        <v>0</v>
      </c>
      <c r="N631" s="29">
        <v>0</v>
      </c>
      <c r="O631" s="29">
        <v>0</v>
      </c>
    </row>
    <row r="632" spans="1:15" x14ac:dyDescent="0.3">
      <c r="A632" s="28" t="s">
        <v>575</v>
      </c>
      <c r="B632" s="28" t="s">
        <v>576</v>
      </c>
      <c r="C632" s="28" t="s">
        <v>559</v>
      </c>
      <c r="D632" s="28" t="s">
        <v>618</v>
      </c>
      <c r="E632" s="28" t="s">
        <v>615</v>
      </c>
      <c r="F632" s="28" t="s">
        <v>603</v>
      </c>
      <c r="G632" s="29">
        <v>170</v>
      </c>
      <c r="H632" s="29">
        <v>1</v>
      </c>
      <c r="I632" s="29">
        <v>2</v>
      </c>
      <c r="J632" s="29">
        <v>2</v>
      </c>
      <c r="K632" s="29">
        <v>0</v>
      </c>
      <c r="L632" s="29">
        <v>0</v>
      </c>
      <c r="M632" s="29">
        <v>0</v>
      </c>
      <c r="N632" s="29">
        <v>0</v>
      </c>
      <c r="O632" s="29">
        <v>0</v>
      </c>
    </row>
    <row r="633" spans="1:15" x14ac:dyDescent="0.3">
      <c r="A633" s="28" t="s">
        <v>575</v>
      </c>
      <c r="B633" s="28" t="s">
        <v>576</v>
      </c>
      <c r="C633" s="28" t="s">
        <v>559</v>
      </c>
      <c r="D633" s="28" t="s">
        <v>618</v>
      </c>
      <c r="E633" s="28" t="s">
        <v>615</v>
      </c>
      <c r="F633" s="28" t="s">
        <v>604</v>
      </c>
      <c r="G633" s="29">
        <v>228</v>
      </c>
      <c r="H633" s="29">
        <v>0</v>
      </c>
      <c r="I633" s="29">
        <v>0</v>
      </c>
      <c r="J633" s="29">
        <v>0</v>
      </c>
      <c r="K633" s="29">
        <v>0</v>
      </c>
      <c r="L633" s="29">
        <v>0</v>
      </c>
      <c r="M633" s="29">
        <v>0</v>
      </c>
      <c r="N633" s="29">
        <v>0</v>
      </c>
      <c r="O633" s="29">
        <v>0</v>
      </c>
    </row>
    <row r="634" spans="1:15" x14ac:dyDescent="0.3">
      <c r="A634" s="28" t="s">
        <v>575</v>
      </c>
      <c r="B634" s="28" t="s">
        <v>576</v>
      </c>
      <c r="C634" s="28" t="s">
        <v>559</v>
      </c>
      <c r="D634" s="28" t="s">
        <v>618</v>
      </c>
      <c r="E634" s="28" t="s">
        <v>615</v>
      </c>
      <c r="F634" s="28" t="s">
        <v>581</v>
      </c>
      <c r="G634" s="29">
        <v>169</v>
      </c>
      <c r="H634" s="29">
        <v>0</v>
      </c>
      <c r="I634" s="29">
        <v>0</v>
      </c>
      <c r="J634" s="29">
        <v>0</v>
      </c>
      <c r="K634" s="29">
        <v>0</v>
      </c>
      <c r="L634" s="29">
        <v>0</v>
      </c>
      <c r="M634" s="29">
        <v>0</v>
      </c>
      <c r="N634" s="29">
        <v>0</v>
      </c>
      <c r="O634" s="29">
        <v>0</v>
      </c>
    </row>
    <row r="635" spans="1:15" x14ac:dyDescent="0.3">
      <c r="A635" s="28" t="s">
        <v>575</v>
      </c>
      <c r="B635" s="28" t="s">
        <v>576</v>
      </c>
      <c r="C635" s="28" t="s">
        <v>559</v>
      </c>
      <c r="D635" s="28" t="s">
        <v>618</v>
      </c>
      <c r="E635" s="28" t="s">
        <v>615</v>
      </c>
      <c r="F635" s="28" t="s">
        <v>582</v>
      </c>
      <c r="G635" s="29">
        <v>129</v>
      </c>
      <c r="H635" s="29">
        <v>0</v>
      </c>
      <c r="I635" s="29">
        <v>0</v>
      </c>
      <c r="J635" s="29">
        <v>0</v>
      </c>
      <c r="K635" s="29">
        <v>0</v>
      </c>
      <c r="L635" s="29">
        <v>0</v>
      </c>
      <c r="M635" s="29">
        <v>0</v>
      </c>
      <c r="N635" s="29">
        <v>0</v>
      </c>
      <c r="O635" s="29">
        <v>0</v>
      </c>
    </row>
    <row r="636" spans="1:15" x14ac:dyDescent="0.3">
      <c r="A636" s="28" t="s">
        <v>575</v>
      </c>
      <c r="B636" s="28" t="s">
        <v>576</v>
      </c>
      <c r="C636" s="28" t="s">
        <v>559</v>
      </c>
      <c r="D636" s="28" t="s">
        <v>618</v>
      </c>
      <c r="E636" s="28" t="s">
        <v>615</v>
      </c>
      <c r="F636" s="28" t="s">
        <v>583</v>
      </c>
      <c r="G636" s="29">
        <v>107</v>
      </c>
      <c r="H636" s="29">
        <v>0</v>
      </c>
      <c r="I636" s="29">
        <v>0</v>
      </c>
      <c r="J636" s="29">
        <v>0</v>
      </c>
      <c r="K636" s="29">
        <v>0</v>
      </c>
      <c r="L636" s="29">
        <v>0</v>
      </c>
      <c r="M636" s="29">
        <v>0</v>
      </c>
      <c r="N636" s="29">
        <v>0</v>
      </c>
      <c r="O636" s="29">
        <v>0</v>
      </c>
    </row>
    <row r="637" spans="1:15" x14ac:dyDescent="0.3">
      <c r="A637" s="28" t="s">
        <v>575</v>
      </c>
      <c r="B637" s="28" t="s">
        <v>576</v>
      </c>
      <c r="C637" s="28" t="s">
        <v>559</v>
      </c>
      <c r="D637" s="28" t="s">
        <v>618</v>
      </c>
      <c r="E637" s="28" t="s">
        <v>615</v>
      </c>
      <c r="F637" s="28" t="s">
        <v>584</v>
      </c>
      <c r="G637" s="29">
        <v>105</v>
      </c>
      <c r="H637" s="29">
        <v>0</v>
      </c>
      <c r="I637" s="29">
        <v>0</v>
      </c>
      <c r="J637" s="29">
        <v>0</v>
      </c>
      <c r="K637" s="29">
        <v>0</v>
      </c>
      <c r="L637" s="29">
        <v>0</v>
      </c>
      <c r="M637" s="29">
        <v>0</v>
      </c>
      <c r="N637" s="29">
        <v>0</v>
      </c>
      <c r="O637" s="29">
        <v>0</v>
      </c>
    </row>
    <row r="638" spans="1:15" x14ac:dyDescent="0.3">
      <c r="A638" s="28" t="s">
        <v>575</v>
      </c>
      <c r="B638" s="28" t="s">
        <v>576</v>
      </c>
      <c r="C638" s="28" t="s">
        <v>559</v>
      </c>
      <c r="D638" s="28" t="s">
        <v>618</v>
      </c>
      <c r="E638" s="28" t="s">
        <v>615</v>
      </c>
      <c r="F638" s="28" t="s">
        <v>585</v>
      </c>
      <c r="G638" s="29">
        <v>102</v>
      </c>
      <c r="H638" s="29">
        <v>1</v>
      </c>
      <c r="I638" s="29">
        <v>0</v>
      </c>
      <c r="J638" s="29">
        <v>0</v>
      </c>
      <c r="K638" s="29">
        <v>0</v>
      </c>
      <c r="L638" s="29">
        <v>0</v>
      </c>
      <c r="M638" s="29">
        <v>0</v>
      </c>
      <c r="N638" s="29">
        <v>0</v>
      </c>
      <c r="O638" s="29">
        <v>0</v>
      </c>
    </row>
    <row r="639" spans="1:15" x14ac:dyDescent="0.3">
      <c r="A639" s="28" t="s">
        <v>575</v>
      </c>
      <c r="B639" s="28" t="s">
        <v>576</v>
      </c>
      <c r="C639" s="28" t="s">
        <v>559</v>
      </c>
      <c r="D639" s="28" t="s">
        <v>618</v>
      </c>
      <c r="E639" s="28" t="s">
        <v>615</v>
      </c>
      <c r="F639" s="28" t="s">
        <v>586</v>
      </c>
      <c r="G639" s="29">
        <v>113</v>
      </c>
      <c r="H639" s="29">
        <v>1</v>
      </c>
      <c r="I639" s="29">
        <v>0</v>
      </c>
      <c r="J639" s="29">
        <v>0</v>
      </c>
      <c r="K639" s="29">
        <v>0</v>
      </c>
      <c r="L639" s="29">
        <v>0</v>
      </c>
      <c r="M639" s="29">
        <v>0</v>
      </c>
      <c r="N639" s="29">
        <v>0</v>
      </c>
      <c r="O639" s="29">
        <v>0</v>
      </c>
    </row>
    <row r="640" spans="1:15" x14ac:dyDescent="0.3">
      <c r="A640" s="28" t="s">
        <v>575</v>
      </c>
      <c r="B640" s="28" t="s">
        <v>576</v>
      </c>
      <c r="C640" s="28" t="s">
        <v>559</v>
      </c>
      <c r="D640" s="28" t="s">
        <v>618</v>
      </c>
      <c r="E640" s="28" t="s">
        <v>615</v>
      </c>
      <c r="F640" s="28" t="s">
        <v>587</v>
      </c>
      <c r="G640" s="29">
        <v>107</v>
      </c>
      <c r="H640" s="29">
        <v>1</v>
      </c>
      <c r="I640" s="29">
        <v>0</v>
      </c>
      <c r="J640" s="29">
        <v>0</v>
      </c>
      <c r="K640" s="29">
        <v>0</v>
      </c>
      <c r="L640" s="29">
        <v>0</v>
      </c>
      <c r="M640" s="29">
        <v>0</v>
      </c>
      <c r="N640" s="29">
        <v>0</v>
      </c>
      <c r="O640" s="29">
        <v>0</v>
      </c>
    </row>
    <row r="641" spans="1:15" x14ac:dyDescent="0.3">
      <c r="A641" s="28" t="s">
        <v>575</v>
      </c>
      <c r="B641" s="28" t="s">
        <v>576</v>
      </c>
      <c r="C641" s="28" t="s">
        <v>559</v>
      </c>
      <c r="D641" s="28" t="s">
        <v>618</v>
      </c>
      <c r="E641" s="28" t="s">
        <v>615</v>
      </c>
      <c r="F641" s="28" t="s">
        <v>579</v>
      </c>
      <c r="G641" s="29">
        <v>124</v>
      </c>
      <c r="H641" s="29">
        <v>0</v>
      </c>
      <c r="I641" s="29">
        <v>0</v>
      </c>
      <c r="J641" s="29">
        <v>0</v>
      </c>
      <c r="K641" s="29">
        <v>0</v>
      </c>
      <c r="L641" s="29">
        <v>0</v>
      </c>
      <c r="M641" s="29">
        <v>0</v>
      </c>
      <c r="N641" s="29">
        <v>0</v>
      </c>
      <c r="O641" s="29">
        <v>0</v>
      </c>
    </row>
    <row r="642" spans="1:15" x14ac:dyDescent="0.3">
      <c r="A642" s="28" t="s">
        <v>575</v>
      </c>
      <c r="B642" s="28" t="s">
        <v>576</v>
      </c>
      <c r="C642" s="28" t="s">
        <v>559</v>
      </c>
      <c r="D642" s="28" t="s">
        <v>618</v>
      </c>
      <c r="E642" s="28" t="s">
        <v>615</v>
      </c>
      <c r="F642" s="28" t="s">
        <v>588</v>
      </c>
      <c r="G642" s="29">
        <v>106</v>
      </c>
      <c r="H642" s="29">
        <v>0</v>
      </c>
      <c r="I642" s="29">
        <v>0</v>
      </c>
      <c r="J642" s="29">
        <v>0</v>
      </c>
      <c r="K642" s="29">
        <v>0</v>
      </c>
      <c r="L642" s="29">
        <v>0</v>
      </c>
      <c r="M642" s="29">
        <v>0</v>
      </c>
      <c r="N642" s="29">
        <v>0</v>
      </c>
      <c r="O642" s="29">
        <v>0</v>
      </c>
    </row>
    <row r="643" spans="1:15" x14ac:dyDescent="0.3">
      <c r="A643" s="28" t="s">
        <v>575</v>
      </c>
      <c r="B643" s="28" t="s">
        <v>576</v>
      </c>
      <c r="C643" s="28" t="s">
        <v>559</v>
      </c>
      <c r="D643" s="28" t="s">
        <v>618</v>
      </c>
      <c r="E643" s="28" t="s">
        <v>615</v>
      </c>
      <c r="F643" s="28" t="s">
        <v>589</v>
      </c>
      <c r="G643" s="29">
        <v>117</v>
      </c>
      <c r="H643" s="29">
        <v>0</v>
      </c>
      <c r="I643" s="29">
        <v>0</v>
      </c>
      <c r="J643" s="29">
        <v>0</v>
      </c>
      <c r="K643" s="29">
        <v>0</v>
      </c>
      <c r="L643" s="29">
        <v>0</v>
      </c>
      <c r="M643" s="29">
        <v>0</v>
      </c>
      <c r="N643" s="29">
        <v>0</v>
      </c>
      <c r="O643" s="29">
        <v>0</v>
      </c>
    </row>
    <row r="644" spans="1:15" x14ac:dyDescent="0.3">
      <c r="A644" s="28" t="s">
        <v>575</v>
      </c>
      <c r="B644" s="28" t="s">
        <v>576</v>
      </c>
      <c r="C644" s="28" t="s">
        <v>559</v>
      </c>
      <c r="D644" s="28" t="s">
        <v>618</v>
      </c>
      <c r="E644" s="28" t="s">
        <v>615</v>
      </c>
      <c r="F644" s="28" t="s">
        <v>590</v>
      </c>
      <c r="G644" s="29">
        <v>114</v>
      </c>
      <c r="H644" s="29">
        <v>2</v>
      </c>
      <c r="I644" s="29">
        <v>0</v>
      </c>
      <c r="J644" s="29">
        <v>0</v>
      </c>
      <c r="K644" s="29">
        <v>0</v>
      </c>
      <c r="L644" s="29">
        <v>0</v>
      </c>
      <c r="M644" s="29">
        <v>0</v>
      </c>
      <c r="N644" s="29">
        <v>0</v>
      </c>
      <c r="O644" s="29">
        <v>0</v>
      </c>
    </row>
    <row r="645" spans="1:15" x14ac:dyDescent="0.3">
      <c r="A645" s="28" t="s">
        <v>575</v>
      </c>
      <c r="B645" s="28" t="s">
        <v>576</v>
      </c>
      <c r="C645" s="28" t="s">
        <v>559</v>
      </c>
      <c r="D645" s="28" t="s">
        <v>618</v>
      </c>
      <c r="E645" s="28" t="s">
        <v>615</v>
      </c>
      <c r="F645" s="28" t="s">
        <v>591</v>
      </c>
      <c r="G645" s="29">
        <v>110</v>
      </c>
      <c r="H645" s="29">
        <v>1</v>
      </c>
      <c r="I645" s="29">
        <v>0</v>
      </c>
      <c r="J645" s="29">
        <v>0</v>
      </c>
      <c r="K645" s="29">
        <v>0</v>
      </c>
      <c r="L645" s="29">
        <v>0</v>
      </c>
      <c r="M645" s="29">
        <v>0</v>
      </c>
      <c r="N645" s="29">
        <v>0</v>
      </c>
      <c r="O645" s="29">
        <v>0</v>
      </c>
    </row>
    <row r="646" spans="1:15" x14ac:dyDescent="0.3">
      <c r="A646" s="28" t="s">
        <v>575</v>
      </c>
      <c r="B646" s="28" t="s">
        <v>576</v>
      </c>
      <c r="C646" s="28" t="s">
        <v>559</v>
      </c>
      <c r="D646" s="28" t="s">
        <v>618</v>
      </c>
      <c r="E646" s="28" t="s">
        <v>615</v>
      </c>
      <c r="F646" s="28" t="s">
        <v>592</v>
      </c>
      <c r="G646" s="29">
        <v>158</v>
      </c>
      <c r="H646" s="29">
        <v>0</v>
      </c>
      <c r="I646" s="29">
        <v>1</v>
      </c>
      <c r="J646" s="29">
        <v>0</v>
      </c>
      <c r="K646" s="29">
        <v>1</v>
      </c>
      <c r="L646" s="29">
        <v>0</v>
      </c>
      <c r="M646" s="29">
        <v>0</v>
      </c>
      <c r="N646" s="29">
        <v>0</v>
      </c>
      <c r="O646" s="29">
        <v>0</v>
      </c>
    </row>
    <row r="647" spans="1:15" x14ac:dyDescent="0.3">
      <c r="A647" s="28" t="s">
        <v>575</v>
      </c>
      <c r="B647" s="28" t="s">
        <v>576</v>
      </c>
      <c r="C647" s="28" t="s">
        <v>559</v>
      </c>
      <c r="D647" s="28" t="s">
        <v>618</v>
      </c>
      <c r="E647" s="28" t="s">
        <v>615</v>
      </c>
      <c r="F647" s="28" t="s">
        <v>593</v>
      </c>
      <c r="G647" s="29">
        <v>63</v>
      </c>
      <c r="H647" s="29">
        <v>2</v>
      </c>
      <c r="I647" s="29">
        <v>1</v>
      </c>
      <c r="J647" s="29">
        <v>1</v>
      </c>
      <c r="K647" s="29">
        <v>0</v>
      </c>
      <c r="L647" s="29">
        <v>0</v>
      </c>
      <c r="M647" s="29">
        <v>0</v>
      </c>
      <c r="N647" s="29">
        <v>0</v>
      </c>
      <c r="O647" s="29">
        <v>0</v>
      </c>
    </row>
    <row r="648" spans="1:15" x14ac:dyDescent="0.3">
      <c r="A648" s="28" t="s">
        <v>575</v>
      </c>
      <c r="B648" s="28" t="s">
        <v>576</v>
      </c>
      <c r="C648" s="28" t="s">
        <v>559</v>
      </c>
      <c r="D648" s="28" t="s">
        <v>618</v>
      </c>
      <c r="E648" s="28" t="s">
        <v>615</v>
      </c>
      <c r="F648" s="28" t="s">
        <v>594</v>
      </c>
      <c r="G648" s="29">
        <v>135</v>
      </c>
      <c r="H648" s="29">
        <v>1</v>
      </c>
      <c r="I648" s="29">
        <v>0</v>
      </c>
      <c r="J648" s="29">
        <v>0</v>
      </c>
      <c r="K648" s="29">
        <v>0</v>
      </c>
      <c r="L648" s="29">
        <v>0</v>
      </c>
      <c r="M648" s="29">
        <v>0</v>
      </c>
      <c r="N648" s="29">
        <v>0</v>
      </c>
      <c r="O648" s="29">
        <v>0</v>
      </c>
    </row>
    <row r="649" spans="1:15" x14ac:dyDescent="0.3">
      <c r="A649" s="28" t="s">
        <v>575</v>
      </c>
      <c r="B649" s="28" t="s">
        <v>576</v>
      </c>
      <c r="C649" s="28" t="s">
        <v>559</v>
      </c>
      <c r="D649" s="28" t="s">
        <v>618</v>
      </c>
      <c r="E649" s="28" t="s">
        <v>615</v>
      </c>
      <c r="F649" s="28" t="s">
        <v>595</v>
      </c>
      <c r="G649" s="29">
        <v>126</v>
      </c>
      <c r="H649" s="29">
        <v>0</v>
      </c>
      <c r="I649" s="29">
        <v>0</v>
      </c>
      <c r="J649" s="29">
        <v>0</v>
      </c>
      <c r="K649" s="29">
        <v>0</v>
      </c>
      <c r="L649" s="29">
        <v>0</v>
      </c>
      <c r="M649" s="29">
        <v>0</v>
      </c>
      <c r="N649" s="29">
        <v>0</v>
      </c>
      <c r="O649" s="29">
        <v>0</v>
      </c>
    </row>
    <row r="650" spans="1:15" x14ac:dyDescent="0.3">
      <c r="A650" s="28" t="s">
        <v>575</v>
      </c>
      <c r="B650" s="28" t="s">
        <v>576</v>
      </c>
      <c r="C650" s="28" t="s">
        <v>559</v>
      </c>
      <c r="D650" s="28" t="s">
        <v>618</v>
      </c>
      <c r="E650" s="28" t="s">
        <v>616</v>
      </c>
      <c r="F650" s="28" t="s">
        <v>597</v>
      </c>
      <c r="G650" s="29">
        <v>114</v>
      </c>
      <c r="H650" s="29">
        <v>0</v>
      </c>
      <c r="I650" s="29">
        <v>0</v>
      </c>
      <c r="J650" s="29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0</v>
      </c>
    </row>
    <row r="651" spans="1:15" x14ac:dyDescent="0.3">
      <c r="A651" s="28" t="s">
        <v>575</v>
      </c>
      <c r="B651" s="28" t="s">
        <v>576</v>
      </c>
      <c r="C651" s="28" t="s">
        <v>559</v>
      </c>
      <c r="D651" s="28" t="s">
        <v>618</v>
      </c>
      <c r="E651" s="28" t="s">
        <v>616</v>
      </c>
      <c r="F651" s="28" t="s">
        <v>598</v>
      </c>
      <c r="G651" s="29">
        <v>74</v>
      </c>
      <c r="H651" s="29">
        <v>1</v>
      </c>
      <c r="I651" s="29">
        <v>0</v>
      </c>
      <c r="J651" s="29">
        <v>0</v>
      </c>
      <c r="K651" s="29">
        <v>0</v>
      </c>
      <c r="L651" s="29">
        <v>0</v>
      </c>
      <c r="M651" s="29">
        <v>0</v>
      </c>
      <c r="N651" s="29">
        <v>0</v>
      </c>
      <c r="O651" s="29">
        <v>0</v>
      </c>
    </row>
    <row r="652" spans="1:15" x14ac:dyDescent="0.3">
      <c r="A652" s="28" t="s">
        <v>575</v>
      </c>
      <c r="B652" s="28" t="s">
        <v>576</v>
      </c>
      <c r="C652" s="28" t="s">
        <v>559</v>
      </c>
      <c r="D652" s="28" t="s">
        <v>618</v>
      </c>
      <c r="E652" s="28" t="s">
        <v>616</v>
      </c>
      <c r="F652" s="28" t="s">
        <v>599</v>
      </c>
      <c r="G652" s="29">
        <v>65</v>
      </c>
      <c r="H652" s="29">
        <v>0</v>
      </c>
      <c r="I652" s="29">
        <v>0</v>
      </c>
      <c r="J652" s="29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0</v>
      </c>
    </row>
    <row r="653" spans="1:15" x14ac:dyDescent="0.3">
      <c r="A653" s="28" t="s">
        <v>575</v>
      </c>
      <c r="B653" s="28" t="s">
        <v>576</v>
      </c>
      <c r="C653" s="28" t="s">
        <v>559</v>
      </c>
      <c r="D653" s="28" t="s">
        <v>618</v>
      </c>
      <c r="E653" s="28" t="s">
        <v>616</v>
      </c>
      <c r="F653" s="28" t="s">
        <v>600</v>
      </c>
      <c r="G653" s="29">
        <v>44</v>
      </c>
      <c r="H653" s="29">
        <v>0</v>
      </c>
      <c r="I653" s="29">
        <v>0</v>
      </c>
      <c r="J653" s="29">
        <v>0</v>
      </c>
      <c r="K653" s="29">
        <v>0</v>
      </c>
      <c r="L653" s="29">
        <v>0</v>
      </c>
      <c r="M653" s="29">
        <v>0</v>
      </c>
      <c r="N653" s="29">
        <v>0</v>
      </c>
      <c r="O653" s="29">
        <v>0</v>
      </c>
    </row>
    <row r="654" spans="1:15" x14ac:dyDescent="0.3">
      <c r="A654" s="28" t="s">
        <v>575</v>
      </c>
      <c r="B654" s="28" t="s">
        <v>576</v>
      </c>
      <c r="C654" s="28" t="s">
        <v>559</v>
      </c>
      <c r="D654" s="28" t="s">
        <v>618</v>
      </c>
      <c r="E654" s="28" t="s">
        <v>616</v>
      </c>
      <c r="F654" s="28" t="s">
        <v>601</v>
      </c>
      <c r="G654" s="29">
        <v>49</v>
      </c>
      <c r="H654" s="29">
        <v>0</v>
      </c>
      <c r="I654" s="29">
        <v>0</v>
      </c>
      <c r="J654" s="29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0</v>
      </c>
    </row>
    <row r="655" spans="1:15" x14ac:dyDescent="0.3">
      <c r="A655" s="28" t="s">
        <v>575</v>
      </c>
      <c r="B655" s="28" t="s">
        <v>576</v>
      </c>
      <c r="C655" s="28" t="s">
        <v>559</v>
      </c>
      <c r="D655" s="28" t="s">
        <v>618</v>
      </c>
      <c r="E655" s="28" t="s">
        <v>616</v>
      </c>
      <c r="F655" s="28" t="s">
        <v>602</v>
      </c>
      <c r="G655" s="29">
        <v>85</v>
      </c>
      <c r="H655" s="29">
        <v>0</v>
      </c>
      <c r="I655" s="29">
        <v>0</v>
      </c>
      <c r="J655" s="29">
        <v>0</v>
      </c>
      <c r="K655" s="29">
        <v>0</v>
      </c>
      <c r="L655" s="29">
        <v>0</v>
      </c>
      <c r="M655" s="29">
        <v>0</v>
      </c>
      <c r="N655" s="29">
        <v>0</v>
      </c>
      <c r="O655" s="29">
        <v>0</v>
      </c>
    </row>
    <row r="656" spans="1:15" x14ac:dyDescent="0.3">
      <c r="A656" s="28" t="s">
        <v>575</v>
      </c>
      <c r="B656" s="28" t="s">
        <v>576</v>
      </c>
      <c r="C656" s="28" t="s">
        <v>559</v>
      </c>
      <c r="D656" s="28" t="s">
        <v>618</v>
      </c>
      <c r="E656" s="28" t="s">
        <v>616</v>
      </c>
      <c r="F656" s="28" t="s">
        <v>603</v>
      </c>
      <c r="G656" s="29">
        <v>215</v>
      </c>
      <c r="H656" s="29">
        <v>0</v>
      </c>
      <c r="I656" s="29">
        <v>2</v>
      </c>
      <c r="J656" s="29">
        <v>0</v>
      </c>
      <c r="K656" s="29">
        <v>2</v>
      </c>
      <c r="L656" s="29">
        <v>0</v>
      </c>
      <c r="M656" s="29">
        <v>0</v>
      </c>
      <c r="N656" s="29">
        <v>0</v>
      </c>
      <c r="O656" s="29">
        <v>0</v>
      </c>
    </row>
    <row r="657" spans="1:15" x14ac:dyDescent="0.3">
      <c r="A657" s="28" t="s">
        <v>575</v>
      </c>
      <c r="B657" s="28" t="s">
        <v>576</v>
      </c>
      <c r="C657" s="28" t="s">
        <v>559</v>
      </c>
      <c r="D657" s="28" t="s">
        <v>618</v>
      </c>
      <c r="E657" s="28" t="s">
        <v>616</v>
      </c>
      <c r="F657" s="28" t="s">
        <v>604</v>
      </c>
      <c r="G657" s="29">
        <v>434</v>
      </c>
      <c r="H657" s="29">
        <v>2</v>
      </c>
      <c r="I657" s="29">
        <v>1</v>
      </c>
      <c r="J657" s="29">
        <v>1</v>
      </c>
      <c r="K657" s="29">
        <v>0</v>
      </c>
      <c r="L657" s="29">
        <v>0</v>
      </c>
      <c r="M657" s="29">
        <v>0</v>
      </c>
      <c r="N657" s="29">
        <v>0</v>
      </c>
      <c r="O657" s="29">
        <v>0</v>
      </c>
    </row>
    <row r="658" spans="1:15" x14ac:dyDescent="0.3">
      <c r="A658" s="28" t="s">
        <v>575</v>
      </c>
      <c r="B658" s="28" t="s">
        <v>576</v>
      </c>
      <c r="C658" s="28" t="s">
        <v>559</v>
      </c>
      <c r="D658" s="28" t="s">
        <v>618</v>
      </c>
      <c r="E658" s="28" t="s">
        <v>616</v>
      </c>
      <c r="F658" s="28" t="s">
        <v>581</v>
      </c>
      <c r="G658" s="29">
        <v>140</v>
      </c>
      <c r="H658" s="29">
        <v>1</v>
      </c>
      <c r="I658" s="29">
        <v>0</v>
      </c>
      <c r="J658" s="29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0</v>
      </c>
    </row>
    <row r="659" spans="1:15" x14ac:dyDescent="0.3">
      <c r="A659" s="28" t="s">
        <v>575</v>
      </c>
      <c r="B659" s="28" t="s">
        <v>576</v>
      </c>
      <c r="C659" s="28" t="s">
        <v>559</v>
      </c>
      <c r="D659" s="28" t="s">
        <v>618</v>
      </c>
      <c r="E659" s="28" t="s">
        <v>616</v>
      </c>
      <c r="F659" s="28" t="s">
        <v>582</v>
      </c>
      <c r="G659" s="29">
        <v>134</v>
      </c>
      <c r="H659" s="29">
        <v>0</v>
      </c>
      <c r="I659" s="29">
        <v>0</v>
      </c>
      <c r="J659" s="29">
        <v>0</v>
      </c>
      <c r="K659" s="29">
        <v>0</v>
      </c>
      <c r="L659" s="29">
        <v>0</v>
      </c>
      <c r="M659" s="29">
        <v>0</v>
      </c>
      <c r="N659" s="29">
        <v>0</v>
      </c>
      <c r="O659" s="29">
        <v>0</v>
      </c>
    </row>
    <row r="660" spans="1:15" x14ac:dyDescent="0.3">
      <c r="A660" s="28" t="s">
        <v>575</v>
      </c>
      <c r="B660" s="28" t="s">
        <v>576</v>
      </c>
      <c r="C660" s="28" t="s">
        <v>559</v>
      </c>
      <c r="D660" s="28" t="s">
        <v>618</v>
      </c>
      <c r="E660" s="28" t="s">
        <v>616</v>
      </c>
      <c r="F660" s="28" t="s">
        <v>583</v>
      </c>
      <c r="G660" s="29">
        <v>131</v>
      </c>
      <c r="H660" s="29">
        <v>0</v>
      </c>
      <c r="I660" s="29">
        <v>0</v>
      </c>
      <c r="J660" s="29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0</v>
      </c>
    </row>
    <row r="661" spans="1:15" x14ac:dyDescent="0.3">
      <c r="A661" s="28" t="s">
        <v>575</v>
      </c>
      <c r="B661" s="28" t="s">
        <v>576</v>
      </c>
      <c r="C661" s="28" t="s">
        <v>559</v>
      </c>
      <c r="D661" s="28" t="s">
        <v>618</v>
      </c>
      <c r="E661" s="28" t="s">
        <v>616</v>
      </c>
      <c r="F661" s="28" t="s">
        <v>584</v>
      </c>
      <c r="G661" s="29">
        <v>133</v>
      </c>
      <c r="H661" s="29">
        <v>2</v>
      </c>
      <c r="I661" s="29">
        <v>0</v>
      </c>
      <c r="J661" s="29">
        <v>0</v>
      </c>
      <c r="K661" s="29">
        <v>0</v>
      </c>
      <c r="L661" s="29">
        <v>0</v>
      </c>
      <c r="M661" s="29">
        <v>0</v>
      </c>
      <c r="N661" s="29">
        <v>0</v>
      </c>
      <c r="O661" s="29">
        <v>0</v>
      </c>
    </row>
    <row r="662" spans="1:15" x14ac:dyDescent="0.3">
      <c r="A662" s="28" t="s">
        <v>575</v>
      </c>
      <c r="B662" s="28" t="s">
        <v>576</v>
      </c>
      <c r="C662" s="28" t="s">
        <v>559</v>
      </c>
      <c r="D662" s="28" t="s">
        <v>618</v>
      </c>
      <c r="E662" s="28" t="s">
        <v>616</v>
      </c>
      <c r="F662" s="28" t="s">
        <v>585</v>
      </c>
      <c r="G662" s="29">
        <v>137</v>
      </c>
      <c r="H662" s="29">
        <v>1</v>
      </c>
      <c r="I662" s="29">
        <v>0</v>
      </c>
      <c r="J662" s="29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0</v>
      </c>
    </row>
    <row r="663" spans="1:15" x14ac:dyDescent="0.3">
      <c r="A663" s="28" t="s">
        <v>575</v>
      </c>
      <c r="B663" s="28" t="s">
        <v>576</v>
      </c>
      <c r="C663" s="28" t="s">
        <v>559</v>
      </c>
      <c r="D663" s="28" t="s">
        <v>618</v>
      </c>
      <c r="E663" s="28" t="s">
        <v>616</v>
      </c>
      <c r="F663" s="28" t="s">
        <v>586</v>
      </c>
      <c r="G663" s="29">
        <v>135</v>
      </c>
      <c r="H663" s="29">
        <v>0</v>
      </c>
      <c r="I663" s="29">
        <v>0</v>
      </c>
      <c r="J663" s="29">
        <v>0</v>
      </c>
      <c r="K663" s="29">
        <v>0</v>
      </c>
      <c r="L663" s="29">
        <v>0</v>
      </c>
      <c r="M663" s="29">
        <v>0</v>
      </c>
      <c r="N663" s="29">
        <v>0</v>
      </c>
      <c r="O663" s="29">
        <v>0</v>
      </c>
    </row>
    <row r="664" spans="1:15" x14ac:dyDescent="0.3">
      <c r="A664" s="28" t="s">
        <v>575</v>
      </c>
      <c r="B664" s="28" t="s">
        <v>576</v>
      </c>
      <c r="C664" s="28" t="s">
        <v>559</v>
      </c>
      <c r="D664" s="28" t="s">
        <v>618</v>
      </c>
      <c r="E664" s="28" t="s">
        <v>616</v>
      </c>
      <c r="F664" s="28" t="s">
        <v>587</v>
      </c>
      <c r="G664" s="29">
        <v>129</v>
      </c>
      <c r="H664" s="29">
        <v>0</v>
      </c>
      <c r="I664" s="29">
        <v>1</v>
      </c>
      <c r="J664" s="29">
        <v>0</v>
      </c>
      <c r="K664" s="29">
        <v>1</v>
      </c>
      <c r="L664" s="29">
        <v>0</v>
      </c>
      <c r="M664" s="29">
        <v>0</v>
      </c>
      <c r="N664" s="29">
        <v>0</v>
      </c>
      <c r="O664" s="29">
        <v>0</v>
      </c>
    </row>
    <row r="665" spans="1:15" x14ac:dyDescent="0.3">
      <c r="A665" s="28" t="s">
        <v>575</v>
      </c>
      <c r="B665" s="28" t="s">
        <v>576</v>
      </c>
      <c r="C665" s="28" t="s">
        <v>559</v>
      </c>
      <c r="D665" s="28" t="s">
        <v>618</v>
      </c>
      <c r="E665" s="28" t="s">
        <v>616</v>
      </c>
      <c r="F665" s="28" t="s">
        <v>579</v>
      </c>
      <c r="G665" s="29">
        <v>130</v>
      </c>
      <c r="H665" s="29">
        <v>0</v>
      </c>
      <c r="I665" s="29">
        <v>0</v>
      </c>
      <c r="J665" s="29">
        <v>0</v>
      </c>
      <c r="K665" s="29">
        <v>0</v>
      </c>
      <c r="L665" s="29">
        <v>0</v>
      </c>
      <c r="M665" s="29">
        <v>0</v>
      </c>
      <c r="N665" s="29">
        <v>0</v>
      </c>
      <c r="O665" s="29">
        <v>0</v>
      </c>
    </row>
    <row r="666" spans="1:15" x14ac:dyDescent="0.3">
      <c r="A666" s="28" t="s">
        <v>575</v>
      </c>
      <c r="B666" s="28" t="s">
        <v>576</v>
      </c>
      <c r="C666" s="28" t="s">
        <v>559</v>
      </c>
      <c r="D666" s="28" t="s">
        <v>618</v>
      </c>
      <c r="E666" s="28" t="s">
        <v>616</v>
      </c>
      <c r="F666" s="28" t="s">
        <v>588</v>
      </c>
      <c r="G666" s="29">
        <v>137</v>
      </c>
      <c r="H666" s="29">
        <v>0</v>
      </c>
      <c r="I666" s="29">
        <v>0</v>
      </c>
      <c r="J666" s="29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0</v>
      </c>
    </row>
    <row r="667" spans="1:15" x14ac:dyDescent="0.3">
      <c r="A667" s="28" t="s">
        <v>575</v>
      </c>
      <c r="B667" s="28" t="s">
        <v>576</v>
      </c>
      <c r="C667" s="28" t="s">
        <v>559</v>
      </c>
      <c r="D667" s="28" t="s">
        <v>618</v>
      </c>
      <c r="E667" s="28" t="s">
        <v>616</v>
      </c>
      <c r="F667" s="28" t="s">
        <v>589</v>
      </c>
      <c r="G667" s="29">
        <v>124</v>
      </c>
      <c r="H667" s="29">
        <v>1</v>
      </c>
      <c r="I667" s="29">
        <v>0</v>
      </c>
      <c r="J667" s="29">
        <v>0</v>
      </c>
      <c r="K667" s="29">
        <v>0</v>
      </c>
      <c r="L667" s="29">
        <v>0</v>
      </c>
      <c r="M667" s="29">
        <v>0</v>
      </c>
      <c r="N667" s="29">
        <v>0</v>
      </c>
      <c r="O667" s="29">
        <v>0</v>
      </c>
    </row>
    <row r="668" spans="1:15" x14ac:dyDescent="0.3">
      <c r="A668" s="28" t="s">
        <v>575</v>
      </c>
      <c r="B668" s="28" t="s">
        <v>576</v>
      </c>
      <c r="C668" s="28" t="s">
        <v>559</v>
      </c>
      <c r="D668" s="28" t="s">
        <v>618</v>
      </c>
      <c r="E668" s="28" t="s">
        <v>616</v>
      </c>
      <c r="F668" s="28" t="s">
        <v>590</v>
      </c>
      <c r="G668" s="29">
        <v>129</v>
      </c>
      <c r="H668" s="29">
        <v>1</v>
      </c>
      <c r="I668" s="29">
        <v>0</v>
      </c>
      <c r="J668" s="29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0</v>
      </c>
    </row>
    <row r="669" spans="1:15" x14ac:dyDescent="0.3">
      <c r="A669" s="28" t="s">
        <v>575</v>
      </c>
      <c r="B669" s="28" t="s">
        <v>576</v>
      </c>
      <c r="C669" s="28" t="s">
        <v>559</v>
      </c>
      <c r="D669" s="28" t="s">
        <v>618</v>
      </c>
      <c r="E669" s="28" t="s">
        <v>616</v>
      </c>
      <c r="F669" s="28" t="s">
        <v>591</v>
      </c>
      <c r="G669" s="29">
        <v>138</v>
      </c>
      <c r="H669" s="29">
        <v>2</v>
      </c>
      <c r="I669" s="29">
        <v>2</v>
      </c>
      <c r="J669" s="29">
        <v>0</v>
      </c>
      <c r="K669" s="29">
        <v>2</v>
      </c>
      <c r="L669" s="29">
        <v>1000</v>
      </c>
      <c r="M669" s="29">
        <v>0</v>
      </c>
      <c r="N669" s="29">
        <v>1000</v>
      </c>
      <c r="O669" s="29">
        <v>0</v>
      </c>
    </row>
    <row r="670" spans="1:15" x14ac:dyDescent="0.3">
      <c r="A670" s="28" t="s">
        <v>575</v>
      </c>
      <c r="B670" s="28" t="s">
        <v>576</v>
      </c>
      <c r="C670" s="28" t="s">
        <v>559</v>
      </c>
      <c r="D670" s="28" t="s">
        <v>618</v>
      </c>
      <c r="E670" s="28" t="s">
        <v>616</v>
      </c>
      <c r="F670" s="28" t="s">
        <v>592</v>
      </c>
      <c r="G670" s="29">
        <v>192</v>
      </c>
      <c r="H670" s="29">
        <v>1</v>
      </c>
      <c r="I670" s="29">
        <v>2</v>
      </c>
      <c r="J670" s="29">
        <v>2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</row>
    <row r="671" spans="1:15" x14ac:dyDescent="0.3">
      <c r="A671" s="28" t="s">
        <v>575</v>
      </c>
      <c r="B671" s="28" t="s">
        <v>576</v>
      </c>
      <c r="C671" s="28" t="s">
        <v>559</v>
      </c>
      <c r="D671" s="28" t="s">
        <v>618</v>
      </c>
      <c r="E671" s="28" t="s">
        <v>616</v>
      </c>
      <c r="F671" s="28" t="s">
        <v>593</v>
      </c>
      <c r="G671" s="29">
        <v>79</v>
      </c>
      <c r="H671" s="29">
        <v>1</v>
      </c>
      <c r="I671" s="29">
        <v>0</v>
      </c>
      <c r="J671" s="29">
        <v>0</v>
      </c>
      <c r="K671" s="29">
        <v>0</v>
      </c>
      <c r="L671" s="29">
        <v>0</v>
      </c>
      <c r="M671" s="29">
        <v>0</v>
      </c>
      <c r="N671" s="29">
        <v>0</v>
      </c>
      <c r="O671" s="29">
        <v>0</v>
      </c>
    </row>
    <row r="672" spans="1:15" x14ac:dyDescent="0.3">
      <c r="A672" s="28" t="s">
        <v>575</v>
      </c>
      <c r="B672" s="28" t="s">
        <v>576</v>
      </c>
      <c r="C672" s="28" t="s">
        <v>559</v>
      </c>
      <c r="D672" s="28" t="s">
        <v>618</v>
      </c>
      <c r="E672" s="28" t="s">
        <v>616</v>
      </c>
      <c r="F672" s="28" t="s">
        <v>594</v>
      </c>
      <c r="G672" s="29">
        <v>180</v>
      </c>
      <c r="H672" s="29">
        <v>0</v>
      </c>
      <c r="I672" s="29">
        <v>0</v>
      </c>
      <c r="J672" s="29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</row>
    <row r="673" spans="1:15" x14ac:dyDescent="0.3">
      <c r="A673" s="28" t="s">
        <v>575</v>
      </c>
      <c r="B673" s="28" t="s">
        <v>576</v>
      </c>
      <c r="C673" s="28" t="s">
        <v>559</v>
      </c>
      <c r="D673" s="28" t="s">
        <v>618</v>
      </c>
      <c r="E673" s="28" t="s">
        <v>616</v>
      </c>
      <c r="F673" s="28" t="s">
        <v>595</v>
      </c>
      <c r="G673" s="29">
        <v>154</v>
      </c>
      <c r="H673" s="29">
        <v>0</v>
      </c>
      <c r="I673" s="29">
        <v>0</v>
      </c>
      <c r="J673" s="29">
        <v>0</v>
      </c>
      <c r="K673" s="29">
        <v>0</v>
      </c>
      <c r="L673" s="29">
        <v>0</v>
      </c>
      <c r="M673" s="29">
        <v>0</v>
      </c>
      <c r="N673" s="29">
        <v>0</v>
      </c>
      <c r="O673" s="29">
        <v>0</v>
      </c>
    </row>
    <row r="674" spans="1:15" x14ac:dyDescent="0.3">
      <c r="A674" s="28" t="s">
        <v>575</v>
      </c>
      <c r="B674" s="28" t="s">
        <v>576</v>
      </c>
      <c r="C674" s="28" t="s">
        <v>559</v>
      </c>
      <c r="D674" s="28" t="s">
        <v>618</v>
      </c>
      <c r="E674" s="28" t="s">
        <v>617</v>
      </c>
      <c r="F674" s="28" t="s">
        <v>597</v>
      </c>
      <c r="G674" s="29">
        <v>95</v>
      </c>
      <c r="H674" s="29">
        <v>0</v>
      </c>
      <c r="I674" s="29">
        <v>0</v>
      </c>
      <c r="J674" s="29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</row>
    <row r="675" spans="1:15" x14ac:dyDescent="0.3">
      <c r="A675" s="28" t="s">
        <v>575</v>
      </c>
      <c r="B675" s="28" t="s">
        <v>576</v>
      </c>
      <c r="C675" s="28" t="s">
        <v>559</v>
      </c>
      <c r="D675" s="28" t="s">
        <v>618</v>
      </c>
      <c r="E675" s="28" t="s">
        <v>617</v>
      </c>
      <c r="F675" s="28" t="s">
        <v>598</v>
      </c>
      <c r="G675" s="29">
        <v>58</v>
      </c>
      <c r="H675" s="29">
        <v>0</v>
      </c>
      <c r="I675" s="29">
        <v>0</v>
      </c>
      <c r="J675" s="29">
        <v>0</v>
      </c>
      <c r="K675" s="29">
        <v>0</v>
      </c>
      <c r="L675" s="29">
        <v>0</v>
      </c>
      <c r="M675" s="29">
        <v>0</v>
      </c>
      <c r="N675" s="29">
        <v>0</v>
      </c>
      <c r="O675" s="29">
        <v>0</v>
      </c>
    </row>
    <row r="676" spans="1:15" x14ac:dyDescent="0.3">
      <c r="A676" s="28" t="s">
        <v>575</v>
      </c>
      <c r="B676" s="28" t="s">
        <v>576</v>
      </c>
      <c r="C676" s="28" t="s">
        <v>559</v>
      </c>
      <c r="D676" s="28" t="s">
        <v>618</v>
      </c>
      <c r="E676" s="28" t="s">
        <v>617</v>
      </c>
      <c r="F676" s="28" t="s">
        <v>599</v>
      </c>
      <c r="G676" s="29">
        <v>65</v>
      </c>
      <c r="H676" s="29">
        <v>0</v>
      </c>
      <c r="I676" s="29">
        <v>0</v>
      </c>
      <c r="J676" s="29">
        <v>0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</row>
    <row r="677" spans="1:15" x14ac:dyDescent="0.3">
      <c r="A677" s="28" t="s">
        <v>575</v>
      </c>
      <c r="B677" s="28" t="s">
        <v>576</v>
      </c>
      <c r="C677" s="28" t="s">
        <v>559</v>
      </c>
      <c r="D677" s="28" t="s">
        <v>618</v>
      </c>
      <c r="E677" s="28" t="s">
        <v>617</v>
      </c>
      <c r="F677" s="28" t="s">
        <v>600</v>
      </c>
      <c r="G677" s="29">
        <v>40</v>
      </c>
      <c r="H677" s="29">
        <v>0</v>
      </c>
      <c r="I677" s="29">
        <v>0</v>
      </c>
      <c r="J677" s="29">
        <v>0</v>
      </c>
      <c r="K677" s="29">
        <v>0</v>
      </c>
      <c r="L677" s="29">
        <v>0</v>
      </c>
      <c r="M677" s="29">
        <v>0</v>
      </c>
      <c r="N677" s="29">
        <v>0</v>
      </c>
      <c r="O677" s="29">
        <v>0</v>
      </c>
    </row>
    <row r="678" spans="1:15" x14ac:dyDescent="0.3">
      <c r="A678" s="28" t="s">
        <v>575</v>
      </c>
      <c r="B678" s="28" t="s">
        <v>576</v>
      </c>
      <c r="C678" s="28" t="s">
        <v>559</v>
      </c>
      <c r="D678" s="28" t="s">
        <v>618</v>
      </c>
      <c r="E678" s="28" t="s">
        <v>617</v>
      </c>
      <c r="F678" s="28" t="s">
        <v>601</v>
      </c>
      <c r="G678" s="29">
        <v>33</v>
      </c>
      <c r="H678" s="29">
        <v>0</v>
      </c>
      <c r="I678" s="29">
        <v>0</v>
      </c>
      <c r="J678" s="29">
        <v>0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</row>
    <row r="679" spans="1:15" x14ac:dyDescent="0.3">
      <c r="A679" s="28" t="s">
        <v>575</v>
      </c>
      <c r="B679" s="28" t="s">
        <v>576</v>
      </c>
      <c r="C679" s="28" t="s">
        <v>559</v>
      </c>
      <c r="D679" s="28" t="s">
        <v>618</v>
      </c>
      <c r="E679" s="28" t="s">
        <v>617</v>
      </c>
      <c r="F679" s="28" t="s">
        <v>602</v>
      </c>
      <c r="G679" s="29">
        <v>90</v>
      </c>
      <c r="H679" s="29">
        <v>0</v>
      </c>
      <c r="I679" s="29">
        <v>0</v>
      </c>
      <c r="J679" s="29">
        <v>0</v>
      </c>
      <c r="K679" s="29">
        <v>0</v>
      </c>
      <c r="L679" s="29">
        <v>0</v>
      </c>
      <c r="M679" s="29">
        <v>0</v>
      </c>
      <c r="N679" s="29">
        <v>0</v>
      </c>
      <c r="O679" s="29">
        <v>0</v>
      </c>
    </row>
    <row r="680" spans="1:15" x14ac:dyDescent="0.3">
      <c r="A680" s="28" t="s">
        <v>575</v>
      </c>
      <c r="B680" s="28" t="s">
        <v>576</v>
      </c>
      <c r="C680" s="28" t="s">
        <v>559</v>
      </c>
      <c r="D680" s="28" t="s">
        <v>618</v>
      </c>
      <c r="E680" s="28" t="s">
        <v>617</v>
      </c>
      <c r="F680" s="28" t="s">
        <v>603</v>
      </c>
      <c r="G680" s="29">
        <v>332</v>
      </c>
      <c r="H680" s="29">
        <v>0</v>
      </c>
      <c r="I680" s="29">
        <v>1</v>
      </c>
      <c r="J680" s="29">
        <v>0</v>
      </c>
      <c r="K680" s="29">
        <v>1</v>
      </c>
      <c r="L680" s="29">
        <v>0</v>
      </c>
      <c r="M680" s="29">
        <v>0</v>
      </c>
      <c r="N680" s="29">
        <v>0</v>
      </c>
      <c r="O680" s="29">
        <v>0</v>
      </c>
    </row>
    <row r="681" spans="1:15" x14ac:dyDescent="0.3">
      <c r="A681" s="28" t="s">
        <v>575</v>
      </c>
      <c r="B681" s="28" t="s">
        <v>576</v>
      </c>
      <c r="C681" s="28" t="s">
        <v>559</v>
      </c>
      <c r="D681" s="28" t="s">
        <v>618</v>
      </c>
      <c r="E681" s="28" t="s">
        <v>617</v>
      </c>
      <c r="F681" s="28" t="s">
        <v>604</v>
      </c>
      <c r="G681" s="29">
        <v>844</v>
      </c>
      <c r="H681" s="29">
        <v>3</v>
      </c>
      <c r="I681" s="29">
        <v>0</v>
      </c>
      <c r="J681" s="29">
        <v>0</v>
      </c>
      <c r="K681" s="29">
        <v>0</v>
      </c>
      <c r="L681" s="29">
        <v>0</v>
      </c>
      <c r="M681" s="29">
        <v>0</v>
      </c>
      <c r="N681" s="29">
        <v>0</v>
      </c>
      <c r="O681" s="29">
        <v>0</v>
      </c>
    </row>
    <row r="682" spans="1:15" x14ac:dyDescent="0.3">
      <c r="A682" s="28" t="s">
        <v>575</v>
      </c>
      <c r="B682" s="28" t="s">
        <v>576</v>
      </c>
      <c r="C682" s="28" t="s">
        <v>559</v>
      </c>
      <c r="D682" s="28" t="s">
        <v>618</v>
      </c>
      <c r="E682" s="28" t="s">
        <v>617</v>
      </c>
      <c r="F682" s="28" t="s">
        <v>581</v>
      </c>
      <c r="G682" s="29">
        <v>188</v>
      </c>
      <c r="H682" s="29">
        <v>0</v>
      </c>
      <c r="I682" s="29">
        <v>0</v>
      </c>
      <c r="J682" s="29">
        <v>0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</row>
    <row r="683" spans="1:15" x14ac:dyDescent="0.3">
      <c r="A683" s="28" t="s">
        <v>575</v>
      </c>
      <c r="B683" s="28" t="s">
        <v>576</v>
      </c>
      <c r="C683" s="28" t="s">
        <v>559</v>
      </c>
      <c r="D683" s="28" t="s">
        <v>618</v>
      </c>
      <c r="E683" s="28" t="s">
        <v>617</v>
      </c>
      <c r="F683" s="28" t="s">
        <v>582</v>
      </c>
      <c r="G683" s="29">
        <v>191</v>
      </c>
      <c r="H683" s="29">
        <v>0</v>
      </c>
      <c r="I683" s="29">
        <v>0</v>
      </c>
      <c r="J683" s="29">
        <v>0</v>
      </c>
      <c r="K683" s="29">
        <v>0</v>
      </c>
      <c r="L683" s="29">
        <v>0</v>
      </c>
      <c r="M683" s="29">
        <v>0</v>
      </c>
      <c r="N683" s="29">
        <v>0</v>
      </c>
      <c r="O683" s="29">
        <v>0</v>
      </c>
    </row>
    <row r="684" spans="1:15" x14ac:dyDescent="0.3">
      <c r="A684" s="28" t="s">
        <v>575</v>
      </c>
      <c r="B684" s="28" t="s">
        <v>576</v>
      </c>
      <c r="C684" s="28" t="s">
        <v>559</v>
      </c>
      <c r="D684" s="28" t="s">
        <v>618</v>
      </c>
      <c r="E684" s="28" t="s">
        <v>617</v>
      </c>
      <c r="F684" s="28" t="s">
        <v>583</v>
      </c>
      <c r="G684" s="29">
        <v>182</v>
      </c>
      <c r="H684" s="29">
        <v>1</v>
      </c>
      <c r="I684" s="29">
        <v>0</v>
      </c>
      <c r="J684" s="29">
        <v>0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</row>
    <row r="685" spans="1:15" x14ac:dyDescent="0.3">
      <c r="A685" s="28" t="s">
        <v>575</v>
      </c>
      <c r="B685" s="28" t="s">
        <v>576</v>
      </c>
      <c r="C685" s="28" t="s">
        <v>559</v>
      </c>
      <c r="D685" s="28" t="s">
        <v>618</v>
      </c>
      <c r="E685" s="28" t="s">
        <v>617</v>
      </c>
      <c r="F685" s="28" t="s">
        <v>584</v>
      </c>
      <c r="G685" s="29">
        <v>188</v>
      </c>
      <c r="H685" s="29">
        <v>1</v>
      </c>
      <c r="I685" s="29">
        <v>0</v>
      </c>
      <c r="J685" s="29">
        <v>0</v>
      </c>
      <c r="K685" s="29">
        <v>0</v>
      </c>
      <c r="L685" s="29">
        <v>0</v>
      </c>
      <c r="M685" s="29">
        <v>0</v>
      </c>
      <c r="N685" s="29">
        <v>0</v>
      </c>
      <c r="O685" s="29">
        <v>0</v>
      </c>
    </row>
    <row r="686" spans="1:15" x14ac:dyDescent="0.3">
      <c r="A686" s="28" t="s">
        <v>575</v>
      </c>
      <c r="B686" s="28" t="s">
        <v>576</v>
      </c>
      <c r="C686" s="28" t="s">
        <v>559</v>
      </c>
      <c r="D686" s="28" t="s">
        <v>618</v>
      </c>
      <c r="E686" s="28" t="s">
        <v>617</v>
      </c>
      <c r="F686" s="28" t="s">
        <v>585</v>
      </c>
      <c r="G686" s="29">
        <v>178</v>
      </c>
      <c r="H686" s="29">
        <v>0</v>
      </c>
      <c r="I686" s="29">
        <v>0</v>
      </c>
      <c r="J686" s="29">
        <v>0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</row>
    <row r="687" spans="1:15" x14ac:dyDescent="0.3">
      <c r="A687" s="28" t="s">
        <v>575</v>
      </c>
      <c r="B687" s="28" t="s">
        <v>576</v>
      </c>
      <c r="C687" s="28" t="s">
        <v>559</v>
      </c>
      <c r="D687" s="28" t="s">
        <v>618</v>
      </c>
      <c r="E687" s="28" t="s">
        <v>617</v>
      </c>
      <c r="F687" s="28" t="s">
        <v>586</v>
      </c>
      <c r="G687" s="29">
        <v>203</v>
      </c>
      <c r="H687" s="29">
        <v>0</v>
      </c>
      <c r="I687" s="29">
        <v>0</v>
      </c>
      <c r="J687" s="29">
        <v>0</v>
      </c>
      <c r="K687" s="29">
        <v>0</v>
      </c>
      <c r="L687" s="29">
        <v>0</v>
      </c>
      <c r="M687" s="29">
        <v>0</v>
      </c>
      <c r="N687" s="29">
        <v>0</v>
      </c>
      <c r="O687" s="29">
        <v>0</v>
      </c>
    </row>
    <row r="688" spans="1:15" x14ac:dyDescent="0.3">
      <c r="A688" s="28" t="s">
        <v>575</v>
      </c>
      <c r="B688" s="28" t="s">
        <v>576</v>
      </c>
      <c r="C688" s="28" t="s">
        <v>560</v>
      </c>
      <c r="D688" s="28" t="s">
        <v>577</v>
      </c>
      <c r="E688" s="28" t="s">
        <v>578</v>
      </c>
      <c r="F688" s="28" t="s">
        <v>587</v>
      </c>
      <c r="G688" s="29">
        <v>3</v>
      </c>
      <c r="H688" s="29">
        <v>4</v>
      </c>
      <c r="I688" s="29">
        <v>0</v>
      </c>
      <c r="J688" s="29">
        <v>0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</row>
    <row r="689" spans="1:15" x14ac:dyDescent="0.3">
      <c r="A689" s="28" t="s">
        <v>575</v>
      </c>
      <c r="B689" s="28" t="s">
        <v>576</v>
      </c>
      <c r="C689" s="28" t="s">
        <v>560</v>
      </c>
      <c r="D689" s="28" t="s">
        <v>577</v>
      </c>
      <c r="E689" s="28" t="s">
        <v>619</v>
      </c>
      <c r="F689" s="28" t="s">
        <v>582</v>
      </c>
      <c r="G689" s="29">
        <v>1</v>
      </c>
      <c r="H689" s="29">
        <v>1</v>
      </c>
      <c r="I689" s="29">
        <v>0</v>
      </c>
      <c r="J689" s="29">
        <v>0</v>
      </c>
      <c r="K689" s="29">
        <v>0</v>
      </c>
      <c r="L689" s="29">
        <v>0</v>
      </c>
      <c r="M689" s="29">
        <v>0</v>
      </c>
      <c r="N689" s="29">
        <v>0</v>
      </c>
      <c r="O689" s="29">
        <v>0</v>
      </c>
    </row>
    <row r="690" spans="1:15" x14ac:dyDescent="0.3">
      <c r="A690" s="28" t="s">
        <v>575</v>
      </c>
      <c r="B690" s="28" t="s">
        <v>576</v>
      </c>
      <c r="C690" s="28" t="s">
        <v>560</v>
      </c>
      <c r="D690" s="28" t="s">
        <v>577</v>
      </c>
      <c r="E690" s="28" t="s">
        <v>619</v>
      </c>
      <c r="F690" s="28" t="s">
        <v>593</v>
      </c>
      <c r="G690" s="29">
        <v>812</v>
      </c>
      <c r="H690" s="29">
        <v>2</v>
      </c>
      <c r="I690" s="29">
        <v>0</v>
      </c>
      <c r="J690" s="29">
        <v>0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</row>
    <row r="691" spans="1:15" x14ac:dyDescent="0.3">
      <c r="A691" s="28" t="s">
        <v>575</v>
      </c>
      <c r="B691" s="28" t="s">
        <v>576</v>
      </c>
      <c r="C691" s="28" t="s">
        <v>560</v>
      </c>
      <c r="D691" s="28" t="s">
        <v>577</v>
      </c>
      <c r="E691" s="28" t="s">
        <v>619</v>
      </c>
      <c r="F691" s="28" t="s">
        <v>594</v>
      </c>
      <c r="G691" s="29">
        <v>702</v>
      </c>
      <c r="H691" s="29">
        <v>3</v>
      </c>
      <c r="I691" s="29">
        <v>2</v>
      </c>
      <c r="J691" s="29">
        <v>2</v>
      </c>
      <c r="K691" s="29">
        <v>0</v>
      </c>
      <c r="L691" s="29">
        <v>0</v>
      </c>
      <c r="M691" s="29">
        <v>0</v>
      </c>
      <c r="N691" s="29">
        <v>0</v>
      </c>
      <c r="O691" s="29">
        <v>0</v>
      </c>
    </row>
    <row r="692" spans="1:15" x14ac:dyDescent="0.3">
      <c r="A692" s="28" t="s">
        <v>575</v>
      </c>
      <c r="B692" s="28" t="s">
        <v>576</v>
      </c>
      <c r="C692" s="28" t="s">
        <v>560</v>
      </c>
      <c r="D692" s="28" t="s">
        <v>577</v>
      </c>
      <c r="E692" s="28" t="s">
        <v>619</v>
      </c>
      <c r="F692" s="28" t="s">
        <v>595</v>
      </c>
      <c r="G692" s="29">
        <v>363</v>
      </c>
      <c r="H692" s="29">
        <v>6</v>
      </c>
      <c r="I692" s="29">
        <v>0</v>
      </c>
      <c r="J692" s="29">
        <v>0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</row>
    <row r="693" spans="1:15" x14ac:dyDescent="0.3">
      <c r="A693" s="28" t="s">
        <v>575</v>
      </c>
      <c r="B693" s="28" t="s">
        <v>576</v>
      </c>
      <c r="C693" s="28" t="s">
        <v>560</v>
      </c>
      <c r="D693" s="28" t="s">
        <v>577</v>
      </c>
      <c r="E693" s="28" t="s">
        <v>580</v>
      </c>
      <c r="F693" s="28" t="s">
        <v>597</v>
      </c>
      <c r="G693" s="29">
        <v>171</v>
      </c>
      <c r="H693" s="29">
        <v>3</v>
      </c>
      <c r="I693" s="29">
        <v>1</v>
      </c>
      <c r="J693" s="29">
        <v>1</v>
      </c>
      <c r="K693" s="29">
        <v>0</v>
      </c>
      <c r="L693" s="29">
        <v>0</v>
      </c>
      <c r="M693" s="29">
        <v>0</v>
      </c>
      <c r="N693" s="29">
        <v>0</v>
      </c>
      <c r="O693" s="29">
        <v>0</v>
      </c>
    </row>
    <row r="694" spans="1:15" x14ac:dyDescent="0.3">
      <c r="A694" s="28" t="s">
        <v>575</v>
      </c>
      <c r="B694" s="28" t="s">
        <v>576</v>
      </c>
      <c r="C694" s="28" t="s">
        <v>560</v>
      </c>
      <c r="D694" s="28" t="s">
        <v>577</v>
      </c>
      <c r="E694" s="28" t="s">
        <v>580</v>
      </c>
      <c r="F694" s="28" t="s">
        <v>598</v>
      </c>
      <c r="G694" s="29">
        <v>104</v>
      </c>
      <c r="H694" s="29">
        <v>1</v>
      </c>
      <c r="I694" s="29">
        <v>1</v>
      </c>
      <c r="J694" s="29">
        <v>1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</row>
    <row r="695" spans="1:15" x14ac:dyDescent="0.3">
      <c r="A695" s="28" t="s">
        <v>575</v>
      </c>
      <c r="B695" s="28" t="s">
        <v>576</v>
      </c>
      <c r="C695" s="28" t="s">
        <v>560</v>
      </c>
      <c r="D695" s="28" t="s">
        <v>577</v>
      </c>
      <c r="E695" s="28" t="s">
        <v>580</v>
      </c>
      <c r="F695" s="28" t="s">
        <v>599</v>
      </c>
      <c r="G695" s="29">
        <v>70</v>
      </c>
      <c r="H695" s="29">
        <v>0</v>
      </c>
      <c r="I695" s="29">
        <v>0</v>
      </c>
      <c r="J695" s="29">
        <v>0</v>
      </c>
      <c r="K695" s="29">
        <v>0</v>
      </c>
      <c r="L695" s="29">
        <v>0</v>
      </c>
      <c r="M695" s="29">
        <v>0</v>
      </c>
      <c r="N695" s="29">
        <v>0</v>
      </c>
      <c r="O695" s="29">
        <v>0</v>
      </c>
    </row>
    <row r="696" spans="1:15" x14ac:dyDescent="0.3">
      <c r="A696" s="28" t="s">
        <v>575</v>
      </c>
      <c r="B696" s="28" t="s">
        <v>576</v>
      </c>
      <c r="C696" s="28" t="s">
        <v>560</v>
      </c>
      <c r="D696" s="28" t="s">
        <v>577</v>
      </c>
      <c r="E696" s="28" t="s">
        <v>580</v>
      </c>
      <c r="F696" s="28" t="s">
        <v>600</v>
      </c>
      <c r="G696" s="29">
        <v>79</v>
      </c>
      <c r="H696" s="29">
        <v>0</v>
      </c>
      <c r="I696" s="29">
        <v>0</v>
      </c>
      <c r="J696" s="29">
        <v>0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</row>
    <row r="697" spans="1:15" x14ac:dyDescent="0.3">
      <c r="A697" s="28" t="s">
        <v>575</v>
      </c>
      <c r="B697" s="28" t="s">
        <v>576</v>
      </c>
      <c r="C697" s="28" t="s">
        <v>560</v>
      </c>
      <c r="D697" s="28" t="s">
        <v>577</v>
      </c>
      <c r="E697" s="28" t="s">
        <v>580</v>
      </c>
      <c r="F697" s="28" t="s">
        <v>601</v>
      </c>
      <c r="G697" s="29">
        <v>216</v>
      </c>
      <c r="H697" s="29">
        <v>3</v>
      </c>
      <c r="I697" s="29">
        <v>0</v>
      </c>
      <c r="J697" s="29">
        <v>0</v>
      </c>
      <c r="K697" s="29">
        <v>0</v>
      </c>
      <c r="L697" s="29">
        <v>0</v>
      </c>
      <c r="M697" s="29">
        <v>0</v>
      </c>
      <c r="N697" s="29">
        <v>0</v>
      </c>
      <c r="O697" s="29">
        <v>0</v>
      </c>
    </row>
    <row r="698" spans="1:15" x14ac:dyDescent="0.3">
      <c r="A698" s="28" t="s">
        <v>575</v>
      </c>
      <c r="B698" s="28" t="s">
        <v>576</v>
      </c>
      <c r="C698" s="28" t="s">
        <v>560</v>
      </c>
      <c r="D698" s="28" t="s">
        <v>577</v>
      </c>
      <c r="E698" s="28" t="s">
        <v>580</v>
      </c>
      <c r="F698" s="28" t="s">
        <v>602</v>
      </c>
      <c r="G698" s="29">
        <v>807</v>
      </c>
      <c r="H698" s="29">
        <v>3</v>
      </c>
      <c r="I698" s="29">
        <v>1</v>
      </c>
      <c r="J698" s="29">
        <v>1</v>
      </c>
      <c r="K698" s="29">
        <v>0</v>
      </c>
      <c r="L698" s="29">
        <v>0</v>
      </c>
      <c r="M698" s="29">
        <v>0</v>
      </c>
      <c r="N698" s="29">
        <v>0</v>
      </c>
      <c r="O698" s="29">
        <v>0</v>
      </c>
    </row>
    <row r="699" spans="1:15" x14ac:dyDescent="0.3">
      <c r="A699" s="28" t="s">
        <v>575</v>
      </c>
      <c r="B699" s="28" t="s">
        <v>576</v>
      </c>
      <c r="C699" s="28" t="s">
        <v>560</v>
      </c>
      <c r="D699" s="28" t="s">
        <v>577</v>
      </c>
      <c r="E699" s="28" t="s">
        <v>580</v>
      </c>
      <c r="F699" s="28" t="s">
        <v>603</v>
      </c>
      <c r="G699" s="29">
        <v>1799</v>
      </c>
      <c r="H699" s="29">
        <v>6</v>
      </c>
      <c r="I699" s="29">
        <v>1</v>
      </c>
      <c r="J699" s="29">
        <v>0</v>
      </c>
      <c r="K699" s="29">
        <v>1</v>
      </c>
      <c r="L699" s="29">
        <v>0</v>
      </c>
      <c r="M699" s="29">
        <v>0</v>
      </c>
      <c r="N699" s="29">
        <v>0</v>
      </c>
      <c r="O699" s="29">
        <v>0</v>
      </c>
    </row>
    <row r="700" spans="1:15" x14ac:dyDescent="0.3">
      <c r="A700" s="28" t="s">
        <v>575</v>
      </c>
      <c r="B700" s="28" t="s">
        <v>576</v>
      </c>
      <c r="C700" s="28" t="s">
        <v>560</v>
      </c>
      <c r="D700" s="28" t="s">
        <v>577</v>
      </c>
      <c r="E700" s="28" t="s">
        <v>580</v>
      </c>
      <c r="F700" s="28" t="s">
        <v>604</v>
      </c>
      <c r="G700" s="29">
        <v>3493</v>
      </c>
      <c r="H700" s="29">
        <v>16</v>
      </c>
      <c r="I700" s="29">
        <v>8</v>
      </c>
      <c r="J700" s="29">
        <v>2</v>
      </c>
      <c r="K700" s="29">
        <v>6</v>
      </c>
      <c r="L700" s="29">
        <v>500</v>
      </c>
      <c r="M700" s="29">
        <v>0</v>
      </c>
      <c r="N700" s="29">
        <v>500</v>
      </c>
      <c r="O700" s="29">
        <v>0</v>
      </c>
    </row>
    <row r="701" spans="1:15" x14ac:dyDescent="0.3">
      <c r="A701" s="28" t="s">
        <v>575</v>
      </c>
      <c r="B701" s="28" t="s">
        <v>576</v>
      </c>
      <c r="C701" s="28" t="s">
        <v>560</v>
      </c>
      <c r="D701" s="28" t="s">
        <v>577</v>
      </c>
      <c r="E701" s="28" t="s">
        <v>580</v>
      </c>
      <c r="F701" s="28" t="s">
        <v>581</v>
      </c>
      <c r="G701" s="29">
        <v>2260</v>
      </c>
      <c r="H701" s="29">
        <v>15</v>
      </c>
      <c r="I701" s="29">
        <v>7</v>
      </c>
      <c r="J701" s="29">
        <v>4</v>
      </c>
      <c r="K701" s="29">
        <v>3</v>
      </c>
      <c r="L701" s="29">
        <v>0</v>
      </c>
      <c r="M701" s="29">
        <v>0</v>
      </c>
      <c r="N701" s="29">
        <v>0</v>
      </c>
      <c r="O701" s="29">
        <v>0</v>
      </c>
    </row>
    <row r="702" spans="1:15" x14ac:dyDescent="0.3">
      <c r="A702" s="28" t="s">
        <v>575</v>
      </c>
      <c r="B702" s="28" t="s">
        <v>576</v>
      </c>
      <c r="C702" s="28" t="s">
        <v>560</v>
      </c>
      <c r="D702" s="28" t="s">
        <v>577</v>
      </c>
      <c r="E702" s="28" t="s">
        <v>580</v>
      </c>
      <c r="F702" s="28" t="s">
        <v>582</v>
      </c>
      <c r="G702" s="29">
        <v>1598</v>
      </c>
      <c r="H702" s="29">
        <v>7</v>
      </c>
      <c r="I702" s="29">
        <v>2</v>
      </c>
      <c r="J702" s="29">
        <v>1</v>
      </c>
      <c r="K702" s="29">
        <v>1</v>
      </c>
      <c r="L702" s="29">
        <v>0</v>
      </c>
      <c r="M702" s="29">
        <v>0</v>
      </c>
      <c r="N702" s="29">
        <v>0</v>
      </c>
      <c r="O702" s="29">
        <v>0</v>
      </c>
    </row>
    <row r="703" spans="1:15" x14ac:dyDescent="0.3">
      <c r="A703" s="28" t="s">
        <v>575</v>
      </c>
      <c r="B703" s="28" t="s">
        <v>576</v>
      </c>
      <c r="C703" s="28" t="s">
        <v>560</v>
      </c>
      <c r="D703" s="28" t="s">
        <v>577</v>
      </c>
      <c r="E703" s="28" t="s">
        <v>580</v>
      </c>
      <c r="F703" s="28" t="s">
        <v>583</v>
      </c>
      <c r="G703" s="29">
        <v>1283</v>
      </c>
      <c r="H703" s="29">
        <v>8</v>
      </c>
      <c r="I703" s="29">
        <v>7</v>
      </c>
      <c r="J703" s="29">
        <v>1</v>
      </c>
      <c r="K703" s="29">
        <v>6</v>
      </c>
      <c r="L703" s="29">
        <v>0</v>
      </c>
      <c r="M703" s="29">
        <v>0</v>
      </c>
      <c r="N703" s="29">
        <v>0</v>
      </c>
      <c r="O703" s="29">
        <v>0</v>
      </c>
    </row>
    <row r="704" spans="1:15" x14ac:dyDescent="0.3">
      <c r="A704" s="28" t="s">
        <v>575</v>
      </c>
      <c r="B704" s="28" t="s">
        <v>576</v>
      </c>
      <c r="C704" s="28" t="s">
        <v>560</v>
      </c>
      <c r="D704" s="28" t="s">
        <v>577</v>
      </c>
      <c r="E704" s="28" t="s">
        <v>580</v>
      </c>
      <c r="F704" s="28" t="s">
        <v>584</v>
      </c>
      <c r="G704" s="29">
        <v>1300</v>
      </c>
      <c r="H704" s="29">
        <v>7</v>
      </c>
      <c r="I704" s="29">
        <v>4</v>
      </c>
      <c r="J704" s="29">
        <v>2</v>
      </c>
      <c r="K704" s="29">
        <v>2</v>
      </c>
      <c r="L704" s="29">
        <v>0</v>
      </c>
      <c r="M704" s="29">
        <v>0</v>
      </c>
      <c r="N704" s="29">
        <v>0</v>
      </c>
      <c r="O704" s="29">
        <v>0</v>
      </c>
    </row>
    <row r="705" spans="1:15" x14ac:dyDescent="0.3">
      <c r="A705" s="28" t="s">
        <v>575</v>
      </c>
      <c r="B705" s="28" t="s">
        <v>576</v>
      </c>
      <c r="C705" s="28" t="s">
        <v>560</v>
      </c>
      <c r="D705" s="28" t="s">
        <v>577</v>
      </c>
      <c r="E705" s="28" t="s">
        <v>580</v>
      </c>
      <c r="F705" s="28" t="s">
        <v>585</v>
      </c>
      <c r="G705" s="29">
        <v>1424</v>
      </c>
      <c r="H705" s="29">
        <v>6</v>
      </c>
      <c r="I705" s="29">
        <v>4</v>
      </c>
      <c r="J705" s="29">
        <v>1</v>
      </c>
      <c r="K705" s="29">
        <v>3</v>
      </c>
      <c r="L705" s="29">
        <v>0</v>
      </c>
      <c r="M705" s="29">
        <v>0</v>
      </c>
      <c r="N705" s="29">
        <v>0</v>
      </c>
      <c r="O705" s="29">
        <v>0</v>
      </c>
    </row>
    <row r="706" spans="1:15" x14ac:dyDescent="0.3">
      <c r="A706" s="28" t="s">
        <v>575</v>
      </c>
      <c r="B706" s="28" t="s">
        <v>576</v>
      </c>
      <c r="C706" s="28" t="s">
        <v>560</v>
      </c>
      <c r="D706" s="28" t="s">
        <v>577</v>
      </c>
      <c r="E706" s="28" t="s">
        <v>580</v>
      </c>
      <c r="F706" s="28" t="s">
        <v>586</v>
      </c>
      <c r="G706" s="29">
        <v>1235</v>
      </c>
      <c r="H706" s="29">
        <v>13</v>
      </c>
      <c r="I706" s="29">
        <v>5</v>
      </c>
      <c r="J706" s="29">
        <v>5</v>
      </c>
      <c r="K706" s="29">
        <v>0</v>
      </c>
      <c r="L706" s="29">
        <v>0</v>
      </c>
      <c r="M706" s="29">
        <v>0</v>
      </c>
      <c r="N706" s="29">
        <v>0</v>
      </c>
      <c r="O706" s="29">
        <v>0</v>
      </c>
    </row>
    <row r="707" spans="1:15" x14ac:dyDescent="0.3">
      <c r="A707" s="28" t="s">
        <v>575</v>
      </c>
      <c r="B707" s="28" t="s">
        <v>576</v>
      </c>
      <c r="C707" s="28" t="s">
        <v>560</v>
      </c>
      <c r="D707" s="28" t="s">
        <v>577</v>
      </c>
      <c r="E707" s="28" t="s">
        <v>580</v>
      </c>
      <c r="F707" s="28" t="s">
        <v>587</v>
      </c>
      <c r="G707" s="29">
        <v>1097</v>
      </c>
      <c r="H707" s="29">
        <v>10</v>
      </c>
      <c r="I707" s="29">
        <v>2</v>
      </c>
      <c r="J707" s="29">
        <v>2</v>
      </c>
      <c r="K707" s="29">
        <v>0</v>
      </c>
      <c r="L707" s="29">
        <v>0</v>
      </c>
      <c r="M707" s="29">
        <v>0</v>
      </c>
      <c r="N707" s="29">
        <v>0</v>
      </c>
      <c r="O707" s="29">
        <v>0</v>
      </c>
    </row>
    <row r="708" spans="1:15" x14ac:dyDescent="0.3">
      <c r="A708" s="28" t="s">
        <v>575</v>
      </c>
      <c r="B708" s="28" t="s">
        <v>576</v>
      </c>
      <c r="C708" s="28" t="s">
        <v>560</v>
      </c>
      <c r="D708" s="28" t="s">
        <v>577</v>
      </c>
      <c r="E708" s="28" t="s">
        <v>580</v>
      </c>
      <c r="F708" s="28" t="s">
        <v>579</v>
      </c>
      <c r="G708" s="29">
        <v>983</v>
      </c>
      <c r="H708" s="29">
        <v>8</v>
      </c>
      <c r="I708" s="29">
        <v>7</v>
      </c>
      <c r="J708" s="29">
        <v>4</v>
      </c>
      <c r="K708" s="29">
        <v>3</v>
      </c>
      <c r="L708" s="29">
        <v>0</v>
      </c>
      <c r="M708" s="29">
        <v>0</v>
      </c>
      <c r="N708" s="29">
        <v>0</v>
      </c>
      <c r="O708" s="29">
        <v>0</v>
      </c>
    </row>
    <row r="709" spans="1:15" x14ac:dyDescent="0.3">
      <c r="A709" s="28" t="s">
        <v>575</v>
      </c>
      <c r="B709" s="28" t="s">
        <v>576</v>
      </c>
      <c r="C709" s="28" t="s">
        <v>560</v>
      </c>
      <c r="D709" s="28" t="s">
        <v>577</v>
      </c>
      <c r="E709" s="28" t="s">
        <v>580</v>
      </c>
      <c r="F709" s="28" t="s">
        <v>588</v>
      </c>
      <c r="G709" s="29">
        <v>922</v>
      </c>
      <c r="H709" s="29">
        <v>6</v>
      </c>
      <c r="I709" s="29">
        <v>3</v>
      </c>
      <c r="J709" s="29">
        <v>3</v>
      </c>
      <c r="K709" s="29">
        <v>0</v>
      </c>
      <c r="L709" s="29">
        <v>0</v>
      </c>
      <c r="M709" s="29">
        <v>0</v>
      </c>
      <c r="N709" s="29">
        <v>0</v>
      </c>
      <c r="O709" s="29">
        <v>0</v>
      </c>
    </row>
    <row r="710" spans="1:15" x14ac:dyDescent="0.3">
      <c r="A710" s="28" t="s">
        <v>575</v>
      </c>
      <c r="B710" s="28" t="s">
        <v>576</v>
      </c>
      <c r="C710" s="28" t="s">
        <v>560</v>
      </c>
      <c r="D710" s="28" t="s">
        <v>577</v>
      </c>
      <c r="E710" s="28" t="s">
        <v>580</v>
      </c>
      <c r="F710" s="28" t="s">
        <v>589</v>
      </c>
      <c r="G710" s="29">
        <v>688</v>
      </c>
      <c r="H710" s="29">
        <v>4</v>
      </c>
      <c r="I710" s="29">
        <v>3</v>
      </c>
      <c r="J710" s="29">
        <v>3</v>
      </c>
      <c r="K710" s="29">
        <v>0</v>
      </c>
      <c r="L710" s="29">
        <v>0</v>
      </c>
      <c r="M710" s="29">
        <v>0</v>
      </c>
      <c r="N710" s="29">
        <v>0</v>
      </c>
      <c r="O710" s="29">
        <v>0</v>
      </c>
    </row>
    <row r="711" spans="1:15" x14ac:dyDescent="0.3">
      <c r="A711" s="28" t="s">
        <v>575</v>
      </c>
      <c r="B711" s="28" t="s">
        <v>576</v>
      </c>
      <c r="C711" s="28" t="s">
        <v>560</v>
      </c>
      <c r="D711" s="28" t="s">
        <v>577</v>
      </c>
      <c r="E711" s="28" t="s">
        <v>580</v>
      </c>
      <c r="F711" s="28" t="s">
        <v>590</v>
      </c>
      <c r="G711" s="29">
        <v>650</v>
      </c>
      <c r="H711" s="29">
        <v>5</v>
      </c>
      <c r="I711" s="29">
        <v>1</v>
      </c>
      <c r="J711" s="29">
        <v>1</v>
      </c>
      <c r="K711" s="29">
        <v>0</v>
      </c>
      <c r="L711" s="29">
        <v>0</v>
      </c>
      <c r="M711" s="29">
        <v>0</v>
      </c>
      <c r="N711" s="29">
        <v>0</v>
      </c>
      <c r="O711" s="29">
        <v>0</v>
      </c>
    </row>
    <row r="712" spans="1:15" x14ac:dyDescent="0.3">
      <c r="A712" s="28" t="s">
        <v>575</v>
      </c>
      <c r="B712" s="28" t="s">
        <v>576</v>
      </c>
      <c r="C712" s="28" t="s">
        <v>560</v>
      </c>
      <c r="D712" s="28" t="s">
        <v>577</v>
      </c>
      <c r="E712" s="28" t="s">
        <v>580</v>
      </c>
      <c r="F712" s="28" t="s">
        <v>591</v>
      </c>
      <c r="G712" s="29">
        <v>587</v>
      </c>
      <c r="H712" s="29">
        <v>5</v>
      </c>
      <c r="I712" s="29">
        <v>1</v>
      </c>
      <c r="J712" s="29">
        <v>0</v>
      </c>
      <c r="K712" s="29">
        <v>1</v>
      </c>
      <c r="L712" s="29">
        <v>0</v>
      </c>
      <c r="M712" s="29">
        <v>0</v>
      </c>
      <c r="N712" s="29">
        <v>0</v>
      </c>
      <c r="O712" s="29">
        <v>0</v>
      </c>
    </row>
    <row r="713" spans="1:15" x14ac:dyDescent="0.3">
      <c r="A713" s="28" t="s">
        <v>575</v>
      </c>
      <c r="B713" s="28" t="s">
        <v>576</v>
      </c>
      <c r="C713" s="28" t="s">
        <v>560</v>
      </c>
      <c r="D713" s="28" t="s">
        <v>577</v>
      </c>
      <c r="E713" s="28" t="s">
        <v>580</v>
      </c>
      <c r="F713" s="28" t="s">
        <v>592</v>
      </c>
      <c r="G713" s="29">
        <v>644</v>
      </c>
      <c r="H713" s="29">
        <v>2</v>
      </c>
      <c r="I713" s="29">
        <v>3</v>
      </c>
      <c r="J713" s="29">
        <v>0</v>
      </c>
      <c r="K713" s="29">
        <v>3</v>
      </c>
      <c r="L713" s="29">
        <v>0</v>
      </c>
      <c r="M713" s="29">
        <v>0</v>
      </c>
      <c r="N713" s="29">
        <v>0</v>
      </c>
      <c r="O713" s="29">
        <v>0</v>
      </c>
    </row>
    <row r="714" spans="1:15" x14ac:dyDescent="0.3">
      <c r="A714" s="28" t="s">
        <v>575</v>
      </c>
      <c r="B714" s="28" t="s">
        <v>576</v>
      </c>
      <c r="C714" s="28" t="s">
        <v>560</v>
      </c>
      <c r="D714" s="28" t="s">
        <v>577</v>
      </c>
      <c r="E714" s="28" t="s">
        <v>580</v>
      </c>
      <c r="F714" s="28" t="s">
        <v>593</v>
      </c>
      <c r="G714" s="29">
        <v>500</v>
      </c>
      <c r="H714" s="29">
        <v>5</v>
      </c>
      <c r="I714" s="29">
        <v>3</v>
      </c>
      <c r="J714" s="29">
        <v>3</v>
      </c>
      <c r="K714" s="29">
        <v>0</v>
      </c>
      <c r="L714" s="29">
        <v>0</v>
      </c>
      <c r="M714" s="29">
        <v>0</v>
      </c>
      <c r="N714" s="29">
        <v>0</v>
      </c>
      <c r="O714" s="29">
        <v>0</v>
      </c>
    </row>
    <row r="715" spans="1:15" x14ac:dyDescent="0.3">
      <c r="A715" s="28" t="s">
        <v>575</v>
      </c>
      <c r="B715" s="28" t="s">
        <v>576</v>
      </c>
      <c r="C715" s="28" t="s">
        <v>560</v>
      </c>
      <c r="D715" s="28" t="s">
        <v>577</v>
      </c>
      <c r="E715" s="28" t="s">
        <v>580</v>
      </c>
      <c r="F715" s="28" t="s">
        <v>594</v>
      </c>
      <c r="G715" s="29">
        <v>254</v>
      </c>
      <c r="H715" s="29">
        <v>0</v>
      </c>
      <c r="I715" s="29">
        <v>0</v>
      </c>
      <c r="J715" s="29">
        <v>0</v>
      </c>
      <c r="K715" s="29">
        <v>0</v>
      </c>
      <c r="L715" s="29">
        <v>0</v>
      </c>
      <c r="M715" s="29">
        <v>0</v>
      </c>
      <c r="N715" s="29">
        <v>0</v>
      </c>
      <c r="O715" s="29">
        <v>0</v>
      </c>
    </row>
    <row r="716" spans="1:15" x14ac:dyDescent="0.3">
      <c r="A716" s="28" t="s">
        <v>575</v>
      </c>
      <c r="B716" s="28" t="s">
        <v>576</v>
      </c>
      <c r="C716" s="28" t="s">
        <v>560</v>
      </c>
      <c r="D716" s="28" t="s">
        <v>577</v>
      </c>
      <c r="E716" s="28" t="s">
        <v>580</v>
      </c>
      <c r="F716" s="28" t="s">
        <v>595</v>
      </c>
      <c r="G716" s="29">
        <v>140</v>
      </c>
      <c r="H716" s="29">
        <v>1</v>
      </c>
      <c r="I716" s="29">
        <v>0</v>
      </c>
      <c r="J716" s="29">
        <v>0</v>
      </c>
      <c r="K716" s="29">
        <v>0</v>
      </c>
      <c r="L716" s="29">
        <v>0</v>
      </c>
      <c r="M716" s="29">
        <v>0</v>
      </c>
      <c r="N716" s="29">
        <v>0</v>
      </c>
      <c r="O716" s="29">
        <v>0</v>
      </c>
    </row>
    <row r="717" spans="1:15" x14ac:dyDescent="0.3">
      <c r="A717" s="28" t="s">
        <v>575</v>
      </c>
      <c r="B717" s="28" t="s">
        <v>576</v>
      </c>
      <c r="C717" s="28" t="s">
        <v>560</v>
      </c>
      <c r="D717" s="28" t="s">
        <v>577</v>
      </c>
      <c r="E717" s="28" t="s">
        <v>596</v>
      </c>
      <c r="F717" s="28" t="s">
        <v>597</v>
      </c>
      <c r="G717" s="29">
        <v>61</v>
      </c>
      <c r="H717" s="29">
        <v>0</v>
      </c>
      <c r="I717" s="29">
        <v>0</v>
      </c>
      <c r="J717" s="29">
        <v>0</v>
      </c>
      <c r="K717" s="29">
        <v>0</v>
      </c>
      <c r="L717" s="29">
        <v>0</v>
      </c>
      <c r="M717" s="29">
        <v>0</v>
      </c>
      <c r="N717" s="29">
        <v>0</v>
      </c>
      <c r="O717" s="29">
        <v>0</v>
      </c>
    </row>
    <row r="718" spans="1:15" x14ac:dyDescent="0.3">
      <c r="A718" s="28" t="s">
        <v>575</v>
      </c>
      <c r="B718" s="28" t="s">
        <v>576</v>
      </c>
      <c r="C718" s="28" t="s">
        <v>560</v>
      </c>
      <c r="D718" s="28" t="s">
        <v>577</v>
      </c>
      <c r="E718" s="28" t="s">
        <v>596</v>
      </c>
      <c r="F718" s="28" t="s">
        <v>598</v>
      </c>
      <c r="G718" s="29">
        <v>41</v>
      </c>
      <c r="H718" s="29">
        <v>0</v>
      </c>
      <c r="I718" s="29">
        <v>0</v>
      </c>
      <c r="J718" s="29">
        <v>0</v>
      </c>
      <c r="K718" s="29">
        <v>0</v>
      </c>
      <c r="L718" s="29">
        <v>0</v>
      </c>
      <c r="M718" s="29">
        <v>0</v>
      </c>
      <c r="N718" s="29">
        <v>0</v>
      </c>
      <c r="O718" s="29">
        <v>0</v>
      </c>
    </row>
    <row r="719" spans="1:15" x14ac:dyDescent="0.3">
      <c r="A719" s="28" t="s">
        <v>575</v>
      </c>
      <c r="B719" s="28" t="s">
        <v>576</v>
      </c>
      <c r="C719" s="28" t="s">
        <v>560</v>
      </c>
      <c r="D719" s="28" t="s">
        <v>577</v>
      </c>
      <c r="E719" s="28" t="s">
        <v>596</v>
      </c>
      <c r="F719" s="28" t="s">
        <v>599</v>
      </c>
      <c r="G719" s="29">
        <v>33</v>
      </c>
      <c r="H719" s="29">
        <v>0</v>
      </c>
      <c r="I719" s="29">
        <v>0</v>
      </c>
      <c r="J719" s="29">
        <v>0</v>
      </c>
      <c r="K719" s="29">
        <v>0</v>
      </c>
      <c r="L719" s="29">
        <v>0</v>
      </c>
      <c r="M719" s="29">
        <v>0</v>
      </c>
      <c r="N719" s="29">
        <v>0</v>
      </c>
      <c r="O719" s="29">
        <v>0</v>
      </c>
    </row>
    <row r="720" spans="1:15" x14ac:dyDescent="0.3">
      <c r="A720" s="28" t="s">
        <v>575</v>
      </c>
      <c r="B720" s="28" t="s">
        <v>576</v>
      </c>
      <c r="C720" s="28" t="s">
        <v>560</v>
      </c>
      <c r="D720" s="28" t="s">
        <v>577</v>
      </c>
      <c r="E720" s="28" t="s">
        <v>596</v>
      </c>
      <c r="F720" s="28" t="s">
        <v>600</v>
      </c>
      <c r="G720" s="29">
        <v>30</v>
      </c>
      <c r="H720" s="29">
        <v>0</v>
      </c>
      <c r="I720" s="29">
        <v>0</v>
      </c>
      <c r="J720" s="29">
        <v>0</v>
      </c>
      <c r="K720" s="29">
        <v>0</v>
      </c>
      <c r="L720" s="29">
        <v>0</v>
      </c>
      <c r="M720" s="29">
        <v>0</v>
      </c>
      <c r="N720" s="29">
        <v>0</v>
      </c>
      <c r="O720" s="29">
        <v>0</v>
      </c>
    </row>
    <row r="721" spans="1:15" x14ac:dyDescent="0.3">
      <c r="A721" s="28" t="s">
        <v>575</v>
      </c>
      <c r="B721" s="28" t="s">
        <v>576</v>
      </c>
      <c r="C721" s="28" t="s">
        <v>560</v>
      </c>
      <c r="D721" s="28" t="s">
        <v>577</v>
      </c>
      <c r="E721" s="28" t="s">
        <v>596</v>
      </c>
      <c r="F721" s="28" t="s">
        <v>601</v>
      </c>
      <c r="G721" s="29">
        <v>65</v>
      </c>
      <c r="H721" s="29">
        <v>0</v>
      </c>
      <c r="I721" s="29">
        <v>0</v>
      </c>
      <c r="J721" s="29">
        <v>0</v>
      </c>
      <c r="K721" s="29">
        <v>0</v>
      </c>
      <c r="L721" s="29">
        <v>0</v>
      </c>
      <c r="M721" s="29">
        <v>0</v>
      </c>
      <c r="N721" s="29">
        <v>0</v>
      </c>
      <c r="O721" s="29">
        <v>0</v>
      </c>
    </row>
    <row r="722" spans="1:15" x14ac:dyDescent="0.3">
      <c r="A722" s="28" t="s">
        <v>575</v>
      </c>
      <c r="B722" s="28" t="s">
        <v>576</v>
      </c>
      <c r="C722" s="28" t="s">
        <v>560</v>
      </c>
      <c r="D722" s="28" t="s">
        <v>577</v>
      </c>
      <c r="E722" s="28" t="s">
        <v>596</v>
      </c>
      <c r="F722" s="28" t="s">
        <v>602</v>
      </c>
      <c r="G722" s="29">
        <v>229</v>
      </c>
      <c r="H722" s="29">
        <v>0</v>
      </c>
      <c r="I722" s="29">
        <v>0</v>
      </c>
      <c r="J722" s="29">
        <v>0</v>
      </c>
      <c r="K722" s="29">
        <v>0</v>
      </c>
      <c r="L722" s="29">
        <v>0</v>
      </c>
      <c r="M722" s="29">
        <v>0</v>
      </c>
      <c r="N722" s="29">
        <v>0</v>
      </c>
      <c r="O722" s="29">
        <v>0</v>
      </c>
    </row>
    <row r="723" spans="1:15" x14ac:dyDescent="0.3">
      <c r="A723" s="28" t="s">
        <v>575</v>
      </c>
      <c r="B723" s="28" t="s">
        <v>576</v>
      </c>
      <c r="C723" s="28" t="s">
        <v>560</v>
      </c>
      <c r="D723" s="28" t="s">
        <v>577</v>
      </c>
      <c r="E723" s="28" t="s">
        <v>596</v>
      </c>
      <c r="F723" s="28" t="s">
        <v>603</v>
      </c>
      <c r="G723" s="29">
        <v>519</v>
      </c>
      <c r="H723" s="29">
        <v>0</v>
      </c>
      <c r="I723" s="29">
        <v>0</v>
      </c>
      <c r="J723" s="29">
        <v>0</v>
      </c>
      <c r="K723" s="29">
        <v>0</v>
      </c>
      <c r="L723" s="29">
        <v>0</v>
      </c>
      <c r="M723" s="29">
        <v>0</v>
      </c>
      <c r="N723" s="29">
        <v>0</v>
      </c>
      <c r="O723" s="29">
        <v>0</v>
      </c>
    </row>
    <row r="724" spans="1:15" x14ac:dyDescent="0.3">
      <c r="A724" s="28" t="s">
        <v>575</v>
      </c>
      <c r="B724" s="28" t="s">
        <v>576</v>
      </c>
      <c r="C724" s="28" t="s">
        <v>560</v>
      </c>
      <c r="D724" s="28" t="s">
        <v>577</v>
      </c>
      <c r="E724" s="28" t="s">
        <v>596</v>
      </c>
      <c r="F724" s="28" t="s">
        <v>604</v>
      </c>
      <c r="G724" s="29">
        <v>1171</v>
      </c>
      <c r="H724" s="29">
        <v>3</v>
      </c>
      <c r="I724" s="29">
        <v>2</v>
      </c>
      <c r="J724" s="29">
        <v>1</v>
      </c>
      <c r="K724" s="29">
        <v>1</v>
      </c>
      <c r="L724" s="29">
        <v>0</v>
      </c>
      <c r="M724" s="29">
        <v>0</v>
      </c>
      <c r="N724" s="29">
        <v>0</v>
      </c>
      <c r="O724" s="29">
        <v>0</v>
      </c>
    </row>
    <row r="725" spans="1:15" x14ac:dyDescent="0.3">
      <c r="A725" s="28" t="s">
        <v>575</v>
      </c>
      <c r="B725" s="28" t="s">
        <v>576</v>
      </c>
      <c r="C725" s="28" t="s">
        <v>560</v>
      </c>
      <c r="D725" s="28" t="s">
        <v>577</v>
      </c>
      <c r="E725" s="28" t="s">
        <v>596</v>
      </c>
      <c r="F725" s="28" t="s">
        <v>581</v>
      </c>
      <c r="G725" s="29">
        <v>1242</v>
      </c>
      <c r="H725" s="29">
        <v>9</v>
      </c>
      <c r="I725" s="29">
        <v>2</v>
      </c>
      <c r="J725" s="29">
        <v>1</v>
      </c>
      <c r="K725" s="29">
        <v>1</v>
      </c>
      <c r="L725" s="29">
        <v>0</v>
      </c>
      <c r="M725" s="29">
        <v>0</v>
      </c>
      <c r="N725" s="29">
        <v>0</v>
      </c>
      <c r="O725" s="29">
        <v>0</v>
      </c>
    </row>
    <row r="726" spans="1:15" x14ac:dyDescent="0.3">
      <c r="A726" s="28" t="s">
        <v>575</v>
      </c>
      <c r="B726" s="28" t="s">
        <v>576</v>
      </c>
      <c r="C726" s="28" t="s">
        <v>560</v>
      </c>
      <c r="D726" s="28" t="s">
        <v>577</v>
      </c>
      <c r="E726" s="28" t="s">
        <v>596</v>
      </c>
      <c r="F726" s="28" t="s">
        <v>582</v>
      </c>
      <c r="G726" s="29">
        <v>996</v>
      </c>
      <c r="H726" s="29">
        <v>2</v>
      </c>
      <c r="I726" s="29">
        <v>9</v>
      </c>
      <c r="J726" s="29">
        <v>8</v>
      </c>
      <c r="K726" s="29">
        <v>1</v>
      </c>
      <c r="L726" s="29">
        <v>500</v>
      </c>
      <c r="M726" s="29">
        <v>500</v>
      </c>
      <c r="N726" s="29">
        <v>0</v>
      </c>
      <c r="O726" s="29">
        <v>0</v>
      </c>
    </row>
    <row r="727" spans="1:15" x14ac:dyDescent="0.3">
      <c r="A727" s="28" t="s">
        <v>575</v>
      </c>
      <c r="B727" s="28" t="s">
        <v>576</v>
      </c>
      <c r="C727" s="28" t="s">
        <v>560</v>
      </c>
      <c r="D727" s="28" t="s">
        <v>577</v>
      </c>
      <c r="E727" s="28" t="s">
        <v>596</v>
      </c>
      <c r="F727" s="28" t="s">
        <v>583</v>
      </c>
      <c r="G727" s="29">
        <v>938</v>
      </c>
      <c r="H727" s="29">
        <v>5</v>
      </c>
      <c r="I727" s="29">
        <v>1</v>
      </c>
      <c r="J727" s="29">
        <v>0</v>
      </c>
      <c r="K727" s="29">
        <v>1</v>
      </c>
      <c r="L727" s="29">
        <v>0</v>
      </c>
      <c r="M727" s="29">
        <v>0</v>
      </c>
      <c r="N727" s="29">
        <v>0</v>
      </c>
      <c r="O727" s="29">
        <v>0</v>
      </c>
    </row>
    <row r="728" spans="1:15" x14ac:dyDescent="0.3">
      <c r="A728" s="28" t="s">
        <v>575</v>
      </c>
      <c r="B728" s="28" t="s">
        <v>576</v>
      </c>
      <c r="C728" s="28" t="s">
        <v>560</v>
      </c>
      <c r="D728" s="28" t="s">
        <v>577</v>
      </c>
      <c r="E728" s="28" t="s">
        <v>596</v>
      </c>
      <c r="F728" s="28" t="s">
        <v>584</v>
      </c>
      <c r="G728" s="29">
        <v>880</v>
      </c>
      <c r="H728" s="29">
        <v>2</v>
      </c>
      <c r="I728" s="29">
        <v>2</v>
      </c>
      <c r="J728" s="29">
        <v>0</v>
      </c>
      <c r="K728" s="29">
        <v>2</v>
      </c>
      <c r="L728" s="29">
        <v>0</v>
      </c>
      <c r="M728" s="29">
        <v>0</v>
      </c>
      <c r="N728" s="29">
        <v>0</v>
      </c>
      <c r="O728" s="29">
        <v>0</v>
      </c>
    </row>
    <row r="729" spans="1:15" x14ac:dyDescent="0.3">
      <c r="A729" s="28" t="s">
        <v>575</v>
      </c>
      <c r="B729" s="28" t="s">
        <v>576</v>
      </c>
      <c r="C729" s="28" t="s">
        <v>560</v>
      </c>
      <c r="D729" s="28" t="s">
        <v>577</v>
      </c>
      <c r="E729" s="28" t="s">
        <v>596</v>
      </c>
      <c r="F729" s="28" t="s">
        <v>585</v>
      </c>
      <c r="G729" s="29">
        <v>1165</v>
      </c>
      <c r="H729" s="29">
        <v>9</v>
      </c>
      <c r="I729" s="29">
        <v>4</v>
      </c>
      <c r="J729" s="29">
        <v>0</v>
      </c>
      <c r="K729" s="29">
        <v>4</v>
      </c>
      <c r="L729" s="29">
        <v>0</v>
      </c>
      <c r="M729" s="29">
        <v>0</v>
      </c>
      <c r="N729" s="29">
        <v>0</v>
      </c>
      <c r="O729" s="29">
        <v>0</v>
      </c>
    </row>
    <row r="730" spans="1:15" x14ac:dyDescent="0.3">
      <c r="A730" s="28" t="s">
        <v>575</v>
      </c>
      <c r="B730" s="28" t="s">
        <v>576</v>
      </c>
      <c r="C730" s="28" t="s">
        <v>560</v>
      </c>
      <c r="D730" s="28" t="s">
        <v>577</v>
      </c>
      <c r="E730" s="28" t="s">
        <v>596</v>
      </c>
      <c r="F730" s="28" t="s">
        <v>586</v>
      </c>
      <c r="G730" s="29">
        <v>798</v>
      </c>
      <c r="H730" s="29">
        <v>2</v>
      </c>
      <c r="I730" s="29">
        <v>2</v>
      </c>
      <c r="J730" s="29">
        <v>0</v>
      </c>
      <c r="K730" s="29">
        <v>2</v>
      </c>
      <c r="L730" s="29">
        <v>0</v>
      </c>
      <c r="M730" s="29">
        <v>0</v>
      </c>
      <c r="N730" s="29">
        <v>0</v>
      </c>
      <c r="O730" s="29">
        <v>0</v>
      </c>
    </row>
    <row r="731" spans="1:15" x14ac:dyDescent="0.3">
      <c r="A731" s="28" t="s">
        <v>575</v>
      </c>
      <c r="B731" s="28" t="s">
        <v>576</v>
      </c>
      <c r="C731" s="28" t="s">
        <v>560</v>
      </c>
      <c r="D731" s="28" t="s">
        <v>577</v>
      </c>
      <c r="E731" s="28" t="s">
        <v>596</v>
      </c>
      <c r="F731" s="28" t="s">
        <v>587</v>
      </c>
      <c r="G731" s="29">
        <v>776</v>
      </c>
      <c r="H731" s="29">
        <v>3</v>
      </c>
      <c r="I731" s="29">
        <v>0</v>
      </c>
      <c r="J731" s="29">
        <v>0</v>
      </c>
      <c r="K731" s="29">
        <v>0</v>
      </c>
      <c r="L731" s="29">
        <v>0</v>
      </c>
      <c r="M731" s="29">
        <v>0</v>
      </c>
      <c r="N731" s="29">
        <v>0</v>
      </c>
      <c r="O731" s="29">
        <v>0</v>
      </c>
    </row>
    <row r="732" spans="1:15" x14ac:dyDescent="0.3">
      <c r="A732" s="28" t="s">
        <v>575</v>
      </c>
      <c r="B732" s="28" t="s">
        <v>576</v>
      </c>
      <c r="C732" s="28" t="s">
        <v>560</v>
      </c>
      <c r="D732" s="28" t="s">
        <v>577</v>
      </c>
      <c r="E732" s="28" t="s">
        <v>596</v>
      </c>
      <c r="F732" s="28" t="s">
        <v>579</v>
      </c>
      <c r="G732" s="29">
        <v>916</v>
      </c>
      <c r="H732" s="29">
        <v>5</v>
      </c>
      <c r="I732" s="29">
        <v>2</v>
      </c>
      <c r="J732" s="29">
        <v>1</v>
      </c>
      <c r="K732" s="29">
        <v>1</v>
      </c>
      <c r="L732" s="29">
        <v>0</v>
      </c>
      <c r="M732" s="29">
        <v>0</v>
      </c>
      <c r="N732" s="29">
        <v>0</v>
      </c>
      <c r="O732" s="29">
        <v>0</v>
      </c>
    </row>
    <row r="733" spans="1:15" x14ac:dyDescent="0.3">
      <c r="A733" s="28" t="s">
        <v>575</v>
      </c>
      <c r="B733" s="28" t="s">
        <v>576</v>
      </c>
      <c r="C733" s="28" t="s">
        <v>560</v>
      </c>
      <c r="D733" s="28" t="s">
        <v>577</v>
      </c>
      <c r="E733" s="28" t="s">
        <v>596</v>
      </c>
      <c r="F733" s="28" t="s">
        <v>588</v>
      </c>
      <c r="G733" s="29">
        <v>660</v>
      </c>
      <c r="H733" s="29">
        <v>5</v>
      </c>
      <c r="I733" s="29">
        <v>1</v>
      </c>
      <c r="J733" s="29">
        <v>0</v>
      </c>
      <c r="K733" s="29">
        <v>1</v>
      </c>
      <c r="L733" s="29">
        <v>0</v>
      </c>
      <c r="M733" s="29">
        <v>0</v>
      </c>
      <c r="N733" s="29">
        <v>0</v>
      </c>
      <c r="O733" s="29">
        <v>0</v>
      </c>
    </row>
    <row r="734" spans="1:15" x14ac:dyDescent="0.3">
      <c r="A734" s="28" t="s">
        <v>575</v>
      </c>
      <c r="B734" s="28" t="s">
        <v>576</v>
      </c>
      <c r="C734" s="28" t="s">
        <v>560</v>
      </c>
      <c r="D734" s="28" t="s">
        <v>577</v>
      </c>
      <c r="E734" s="28" t="s">
        <v>596</v>
      </c>
      <c r="F734" s="28" t="s">
        <v>589</v>
      </c>
      <c r="G734" s="29">
        <v>464</v>
      </c>
      <c r="H734" s="29">
        <v>5</v>
      </c>
      <c r="I734" s="29">
        <v>2</v>
      </c>
      <c r="J734" s="29">
        <v>1</v>
      </c>
      <c r="K734" s="29">
        <v>1</v>
      </c>
      <c r="L734" s="29">
        <v>0</v>
      </c>
      <c r="M734" s="29">
        <v>0</v>
      </c>
      <c r="N734" s="29">
        <v>0</v>
      </c>
      <c r="O734" s="29">
        <v>0</v>
      </c>
    </row>
    <row r="735" spans="1:15" x14ac:dyDescent="0.3">
      <c r="A735" s="28" t="s">
        <v>575</v>
      </c>
      <c r="B735" s="28" t="s">
        <v>576</v>
      </c>
      <c r="C735" s="28" t="s">
        <v>560</v>
      </c>
      <c r="D735" s="28" t="s">
        <v>577</v>
      </c>
      <c r="E735" s="28" t="s">
        <v>596</v>
      </c>
      <c r="F735" s="28" t="s">
        <v>590</v>
      </c>
      <c r="G735" s="29">
        <v>531</v>
      </c>
      <c r="H735" s="29">
        <v>5</v>
      </c>
      <c r="I735" s="29">
        <v>0</v>
      </c>
      <c r="J735" s="29">
        <v>0</v>
      </c>
      <c r="K735" s="29">
        <v>0</v>
      </c>
      <c r="L735" s="29">
        <v>0</v>
      </c>
      <c r="M735" s="29">
        <v>0</v>
      </c>
      <c r="N735" s="29">
        <v>0</v>
      </c>
      <c r="O735" s="29">
        <v>0</v>
      </c>
    </row>
    <row r="736" spans="1:15" x14ac:dyDescent="0.3">
      <c r="A736" s="28" t="s">
        <v>575</v>
      </c>
      <c r="B736" s="28" t="s">
        <v>576</v>
      </c>
      <c r="C736" s="28" t="s">
        <v>560</v>
      </c>
      <c r="D736" s="28" t="s">
        <v>577</v>
      </c>
      <c r="E736" s="28" t="s">
        <v>596</v>
      </c>
      <c r="F736" s="28" t="s">
        <v>591</v>
      </c>
      <c r="G736" s="29">
        <v>537</v>
      </c>
      <c r="H736" s="29">
        <v>6</v>
      </c>
      <c r="I736" s="29">
        <v>0</v>
      </c>
      <c r="J736" s="29">
        <v>0</v>
      </c>
      <c r="K736" s="29">
        <v>0</v>
      </c>
      <c r="L736" s="29">
        <v>0</v>
      </c>
      <c r="M736" s="29">
        <v>0</v>
      </c>
      <c r="N736" s="29">
        <v>0</v>
      </c>
      <c r="O736" s="29">
        <v>0</v>
      </c>
    </row>
    <row r="737" spans="1:15" x14ac:dyDescent="0.3">
      <c r="A737" s="28" t="s">
        <v>575</v>
      </c>
      <c r="B737" s="28" t="s">
        <v>576</v>
      </c>
      <c r="C737" s="28" t="s">
        <v>560</v>
      </c>
      <c r="D737" s="28" t="s">
        <v>577</v>
      </c>
      <c r="E737" s="28" t="s">
        <v>596</v>
      </c>
      <c r="F737" s="28" t="s">
        <v>592</v>
      </c>
      <c r="G737" s="29">
        <v>464</v>
      </c>
      <c r="H737" s="29">
        <v>1</v>
      </c>
      <c r="I737" s="29">
        <v>35</v>
      </c>
      <c r="J737" s="29">
        <v>34</v>
      </c>
      <c r="K737" s="29">
        <v>1</v>
      </c>
      <c r="L737" s="29">
        <v>0</v>
      </c>
      <c r="M737" s="29">
        <v>0</v>
      </c>
      <c r="N737" s="29">
        <v>0</v>
      </c>
      <c r="O737" s="29">
        <v>0</v>
      </c>
    </row>
    <row r="738" spans="1:15" x14ac:dyDescent="0.3">
      <c r="A738" s="28" t="s">
        <v>575</v>
      </c>
      <c r="B738" s="28" t="s">
        <v>576</v>
      </c>
      <c r="C738" s="28" t="s">
        <v>560</v>
      </c>
      <c r="D738" s="28" t="s">
        <v>577</v>
      </c>
      <c r="E738" s="28" t="s">
        <v>596</v>
      </c>
      <c r="F738" s="28" t="s">
        <v>593</v>
      </c>
      <c r="G738" s="29">
        <v>379</v>
      </c>
      <c r="H738" s="29">
        <v>2</v>
      </c>
      <c r="I738" s="29">
        <v>1</v>
      </c>
      <c r="J738" s="29">
        <v>1</v>
      </c>
      <c r="K738" s="29">
        <v>0</v>
      </c>
      <c r="L738" s="29">
        <v>0</v>
      </c>
      <c r="M738" s="29">
        <v>0</v>
      </c>
      <c r="N738" s="29">
        <v>0</v>
      </c>
      <c r="O738" s="29">
        <v>0</v>
      </c>
    </row>
    <row r="739" spans="1:15" x14ac:dyDescent="0.3">
      <c r="A739" s="28" t="s">
        <v>575</v>
      </c>
      <c r="B739" s="28" t="s">
        <v>576</v>
      </c>
      <c r="C739" s="28" t="s">
        <v>560</v>
      </c>
      <c r="D739" s="28" t="s">
        <v>577</v>
      </c>
      <c r="E739" s="28" t="s">
        <v>596</v>
      </c>
      <c r="F739" s="28" t="s">
        <v>594</v>
      </c>
      <c r="G739" s="29">
        <v>212</v>
      </c>
      <c r="H739" s="29">
        <v>2</v>
      </c>
      <c r="I739" s="29">
        <v>1</v>
      </c>
      <c r="J739" s="29">
        <v>1</v>
      </c>
      <c r="K739" s="29">
        <v>0</v>
      </c>
      <c r="L739" s="29">
        <v>0</v>
      </c>
      <c r="M739" s="29">
        <v>0</v>
      </c>
      <c r="N739" s="29">
        <v>0</v>
      </c>
      <c r="O739" s="29">
        <v>0</v>
      </c>
    </row>
    <row r="740" spans="1:15" x14ac:dyDescent="0.3">
      <c r="A740" s="28" t="s">
        <v>575</v>
      </c>
      <c r="B740" s="28" t="s">
        <v>576</v>
      </c>
      <c r="C740" s="28" t="s">
        <v>560</v>
      </c>
      <c r="D740" s="28" t="s">
        <v>577</v>
      </c>
      <c r="E740" s="28" t="s">
        <v>596</v>
      </c>
      <c r="F740" s="28" t="s">
        <v>595</v>
      </c>
      <c r="G740" s="29">
        <v>93</v>
      </c>
      <c r="H740" s="29">
        <v>0</v>
      </c>
      <c r="I740" s="29">
        <v>0</v>
      </c>
      <c r="J740" s="29">
        <v>0</v>
      </c>
      <c r="K740" s="29">
        <v>0</v>
      </c>
      <c r="L740" s="29">
        <v>0</v>
      </c>
      <c r="M740" s="29">
        <v>0</v>
      </c>
      <c r="N740" s="29">
        <v>0</v>
      </c>
      <c r="O740" s="29">
        <v>0</v>
      </c>
    </row>
    <row r="741" spans="1:15" x14ac:dyDescent="0.3">
      <c r="A741" s="28" t="s">
        <v>575</v>
      </c>
      <c r="B741" s="28" t="s">
        <v>576</v>
      </c>
      <c r="C741" s="28" t="s">
        <v>560</v>
      </c>
      <c r="D741" s="28" t="s">
        <v>577</v>
      </c>
      <c r="E741" s="28" t="s">
        <v>605</v>
      </c>
      <c r="F741" s="28" t="s">
        <v>597</v>
      </c>
      <c r="G741" s="29">
        <v>58</v>
      </c>
      <c r="H741" s="29">
        <v>0</v>
      </c>
      <c r="I741" s="29">
        <v>0</v>
      </c>
      <c r="J741" s="29">
        <v>0</v>
      </c>
      <c r="K741" s="29">
        <v>0</v>
      </c>
      <c r="L741" s="29">
        <v>0</v>
      </c>
      <c r="M741" s="29">
        <v>0</v>
      </c>
      <c r="N741" s="29">
        <v>0</v>
      </c>
      <c r="O741" s="29">
        <v>0</v>
      </c>
    </row>
    <row r="742" spans="1:15" x14ac:dyDescent="0.3">
      <c r="A742" s="28" t="s">
        <v>575</v>
      </c>
      <c r="B742" s="28" t="s">
        <v>576</v>
      </c>
      <c r="C742" s="28" t="s">
        <v>560</v>
      </c>
      <c r="D742" s="28" t="s">
        <v>577</v>
      </c>
      <c r="E742" s="28" t="s">
        <v>605</v>
      </c>
      <c r="F742" s="28" t="s">
        <v>598</v>
      </c>
      <c r="G742" s="29">
        <v>33</v>
      </c>
      <c r="H742" s="29">
        <v>0</v>
      </c>
      <c r="I742" s="29">
        <v>0</v>
      </c>
      <c r="J742" s="29">
        <v>0</v>
      </c>
      <c r="K742" s="29">
        <v>0</v>
      </c>
      <c r="L742" s="29">
        <v>0</v>
      </c>
      <c r="M742" s="29">
        <v>0</v>
      </c>
      <c r="N742" s="29">
        <v>0</v>
      </c>
      <c r="O742" s="29">
        <v>0</v>
      </c>
    </row>
    <row r="743" spans="1:15" x14ac:dyDescent="0.3">
      <c r="A743" s="28" t="s">
        <v>575</v>
      </c>
      <c r="B743" s="28" t="s">
        <v>576</v>
      </c>
      <c r="C743" s="28" t="s">
        <v>560</v>
      </c>
      <c r="D743" s="28" t="s">
        <v>577</v>
      </c>
      <c r="E743" s="28" t="s">
        <v>605</v>
      </c>
      <c r="F743" s="28" t="s">
        <v>599</v>
      </c>
      <c r="G743" s="29">
        <v>19</v>
      </c>
      <c r="H743" s="29">
        <v>0</v>
      </c>
      <c r="I743" s="29">
        <v>0</v>
      </c>
      <c r="J743" s="29">
        <v>0</v>
      </c>
      <c r="K743" s="29">
        <v>0</v>
      </c>
      <c r="L743" s="29">
        <v>0</v>
      </c>
      <c r="M743" s="29">
        <v>0</v>
      </c>
      <c r="N743" s="29">
        <v>0</v>
      </c>
      <c r="O743" s="29">
        <v>0</v>
      </c>
    </row>
    <row r="744" spans="1:15" x14ac:dyDescent="0.3">
      <c r="A744" s="28" t="s">
        <v>575</v>
      </c>
      <c r="B744" s="28" t="s">
        <v>576</v>
      </c>
      <c r="C744" s="28" t="s">
        <v>560</v>
      </c>
      <c r="D744" s="28" t="s">
        <v>577</v>
      </c>
      <c r="E744" s="28" t="s">
        <v>605</v>
      </c>
      <c r="F744" s="28" t="s">
        <v>600</v>
      </c>
      <c r="G744" s="29">
        <v>25</v>
      </c>
      <c r="H744" s="29">
        <v>1</v>
      </c>
      <c r="I744" s="29">
        <v>0</v>
      </c>
      <c r="J744" s="29">
        <v>0</v>
      </c>
      <c r="K744" s="29">
        <v>0</v>
      </c>
      <c r="L744" s="29">
        <v>0</v>
      </c>
      <c r="M744" s="29">
        <v>0</v>
      </c>
      <c r="N744" s="29">
        <v>0</v>
      </c>
      <c r="O744" s="29">
        <v>0</v>
      </c>
    </row>
    <row r="745" spans="1:15" x14ac:dyDescent="0.3">
      <c r="A745" s="28" t="s">
        <v>575</v>
      </c>
      <c r="B745" s="28" t="s">
        <v>576</v>
      </c>
      <c r="C745" s="28" t="s">
        <v>560</v>
      </c>
      <c r="D745" s="28" t="s">
        <v>577</v>
      </c>
      <c r="E745" s="28" t="s">
        <v>605</v>
      </c>
      <c r="F745" s="28" t="s">
        <v>601</v>
      </c>
      <c r="G745" s="29">
        <v>37</v>
      </c>
      <c r="H745" s="29">
        <v>0</v>
      </c>
      <c r="I745" s="29">
        <v>0</v>
      </c>
      <c r="J745" s="29">
        <v>0</v>
      </c>
      <c r="K745" s="29">
        <v>0</v>
      </c>
      <c r="L745" s="29">
        <v>0</v>
      </c>
      <c r="M745" s="29">
        <v>0</v>
      </c>
      <c r="N745" s="29">
        <v>0</v>
      </c>
      <c r="O745" s="29">
        <v>0</v>
      </c>
    </row>
    <row r="746" spans="1:15" x14ac:dyDescent="0.3">
      <c r="A746" s="28" t="s">
        <v>575</v>
      </c>
      <c r="B746" s="28" t="s">
        <v>576</v>
      </c>
      <c r="C746" s="28" t="s">
        <v>560</v>
      </c>
      <c r="D746" s="28" t="s">
        <v>577</v>
      </c>
      <c r="E746" s="28" t="s">
        <v>605</v>
      </c>
      <c r="F746" s="28" t="s">
        <v>602</v>
      </c>
      <c r="G746" s="29">
        <v>135</v>
      </c>
      <c r="H746" s="29">
        <v>0</v>
      </c>
      <c r="I746" s="29">
        <v>0</v>
      </c>
      <c r="J746" s="29">
        <v>0</v>
      </c>
      <c r="K746" s="29">
        <v>0</v>
      </c>
      <c r="L746" s="29">
        <v>0</v>
      </c>
      <c r="M746" s="29">
        <v>0</v>
      </c>
      <c r="N746" s="29">
        <v>0</v>
      </c>
      <c r="O746" s="29">
        <v>0</v>
      </c>
    </row>
    <row r="747" spans="1:15" x14ac:dyDescent="0.3">
      <c r="A747" s="28" t="s">
        <v>575</v>
      </c>
      <c r="B747" s="28" t="s">
        <v>576</v>
      </c>
      <c r="C747" s="28" t="s">
        <v>560</v>
      </c>
      <c r="D747" s="28" t="s">
        <v>577</v>
      </c>
      <c r="E747" s="28" t="s">
        <v>605</v>
      </c>
      <c r="F747" s="28" t="s">
        <v>603</v>
      </c>
      <c r="G747" s="29">
        <v>359</v>
      </c>
      <c r="H747" s="29">
        <v>1</v>
      </c>
      <c r="I747" s="29">
        <v>4</v>
      </c>
      <c r="J747" s="29">
        <v>0</v>
      </c>
      <c r="K747" s="29">
        <v>4</v>
      </c>
      <c r="L747" s="29">
        <v>0</v>
      </c>
      <c r="M747" s="29">
        <v>0</v>
      </c>
      <c r="N747" s="29">
        <v>0</v>
      </c>
      <c r="O747" s="29">
        <v>0</v>
      </c>
    </row>
    <row r="748" spans="1:15" x14ac:dyDescent="0.3">
      <c r="A748" s="28" t="s">
        <v>575</v>
      </c>
      <c r="B748" s="28" t="s">
        <v>576</v>
      </c>
      <c r="C748" s="28" t="s">
        <v>560</v>
      </c>
      <c r="D748" s="28" t="s">
        <v>577</v>
      </c>
      <c r="E748" s="28" t="s">
        <v>605</v>
      </c>
      <c r="F748" s="28" t="s">
        <v>604</v>
      </c>
      <c r="G748" s="29">
        <v>591</v>
      </c>
      <c r="H748" s="29">
        <v>2</v>
      </c>
      <c r="I748" s="29">
        <v>3</v>
      </c>
      <c r="J748" s="29">
        <v>0</v>
      </c>
      <c r="K748" s="29">
        <v>3</v>
      </c>
      <c r="L748" s="29">
        <v>0</v>
      </c>
      <c r="M748" s="29">
        <v>0</v>
      </c>
      <c r="N748" s="29">
        <v>0</v>
      </c>
      <c r="O748" s="29">
        <v>0</v>
      </c>
    </row>
    <row r="749" spans="1:15" x14ac:dyDescent="0.3">
      <c r="A749" s="28" t="s">
        <v>575</v>
      </c>
      <c r="B749" s="28" t="s">
        <v>576</v>
      </c>
      <c r="C749" s="28" t="s">
        <v>560</v>
      </c>
      <c r="D749" s="28" t="s">
        <v>577</v>
      </c>
      <c r="E749" s="28" t="s">
        <v>605</v>
      </c>
      <c r="F749" s="28" t="s">
        <v>581</v>
      </c>
      <c r="G749" s="29">
        <v>507</v>
      </c>
      <c r="H749" s="29">
        <v>2</v>
      </c>
      <c r="I749" s="29">
        <v>2</v>
      </c>
      <c r="J749" s="29">
        <v>2</v>
      </c>
      <c r="K749" s="29">
        <v>0</v>
      </c>
      <c r="L749" s="29">
        <v>0</v>
      </c>
      <c r="M749" s="29">
        <v>0</v>
      </c>
      <c r="N749" s="29">
        <v>0</v>
      </c>
      <c r="O749" s="29">
        <v>0</v>
      </c>
    </row>
    <row r="750" spans="1:15" x14ac:dyDescent="0.3">
      <c r="A750" s="28" t="s">
        <v>575</v>
      </c>
      <c r="B750" s="28" t="s">
        <v>576</v>
      </c>
      <c r="C750" s="28" t="s">
        <v>560</v>
      </c>
      <c r="D750" s="28" t="s">
        <v>577</v>
      </c>
      <c r="E750" s="28" t="s">
        <v>605</v>
      </c>
      <c r="F750" s="28" t="s">
        <v>582</v>
      </c>
      <c r="G750" s="29">
        <v>467</v>
      </c>
      <c r="H750" s="29">
        <v>2</v>
      </c>
      <c r="I750" s="29">
        <v>3</v>
      </c>
      <c r="J750" s="29">
        <v>0</v>
      </c>
      <c r="K750" s="29">
        <v>3</v>
      </c>
      <c r="L750" s="29">
        <v>0</v>
      </c>
      <c r="M750" s="29">
        <v>0</v>
      </c>
      <c r="N750" s="29">
        <v>0</v>
      </c>
      <c r="O750" s="29">
        <v>0</v>
      </c>
    </row>
    <row r="751" spans="1:15" x14ac:dyDescent="0.3">
      <c r="A751" s="28" t="s">
        <v>575</v>
      </c>
      <c r="B751" s="28" t="s">
        <v>576</v>
      </c>
      <c r="C751" s="28" t="s">
        <v>560</v>
      </c>
      <c r="D751" s="28" t="s">
        <v>577</v>
      </c>
      <c r="E751" s="28" t="s">
        <v>605</v>
      </c>
      <c r="F751" s="28" t="s">
        <v>583</v>
      </c>
      <c r="G751" s="29">
        <v>717</v>
      </c>
      <c r="H751" s="29">
        <v>4</v>
      </c>
      <c r="I751" s="29">
        <v>4</v>
      </c>
      <c r="J751" s="29">
        <v>1</v>
      </c>
      <c r="K751" s="29">
        <v>3</v>
      </c>
      <c r="L751" s="29">
        <v>0</v>
      </c>
      <c r="M751" s="29">
        <v>0</v>
      </c>
      <c r="N751" s="29">
        <v>0</v>
      </c>
      <c r="O751" s="29">
        <v>0</v>
      </c>
    </row>
    <row r="752" spans="1:15" x14ac:dyDescent="0.3">
      <c r="A752" s="28" t="s">
        <v>575</v>
      </c>
      <c r="B752" s="28" t="s">
        <v>576</v>
      </c>
      <c r="C752" s="28" t="s">
        <v>560</v>
      </c>
      <c r="D752" s="28" t="s">
        <v>577</v>
      </c>
      <c r="E752" s="28" t="s">
        <v>605</v>
      </c>
      <c r="F752" s="28" t="s">
        <v>584</v>
      </c>
      <c r="G752" s="29">
        <v>708</v>
      </c>
      <c r="H752" s="29">
        <v>5</v>
      </c>
      <c r="I752" s="29">
        <v>0</v>
      </c>
      <c r="J752" s="29">
        <v>0</v>
      </c>
      <c r="K752" s="29">
        <v>0</v>
      </c>
      <c r="L752" s="29">
        <v>0</v>
      </c>
      <c r="M752" s="29">
        <v>0</v>
      </c>
      <c r="N752" s="29">
        <v>0</v>
      </c>
      <c r="O752" s="29">
        <v>0</v>
      </c>
    </row>
    <row r="753" spans="1:15" x14ac:dyDescent="0.3">
      <c r="A753" s="28" t="s">
        <v>575</v>
      </c>
      <c r="B753" s="28" t="s">
        <v>576</v>
      </c>
      <c r="C753" s="28" t="s">
        <v>560</v>
      </c>
      <c r="D753" s="28" t="s">
        <v>577</v>
      </c>
      <c r="E753" s="28" t="s">
        <v>605</v>
      </c>
      <c r="F753" s="28" t="s">
        <v>585</v>
      </c>
      <c r="G753" s="29">
        <v>691</v>
      </c>
      <c r="H753" s="29">
        <v>6</v>
      </c>
      <c r="I753" s="29">
        <v>0</v>
      </c>
      <c r="J753" s="29">
        <v>0</v>
      </c>
      <c r="K753" s="29">
        <v>0</v>
      </c>
      <c r="L753" s="29">
        <v>0</v>
      </c>
      <c r="M753" s="29">
        <v>0</v>
      </c>
      <c r="N753" s="29">
        <v>0</v>
      </c>
      <c r="O753" s="29">
        <v>0</v>
      </c>
    </row>
    <row r="754" spans="1:15" x14ac:dyDescent="0.3">
      <c r="A754" s="28" t="s">
        <v>575</v>
      </c>
      <c r="B754" s="28" t="s">
        <v>576</v>
      </c>
      <c r="C754" s="28" t="s">
        <v>560</v>
      </c>
      <c r="D754" s="28" t="s">
        <v>577</v>
      </c>
      <c r="E754" s="28" t="s">
        <v>605</v>
      </c>
      <c r="F754" s="28" t="s">
        <v>586</v>
      </c>
      <c r="G754" s="29">
        <v>531</v>
      </c>
      <c r="H754" s="29">
        <v>2</v>
      </c>
      <c r="I754" s="29">
        <v>3</v>
      </c>
      <c r="J754" s="29">
        <v>1</v>
      </c>
      <c r="K754" s="29">
        <v>2</v>
      </c>
      <c r="L754" s="29">
        <v>0</v>
      </c>
      <c r="M754" s="29">
        <v>0</v>
      </c>
      <c r="N754" s="29">
        <v>0</v>
      </c>
      <c r="O754" s="29">
        <v>0</v>
      </c>
    </row>
    <row r="755" spans="1:15" x14ac:dyDescent="0.3">
      <c r="A755" s="28" t="s">
        <v>575</v>
      </c>
      <c r="B755" s="28" t="s">
        <v>576</v>
      </c>
      <c r="C755" s="28" t="s">
        <v>560</v>
      </c>
      <c r="D755" s="28" t="s">
        <v>577</v>
      </c>
      <c r="E755" s="28" t="s">
        <v>605</v>
      </c>
      <c r="F755" s="28" t="s">
        <v>587</v>
      </c>
      <c r="G755" s="29">
        <v>424</v>
      </c>
      <c r="H755" s="29">
        <v>2</v>
      </c>
      <c r="I755" s="29">
        <v>1</v>
      </c>
      <c r="J755" s="29">
        <v>0</v>
      </c>
      <c r="K755" s="29">
        <v>1</v>
      </c>
      <c r="L755" s="29">
        <v>0</v>
      </c>
      <c r="M755" s="29">
        <v>0</v>
      </c>
      <c r="N755" s="29">
        <v>0</v>
      </c>
      <c r="O755" s="29">
        <v>0</v>
      </c>
    </row>
    <row r="756" spans="1:15" x14ac:dyDescent="0.3">
      <c r="A756" s="28" t="s">
        <v>575</v>
      </c>
      <c r="B756" s="28" t="s">
        <v>576</v>
      </c>
      <c r="C756" s="28" t="s">
        <v>560</v>
      </c>
      <c r="D756" s="28" t="s">
        <v>577</v>
      </c>
      <c r="E756" s="28" t="s">
        <v>605</v>
      </c>
      <c r="F756" s="28" t="s">
        <v>579</v>
      </c>
      <c r="G756" s="29">
        <v>454</v>
      </c>
      <c r="H756" s="29">
        <v>4</v>
      </c>
      <c r="I756" s="29">
        <v>2</v>
      </c>
      <c r="J756" s="29">
        <v>1</v>
      </c>
      <c r="K756" s="29">
        <v>1</v>
      </c>
      <c r="L756" s="29">
        <v>0</v>
      </c>
      <c r="M756" s="29">
        <v>0</v>
      </c>
      <c r="N756" s="29">
        <v>0</v>
      </c>
      <c r="O756" s="29">
        <v>0</v>
      </c>
    </row>
    <row r="757" spans="1:15" x14ac:dyDescent="0.3">
      <c r="A757" s="28" t="s">
        <v>575</v>
      </c>
      <c r="B757" s="28" t="s">
        <v>576</v>
      </c>
      <c r="C757" s="28" t="s">
        <v>560</v>
      </c>
      <c r="D757" s="28" t="s">
        <v>577</v>
      </c>
      <c r="E757" s="28" t="s">
        <v>605</v>
      </c>
      <c r="F757" s="28" t="s">
        <v>588</v>
      </c>
      <c r="G757" s="29">
        <v>447</v>
      </c>
      <c r="H757" s="29">
        <v>0</v>
      </c>
      <c r="I757" s="29">
        <v>0</v>
      </c>
      <c r="J757" s="29">
        <v>0</v>
      </c>
      <c r="K757" s="29">
        <v>0</v>
      </c>
      <c r="L757" s="29">
        <v>0</v>
      </c>
      <c r="M757" s="29">
        <v>0</v>
      </c>
      <c r="N757" s="29">
        <v>0</v>
      </c>
      <c r="O757" s="29">
        <v>0</v>
      </c>
    </row>
    <row r="758" spans="1:15" x14ac:dyDescent="0.3">
      <c r="A758" s="28" t="s">
        <v>575</v>
      </c>
      <c r="B758" s="28" t="s">
        <v>576</v>
      </c>
      <c r="C758" s="28" t="s">
        <v>560</v>
      </c>
      <c r="D758" s="28" t="s">
        <v>577</v>
      </c>
      <c r="E758" s="28" t="s">
        <v>605</v>
      </c>
      <c r="F758" s="28" t="s">
        <v>589</v>
      </c>
      <c r="G758" s="29">
        <v>303</v>
      </c>
      <c r="H758" s="29">
        <v>0</v>
      </c>
      <c r="I758" s="29">
        <v>1</v>
      </c>
      <c r="J758" s="29">
        <v>0</v>
      </c>
      <c r="K758" s="29">
        <v>1</v>
      </c>
      <c r="L758" s="29">
        <v>0</v>
      </c>
      <c r="M758" s="29">
        <v>0</v>
      </c>
      <c r="N758" s="29">
        <v>0</v>
      </c>
      <c r="O758" s="29">
        <v>0</v>
      </c>
    </row>
    <row r="759" spans="1:15" x14ac:dyDescent="0.3">
      <c r="A759" s="28" t="s">
        <v>575</v>
      </c>
      <c r="B759" s="28" t="s">
        <v>576</v>
      </c>
      <c r="C759" s="28" t="s">
        <v>560</v>
      </c>
      <c r="D759" s="28" t="s">
        <v>577</v>
      </c>
      <c r="E759" s="28" t="s">
        <v>605</v>
      </c>
      <c r="F759" s="28" t="s">
        <v>590</v>
      </c>
      <c r="G759" s="29">
        <v>290</v>
      </c>
      <c r="H759" s="29">
        <v>0</v>
      </c>
      <c r="I759" s="29">
        <v>2</v>
      </c>
      <c r="J759" s="29">
        <v>0</v>
      </c>
      <c r="K759" s="29">
        <v>2</v>
      </c>
      <c r="L759" s="29">
        <v>0</v>
      </c>
      <c r="M759" s="29">
        <v>0</v>
      </c>
      <c r="N759" s="29">
        <v>0</v>
      </c>
      <c r="O759" s="29">
        <v>0</v>
      </c>
    </row>
    <row r="760" spans="1:15" x14ac:dyDescent="0.3">
      <c r="A760" s="28" t="s">
        <v>575</v>
      </c>
      <c r="B760" s="28" t="s">
        <v>576</v>
      </c>
      <c r="C760" s="28" t="s">
        <v>560</v>
      </c>
      <c r="D760" s="28" t="s">
        <v>577</v>
      </c>
      <c r="E760" s="28" t="s">
        <v>605</v>
      </c>
      <c r="F760" s="28" t="s">
        <v>591</v>
      </c>
      <c r="G760" s="29">
        <v>341</v>
      </c>
      <c r="H760" s="29">
        <v>0</v>
      </c>
      <c r="I760" s="29">
        <v>1</v>
      </c>
      <c r="J760" s="29">
        <v>0</v>
      </c>
      <c r="K760" s="29">
        <v>1</v>
      </c>
      <c r="L760" s="29">
        <v>0</v>
      </c>
      <c r="M760" s="29">
        <v>0</v>
      </c>
      <c r="N760" s="29">
        <v>0</v>
      </c>
      <c r="O760" s="29">
        <v>0</v>
      </c>
    </row>
    <row r="761" spans="1:15" x14ac:dyDescent="0.3">
      <c r="A761" s="28" t="s">
        <v>575</v>
      </c>
      <c r="B761" s="28" t="s">
        <v>576</v>
      </c>
      <c r="C761" s="28" t="s">
        <v>560</v>
      </c>
      <c r="D761" s="28" t="s">
        <v>577</v>
      </c>
      <c r="E761" s="28" t="s">
        <v>605</v>
      </c>
      <c r="F761" s="28" t="s">
        <v>592</v>
      </c>
      <c r="G761" s="29">
        <v>304</v>
      </c>
      <c r="H761" s="29">
        <v>2</v>
      </c>
      <c r="I761" s="29">
        <v>3</v>
      </c>
      <c r="J761" s="29">
        <v>0</v>
      </c>
      <c r="K761" s="29">
        <v>3</v>
      </c>
      <c r="L761" s="29">
        <v>0</v>
      </c>
      <c r="M761" s="29">
        <v>0</v>
      </c>
      <c r="N761" s="29">
        <v>0</v>
      </c>
      <c r="O761" s="29">
        <v>0</v>
      </c>
    </row>
    <row r="762" spans="1:15" x14ac:dyDescent="0.3">
      <c r="A762" s="28" t="s">
        <v>575</v>
      </c>
      <c r="B762" s="28" t="s">
        <v>576</v>
      </c>
      <c r="C762" s="28" t="s">
        <v>560</v>
      </c>
      <c r="D762" s="28" t="s">
        <v>577</v>
      </c>
      <c r="E762" s="28" t="s">
        <v>605</v>
      </c>
      <c r="F762" s="28" t="s">
        <v>593</v>
      </c>
      <c r="G762" s="29">
        <v>386</v>
      </c>
      <c r="H762" s="29">
        <v>2</v>
      </c>
      <c r="I762" s="29">
        <v>2</v>
      </c>
      <c r="J762" s="29">
        <v>0</v>
      </c>
      <c r="K762" s="29">
        <v>2</v>
      </c>
      <c r="L762" s="29">
        <v>0</v>
      </c>
      <c r="M762" s="29">
        <v>0</v>
      </c>
      <c r="N762" s="29">
        <v>0</v>
      </c>
      <c r="O762" s="29">
        <v>0</v>
      </c>
    </row>
    <row r="763" spans="1:15" x14ac:dyDescent="0.3">
      <c r="A763" s="28" t="s">
        <v>575</v>
      </c>
      <c r="B763" s="28" t="s">
        <v>576</v>
      </c>
      <c r="C763" s="28" t="s">
        <v>560</v>
      </c>
      <c r="D763" s="28" t="s">
        <v>577</v>
      </c>
      <c r="E763" s="28" t="s">
        <v>605</v>
      </c>
      <c r="F763" s="28" t="s">
        <v>594</v>
      </c>
      <c r="G763" s="29">
        <v>173</v>
      </c>
      <c r="H763" s="29">
        <v>0</v>
      </c>
      <c r="I763" s="29">
        <v>0</v>
      </c>
      <c r="J763" s="29">
        <v>0</v>
      </c>
      <c r="K763" s="29">
        <v>0</v>
      </c>
      <c r="L763" s="29">
        <v>0</v>
      </c>
      <c r="M763" s="29">
        <v>0</v>
      </c>
      <c r="N763" s="29">
        <v>0</v>
      </c>
      <c r="O763" s="29">
        <v>0</v>
      </c>
    </row>
    <row r="764" spans="1:15" x14ac:dyDescent="0.3">
      <c r="A764" s="28" t="s">
        <v>575</v>
      </c>
      <c r="B764" s="28" t="s">
        <v>576</v>
      </c>
      <c r="C764" s="28" t="s">
        <v>560</v>
      </c>
      <c r="D764" s="28" t="s">
        <v>577</v>
      </c>
      <c r="E764" s="28" t="s">
        <v>605</v>
      </c>
      <c r="F764" s="28" t="s">
        <v>595</v>
      </c>
      <c r="G764" s="29">
        <v>113</v>
      </c>
      <c r="H764" s="29">
        <v>0</v>
      </c>
      <c r="I764" s="29">
        <v>0</v>
      </c>
      <c r="J764" s="29">
        <v>0</v>
      </c>
      <c r="K764" s="29">
        <v>0</v>
      </c>
      <c r="L764" s="29">
        <v>0</v>
      </c>
      <c r="M764" s="29">
        <v>0</v>
      </c>
      <c r="N764" s="29">
        <v>0</v>
      </c>
      <c r="O764" s="29">
        <v>0</v>
      </c>
    </row>
    <row r="765" spans="1:15" x14ac:dyDescent="0.3">
      <c r="A765" s="28" t="s">
        <v>575</v>
      </c>
      <c r="B765" s="28" t="s">
        <v>576</v>
      </c>
      <c r="C765" s="28" t="s">
        <v>560</v>
      </c>
      <c r="D765" s="28" t="s">
        <v>577</v>
      </c>
      <c r="E765" s="28" t="s">
        <v>606</v>
      </c>
      <c r="F765" s="28" t="s">
        <v>597</v>
      </c>
      <c r="G765" s="29">
        <v>62</v>
      </c>
      <c r="H765" s="29">
        <v>0</v>
      </c>
      <c r="I765" s="29">
        <v>0</v>
      </c>
      <c r="J765" s="29">
        <v>0</v>
      </c>
      <c r="K765" s="29">
        <v>0</v>
      </c>
      <c r="L765" s="29">
        <v>0</v>
      </c>
      <c r="M765" s="29">
        <v>0</v>
      </c>
      <c r="N765" s="29">
        <v>0</v>
      </c>
      <c r="O765" s="29">
        <v>0</v>
      </c>
    </row>
    <row r="766" spans="1:15" x14ac:dyDescent="0.3">
      <c r="A766" s="28" t="s">
        <v>575</v>
      </c>
      <c r="B766" s="28" t="s">
        <v>576</v>
      </c>
      <c r="C766" s="28" t="s">
        <v>560</v>
      </c>
      <c r="D766" s="28" t="s">
        <v>577</v>
      </c>
      <c r="E766" s="28" t="s">
        <v>606</v>
      </c>
      <c r="F766" s="28" t="s">
        <v>598</v>
      </c>
      <c r="G766" s="29">
        <v>28</v>
      </c>
      <c r="H766" s="29">
        <v>0</v>
      </c>
      <c r="I766" s="29">
        <v>0</v>
      </c>
      <c r="J766" s="29">
        <v>0</v>
      </c>
      <c r="K766" s="29">
        <v>0</v>
      </c>
      <c r="L766" s="29">
        <v>0</v>
      </c>
      <c r="M766" s="29">
        <v>0</v>
      </c>
      <c r="N766" s="29">
        <v>0</v>
      </c>
      <c r="O766" s="29">
        <v>0</v>
      </c>
    </row>
    <row r="767" spans="1:15" x14ac:dyDescent="0.3">
      <c r="A767" s="28" t="s">
        <v>575</v>
      </c>
      <c r="B767" s="28" t="s">
        <v>576</v>
      </c>
      <c r="C767" s="28" t="s">
        <v>560</v>
      </c>
      <c r="D767" s="28" t="s">
        <v>577</v>
      </c>
      <c r="E767" s="28" t="s">
        <v>606</v>
      </c>
      <c r="F767" s="28" t="s">
        <v>599</v>
      </c>
      <c r="G767" s="29">
        <v>24</v>
      </c>
      <c r="H767" s="29">
        <v>0</v>
      </c>
      <c r="I767" s="29">
        <v>0</v>
      </c>
      <c r="J767" s="29">
        <v>0</v>
      </c>
      <c r="K767" s="29">
        <v>0</v>
      </c>
      <c r="L767" s="29">
        <v>0</v>
      </c>
      <c r="M767" s="29">
        <v>0</v>
      </c>
      <c r="N767" s="29">
        <v>0</v>
      </c>
      <c r="O767" s="29">
        <v>0</v>
      </c>
    </row>
    <row r="768" spans="1:15" x14ac:dyDescent="0.3">
      <c r="A768" s="28" t="s">
        <v>575</v>
      </c>
      <c r="B768" s="28" t="s">
        <v>576</v>
      </c>
      <c r="C768" s="28" t="s">
        <v>560</v>
      </c>
      <c r="D768" s="28" t="s">
        <v>577</v>
      </c>
      <c r="E768" s="28" t="s">
        <v>606</v>
      </c>
      <c r="F768" s="28" t="s">
        <v>600</v>
      </c>
      <c r="G768" s="29">
        <v>20</v>
      </c>
      <c r="H768" s="29">
        <v>0</v>
      </c>
      <c r="I768" s="29">
        <v>0</v>
      </c>
      <c r="J768" s="29">
        <v>0</v>
      </c>
      <c r="K768" s="29">
        <v>0</v>
      </c>
      <c r="L768" s="29">
        <v>0</v>
      </c>
      <c r="M768" s="29">
        <v>0</v>
      </c>
      <c r="N768" s="29">
        <v>0</v>
      </c>
      <c r="O768" s="29">
        <v>0</v>
      </c>
    </row>
    <row r="769" spans="1:15" x14ac:dyDescent="0.3">
      <c r="A769" s="28" t="s">
        <v>575</v>
      </c>
      <c r="B769" s="28" t="s">
        <v>576</v>
      </c>
      <c r="C769" s="28" t="s">
        <v>560</v>
      </c>
      <c r="D769" s="28" t="s">
        <v>577</v>
      </c>
      <c r="E769" s="28" t="s">
        <v>606</v>
      </c>
      <c r="F769" s="28" t="s">
        <v>601</v>
      </c>
      <c r="G769" s="29">
        <v>66</v>
      </c>
      <c r="H769" s="29">
        <v>0</v>
      </c>
      <c r="I769" s="29">
        <v>0</v>
      </c>
      <c r="J769" s="29">
        <v>0</v>
      </c>
      <c r="K769" s="29">
        <v>0</v>
      </c>
      <c r="L769" s="29">
        <v>0</v>
      </c>
      <c r="M769" s="29">
        <v>0</v>
      </c>
      <c r="N769" s="29">
        <v>0</v>
      </c>
      <c r="O769" s="29">
        <v>0</v>
      </c>
    </row>
    <row r="770" spans="1:15" x14ac:dyDescent="0.3">
      <c r="A770" s="28" t="s">
        <v>575</v>
      </c>
      <c r="B770" s="28" t="s">
        <v>576</v>
      </c>
      <c r="C770" s="28" t="s">
        <v>560</v>
      </c>
      <c r="D770" s="28" t="s">
        <v>577</v>
      </c>
      <c r="E770" s="28" t="s">
        <v>606</v>
      </c>
      <c r="F770" s="28" t="s">
        <v>602</v>
      </c>
      <c r="G770" s="29">
        <v>139</v>
      </c>
      <c r="H770" s="29">
        <v>0</v>
      </c>
      <c r="I770" s="29">
        <v>3</v>
      </c>
      <c r="J770" s="29">
        <v>0</v>
      </c>
      <c r="K770" s="29">
        <v>3</v>
      </c>
      <c r="L770" s="29">
        <v>0</v>
      </c>
      <c r="M770" s="29">
        <v>0</v>
      </c>
      <c r="N770" s="29">
        <v>0</v>
      </c>
      <c r="O770" s="29">
        <v>0</v>
      </c>
    </row>
    <row r="771" spans="1:15" x14ac:dyDescent="0.3">
      <c r="A771" s="28" t="s">
        <v>575</v>
      </c>
      <c r="B771" s="28" t="s">
        <v>576</v>
      </c>
      <c r="C771" s="28" t="s">
        <v>560</v>
      </c>
      <c r="D771" s="28" t="s">
        <v>577</v>
      </c>
      <c r="E771" s="28" t="s">
        <v>606</v>
      </c>
      <c r="F771" s="28" t="s">
        <v>603</v>
      </c>
      <c r="G771" s="29">
        <v>335</v>
      </c>
      <c r="H771" s="29">
        <v>2</v>
      </c>
      <c r="I771" s="29">
        <v>4</v>
      </c>
      <c r="J771" s="29">
        <v>0</v>
      </c>
      <c r="K771" s="29">
        <v>4</v>
      </c>
      <c r="L771" s="29">
        <v>0</v>
      </c>
      <c r="M771" s="29">
        <v>0</v>
      </c>
      <c r="N771" s="29">
        <v>0</v>
      </c>
      <c r="O771" s="29">
        <v>0</v>
      </c>
    </row>
    <row r="772" spans="1:15" x14ac:dyDescent="0.3">
      <c r="A772" s="28" t="s">
        <v>575</v>
      </c>
      <c r="B772" s="28" t="s">
        <v>576</v>
      </c>
      <c r="C772" s="28" t="s">
        <v>560</v>
      </c>
      <c r="D772" s="28" t="s">
        <v>577</v>
      </c>
      <c r="E772" s="28" t="s">
        <v>606</v>
      </c>
      <c r="F772" s="28" t="s">
        <v>604</v>
      </c>
      <c r="G772" s="29">
        <v>824</v>
      </c>
      <c r="H772" s="29">
        <v>5</v>
      </c>
      <c r="I772" s="29">
        <v>1</v>
      </c>
      <c r="J772" s="29">
        <v>0</v>
      </c>
      <c r="K772" s="29">
        <v>1</v>
      </c>
      <c r="L772" s="29">
        <v>0</v>
      </c>
      <c r="M772" s="29">
        <v>0</v>
      </c>
      <c r="N772" s="29">
        <v>0</v>
      </c>
      <c r="O772" s="29">
        <v>0</v>
      </c>
    </row>
    <row r="773" spans="1:15" x14ac:dyDescent="0.3">
      <c r="A773" s="28" t="s">
        <v>575</v>
      </c>
      <c r="B773" s="28" t="s">
        <v>576</v>
      </c>
      <c r="C773" s="28" t="s">
        <v>560</v>
      </c>
      <c r="D773" s="28" t="s">
        <v>577</v>
      </c>
      <c r="E773" s="28" t="s">
        <v>606</v>
      </c>
      <c r="F773" s="28" t="s">
        <v>581</v>
      </c>
      <c r="G773" s="29">
        <v>2088</v>
      </c>
      <c r="H773" s="29">
        <v>10</v>
      </c>
      <c r="I773" s="29">
        <v>4</v>
      </c>
      <c r="J773" s="29">
        <v>2</v>
      </c>
      <c r="K773" s="29">
        <v>2</v>
      </c>
      <c r="L773" s="29">
        <v>0</v>
      </c>
      <c r="M773" s="29">
        <v>0</v>
      </c>
      <c r="N773" s="29">
        <v>0</v>
      </c>
      <c r="O773" s="29">
        <v>0</v>
      </c>
    </row>
    <row r="774" spans="1:15" x14ac:dyDescent="0.3">
      <c r="A774" s="28" t="s">
        <v>575</v>
      </c>
      <c r="B774" s="28" t="s">
        <v>576</v>
      </c>
      <c r="C774" s="28" t="s">
        <v>560</v>
      </c>
      <c r="D774" s="28" t="s">
        <v>577</v>
      </c>
      <c r="E774" s="28" t="s">
        <v>606</v>
      </c>
      <c r="F774" s="28" t="s">
        <v>582</v>
      </c>
      <c r="G774" s="29">
        <v>1295</v>
      </c>
      <c r="H774" s="29">
        <v>3</v>
      </c>
      <c r="I774" s="29">
        <v>3</v>
      </c>
      <c r="J774" s="29">
        <v>0</v>
      </c>
      <c r="K774" s="29">
        <v>3</v>
      </c>
      <c r="L774" s="29">
        <v>100</v>
      </c>
      <c r="M774" s="29">
        <v>0</v>
      </c>
      <c r="N774" s="29">
        <v>100</v>
      </c>
      <c r="O774" s="29">
        <v>0</v>
      </c>
    </row>
    <row r="775" spans="1:15" x14ac:dyDescent="0.3">
      <c r="A775" s="28" t="s">
        <v>575</v>
      </c>
      <c r="B775" s="28" t="s">
        <v>576</v>
      </c>
      <c r="C775" s="28" t="s">
        <v>560</v>
      </c>
      <c r="D775" s="28" t="s">
        <v>577</v>
      </c>
      <c r="E775" s="28" t="s">
        <v>606</v>
      </c>
      <c r="F775" s="28" t="s">
        <v>583</v>
      </c>
      <c r="G775" s="29">
        <v>895</v>
      </c>
      <c r="H775" s="29">
        <v>5</v>
      </c>
      <c r="I775" s="29">
        <v>5</v>
      </c>
      <c r="J775" s="29">
        <v>2</v>
      </c>
      <c r="K775" s="29">
        <v>3</v>
      </c>
      <c r="L775" s="29">
        <v>0</v>
      </c>
      <c r="M775" s="29">
        <v>0</v>
      </c>
      <c r="N775" s="29">
        <v>0</v>
      </c>
      <c r="O775" s="29">
        <v>0</v>
      </c>
    </row>
    <row r="776" spans="1:15" x14ac:dyDescent="0.3">
      <c r="A776" s="28" t="s">
        <v>575</v>
      </c>
      <c r="B776" s="28" t="s">
        <v>576</v>
      </c>
      <c r="C776" s="28" t="s">
        <v>560</v>
      </c>
      <c r="D776" s="28" t="s">
        <v>577</v>
      </c>
      <c r="E776" s="28" t="s">
        <v>606</v>
      </c>
      <c r="F776" s="28" t="s">
        <v>584</v>
      </c>
      <c r="G776" s="29">
        <v>1014</v>
      </c>
      <c r="H776" s="29">
        <v>6</v>
      </c>
      <c r="I776" s="29">
        <v>9</v>
      </c>
      <c r="J776" s="29">
        <v>2</v>
      </c>
      <c r="K776" s="29">
        <v>7</v>
      </c>
      <c r="L776" s="29">
        <v>0</v>
      </c>
      <c r="M776" s="29">
        <v>0</v>
      </c>
      <c r="N776" s="29">
        <v>0</v>
      </c>
      <c r="O776" s="29">
        <v>0</v>
      </c>
    </row>
    <row r="777" spans="1:15" x14ac:dyDescent="0.3">
      <c r="A777" s="28" t="s">
        <v>575</v>
      </c>
      <c r="B777" s="28" t="s">
        <v>576</v>
      </c>
      <c r="C777" s="28" t="s">
        <v>560</v>
      </c>
      <c r="D777" s="28" t="s">
        <v>577</v>
      </c>
      <c r="E777" s="28" t="s">
        <v>606</v>
      </c>
      <c r="F777" s="28" t="s">
        <v>585</v>
      </c>
      <c r="G777" s="29">
        <v>1049</v>
      </c>
      <c r="H777" s="29">
        <v>3</v>
      </c>
      <c r="I777" s="29">
        <v>2</v>
      </c>
      <c r="J777" s="29">
        <v>1</v>
      </c>
      <c r="K777" s="29">
        <v>1</v>
      </c>
      <c r="L777" s="29">
        <v>0</v>
      </c>
      <c r="M777" s="29">
        <v>0</v>
      </c>
      <c r="N777" s="29">
        <v>0</v>
      </c>
      <c r="O777" s="29">
        <v>0</v>
      </c>
    </row>
    <row r="778" spans="1:15" x14ac:dyDescent="0.3">
      <c r="A778" s="28" t="s">
        <v>575</v>
      </c>
      <c r="B778" s="28" t="s">
        <v>576</v>
      </c>
      <c r="C778" s="28" t="s">
        <v>560</v>
      </c>
      <c r="D778" s="28" t="s">
        <v>577</v>
      </c>
      <c r="E778" s="28" t="s">
        <v>606</v>
      </c>
      <c r="F778" s="28" t="s">
        <v>586</v>
      </c>
      <c r="G778" s="29">
        <v>654</v>
      </c>
      <c r="H778" s="29">
        <v>2</v>
      </c>
      <c r="I778" s="29">
        <v>2</v>
      </c>
      <c r="J778" s="29">
        <v>2</v>
      </c>
      <c r="K778" s="29">
        <v>0</v>
      </c>
      <c r="L778" s="29">
        <v>500</v>
      </c>
      <c r="M778" s="29">
        <v>500</v>
      </c>
      <c r="N778" s="29">
        <v>0</v>
      </c>
      <c r="O778" s="29">
        <v>0</v>
      </c>
    </row>
    <row r="779" spans="1:15" x14ac:dyDescent="0.3">
      <c r="A779" s="28" t="s">
        <v>575</v>
      </c>
      <c r="B779" s="28" t="s">
        <v>576</v>
      </c>
      <c r="C779" s="28" t="s">
        <v>560</v>
      </c>
      <c r="D779" s="28" t="s">
        <v>577</v>
      </c>
      <c r="E779" s="28" t="s">
        <v>606</v>
      </c>
      <c r="F779" s="28" t="s">
        <v>587</v>
      </c>
      <c r="G779" s="29">
        <v>555</v>
      </c>
      <c r="H779" s="29">
        <v>2</v>
      </c>
      <c r="I779" s="29">
        <v>7</v>
      </c>
      <c r="J779" s="29">
        <v>6</v>
      </c>
      <c r="K779" s="29">
        <v>1</v>
      </c>
      <c r="L779" s="29">
        <v>0</v>
      </c>
      <c r="M779" s="29">
        <v>0</v>
      </c>
      <c r="N779" s="29">
        <v>0</v>
      </c>
      <c r="O779" s="29">
        <v>0</v>
      </c>
    </row>
    <row r="780" spans="1:15" x14ac:dyDescent="0.3">
      <c r="A780" s="28" t="s">
        <v>575</v>
      </c>
      <c r="B780" s="28" t="s">
        <v>576</v>
      </c>
      <c r="C780" s="28" t="s">
        <v>560</v>
      </c>
      <c r="D780" s="28" t="s">
        <v>577</v>
      </c>
      <c r="E780" s="28" t="s">
        <v>606</v>
      </c>
      <c r="F780" s="28" t="s">
        <v>579</v>
      </c>
      <c r="G780" s="29">
        <v>711</v>
      </c>
      <c r="H780" s="29">
        <v>4</v>
      </c>
      <c r="I780" s="29">
        <v>0</v>
      </c>
      <c r="J780" s="29">
        <v>0</v>
      </c>
      <c r="K780" s="29">
        <v>0</v>
      </c>
      <c r="L780" s="29">
        <v>0</v>
      </c>
      <c r="M780" s="29">
        <v>0</v>
      </c>
      <c r="N780" s="29">
        <v>0</v>
      </c>
      <c r="O780" s="29">
        <v>0</v>
      </c>
    </row>
    <row r="781" spans="1:15" x14ac:dyDescent="0.3">
      <c r="A781" s="28" t="s">
        <v>575</v>
      </c>
      <c r="B781" s="28" t="s">
        <v>576</v>
      </c>
      <c r="C781" s="28" t="s">
        <v>560</v>
      </c>
      <c r="D781" s="28" t="s">
        <v>577</v>
      </c>
      <c r="E781" s="28" t="s">
        <v>606</v>
      </c>
      <c r="F781" s="28" t="s">
        <v>588</v>
      </c>
      <c r="G781" s="29">
        <v>661</v>
      </c>
      <c r="H781" s="29">
        <v>4</v>
      </c>
      <c r="I781" s="29">
        <v>6</v>
      </c>
      <c r="J781" s="29">
        <v>1</v>
      </c>
      <c r="K781" s="29">
        <v>5</v>
      </c>
      <c r="L781" s="29">
        <v>0</v>
      </c>
      <c r="M781" s="29">
        <v>0</v>
      </c>
      <c r="N781" s="29">
        <v>0</v>
      </c>
      <c r="O781" s="29">
        <v>0</v>
      </c>
    </row>
    <row r="782" spans="1:15" x14ac:dyDescent="0.3">
      <c r="A782" s="28" t="s">
        <v>575</v>
      </c>
      <c r="B782" s="28" t="s">
        <v>576</v>
      </c>
      <c r="C782" s="28" t="s">
        <v>560</v>
      </c>
      <c r="D782" s="28" t="s">
        <v>577</v>
      </c>
      <c r="E782" s="28" t="s">
        <v>606</v>
      </c>
      <c r="F782" s="28" t="s">
        <v>589</v>
      </c>
      <c r="G782" s="29">
        <v>435</v>
      </c>
      <c r="H782" s="29">
        <v>2</v>
      </c>
      <c r="I782" s="29">
        <v>0</v>
      </c>
      <c r="J782" s="29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0</v>
      </c>
    </row>
    <row r="783" spans="1:15" x14ac:dyDescent="0.3">
      <c r="A783" s="28" t="s">
        <v>575</v>
      </c>
      <c r="B783" s="28" t="s">
        <v>576</v>
      </c>
      <c r="C783" s="28" t="s">
        <v>560</v>
      </c>
      <c r="D783" s="28" t="s">
        <v>577</v>
      </c>
      <c r="E783" s="28" t="s">
        <v>606</v>
      </c>
      <c r="F783" s="28" t="s">
        <v>590</v>
      </c>
      <c r="G783" s="29">
        <v>435</v>
      </c>
      <c r="H783" s="29">
        <v>6</v>
      </c>
      <c r="I783" s="29">
        <v>3</v>
      </c>
      <c r="J783" s="29">
        <v>1</v>
      </c>
      <c r="K783" s="29">
        <v>2</v>
      </c>
      <c r="L783" s="29">
        <v>0</v>
      </c>
      <c r="M783" s="29">
        <v>0</v>
      </c>
      <c r="N783" s="29">
        <v>0</v>
      </c>
      <c r="O783" s="29">
        <v>0</v>
      </c>
    </row>
    <row r="784" spans="1:15" x14ac:dyDescent="0.3">
      <c r="A784" s="28" t="s">
        <v>575</v>
      </c>
      <c r="B784" s="28" t="s">
        <v>576</v>
      </c>
      <c r="C784" s="28" t="s">
        <v>560</v>
      </c>
      <c r="D784" s="28" t="s">
        <v>577</v>
      </c>
      <c r="E784" s="28" t="s">
        <v>606</v>
      </c>
      <c r="F784" s="28" t="s">
        <v>591</v>
      </c>
      <c r="G784" s="29">
        <v>633</v>
      </c>
      <c r="H784" s="29">
        <v>5</v>
      </c>
      <c r="I784" s="29">
        <v>1</v>
      </c>
      <c r="J784" s="29">
        <v>1</v>
      </c>
      <c r="K784" s="29">
        <v>0</v>
      </c>
      <c r="L784" s="29">
        <v>0</v>
      </c>
      <c r="M784" s="29">
        <v>0</v>
      </c>
      <c r="N784" s="29">
        <v>0</v>
      </c>
      <c r="O784" s="29">
        <v>0</v>
      </c>
    </row>
    <row r="785" spans="1:15" x14ac:dyDescent="0.3">
      <c r="A785" s="28" t="s">
        <v>575</v>
      </c>
      <c r="B785" s="28" t="s">
        <v>576</v>
      </c>
      <c r="C785" s="28" t="s">
        <v>560</v>
      </c>
      <c r="D785" s="28" t="s">
        <v>577</v>
      </c>
      <c r="E785" s="28" t="s">
        <v>606</v>
      </c>
      <c r="F785" s="28" t="s">
        <v>592</v>
      </c>
      <c r="G785" s="29">
        <v>534</v>
      </c>
      <c r="H785" s="29">
        <v>2</v>
      </c>
      <c r="I785" s="29">
        <v>1</v>
      </c>
      <c r="J785" s="29">
        <v>1</v>
      </c>
      <c r="K785" s="29">
        <v>0</v>
      </c>
      <c r="L785" s="29">
        <v>0</v>
      </c>
      <c r="M785" s="29">
        <v>0</v>
      </c>
      <c r="N785" s="29">
        <v>0</v>
      </c>
      <c r="O785" s="29">
        <v>0</v>
      </c>
    </row>
    <row r="786" spans="1:15" x14ac:dyDescent="0.3">
      <c r="A786" s="28" t="s">
        <v>575</v>
      </c>
      <c r="B786" s="28" t="s">
        <v>576</v>
      </c>
      <c r="C786" s="28" t="s">
        <v>560</v>
      </c>
      <c r="D786" s="28" t="s">
        <v>577</v>
      </c>
      <c r="E786" s="28" t="s">
        <v>606</v>
      </c>
      <c r="F786" s="28" t="s">
        <v>593</v>
      </c>
      <c r="G786" s="29">
        <v>409</v>
      </c>
      <c r="H786" s="29">
        <v>2</v>
      </c>
      <c r="I786" s="29">
        <v>0</v>
      </c>
      <c r="J786" s="29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0</v>
      </c>
    </row>
    <row r="787" spans="1:15" x14ac:dyDescent="0.3">
      <c r="A787" s="28" t="s">
        <v>575</v>
      </c>
      <c r="B787" s="28" t="s">
        <v>576</v>
      </c>
      <c r="C787" s="28" t="s">
        <v>560</v>
      </c>
      <c r="D787" s="28" t="s">
        <v>577</v>
      </c>
      <c r="E787" s="28" t="s">
        <v>606</v>
      </c>
      <c r="F787" s="28" t="s">
        <v>594</v>
      </c>
      <c r="G787" s="29">
        <v>316</v>
      </c>
      <c r="H787" s="29">
        <v>2</v>
      </c>
      <c r="I787" s="29">
        <v>0</v>
      </c>
      <c r="J787" s="29">
        <v>0</v>
      </c>
      <c r="K787" s="29">
        <v>0</v>
      </c>
      <c r="L787" s="29">
        <v>0</v>
      </c>
      <c r="M787" s="29">
        <v>0</v>
      </c>
      <c r="N787" s="29">
        <v>0</v>
      </c>
      <c r="O787" s="29">
        <v>0</v>
      </c>
    </row>
    <row r="788" spans="1:15" x14ac:dyDescent="0.3">
      <c r="A788" s="28" t="s">
        <v>575</v>
      </c>
      <c r="B788" s="28" t="s">
        <v>576</v>
      </c>
      <c r="C788" s="28" t="s">
        <v>560</v>
      </c>
      <c r="D788" s="28" t="s">
        <v>577</v>
      </c>
      <c r="E788" s="28" t="s">
        <v>606</v>
      </c>
      <c r="F788" s="28" t="s">
        <v>595</v>
      </c>
      <c r="G788" s="29">
        <v>144</v>
      </c>
      <c r="H788" s="29">
        <v>0</v>
      </c>
      <c r="I788" s="29">
        <v>0</v>
      </c>
      <c r="J788" s="29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0</v>
      </c>
    </row>
    <row r="789" spans="1:15" x14ac:dyDescent="0.3">
      <c r="A789" s="28" t="s">
        <v>575</v>
      </c>
      <c r="B789" s="28" t="s">
        <v>576</v>
      </c>
      <c r="C789" s="28" t="s">
        <v>560</v>
      </c>
      <c r="D789" s="28" t="s">
        <v>577</v>
      </c>
      <c r="E789" s="28" t="s">
        <v>607</v>
      </c>
      <c r="F789" s="28" t="s">
        <v>597</v>
      </c>
      <c r="G789" s="29">
        <v>65</v>
      </c>
      <c r="H789" s="29">
        <v>1</v>
      </c>
      <c r="I789" s="29">
        <v>0</v>
      </c>
      <c r="J789" s="29">
        <v>0</v>
      </c>
      <c r="K789" s="29">
        <v>0</v>
      </c>
      <c r="L789" s="29">
        <v>0</v>
      </c>
      <c r="M789" s="29">
        <v>0</v>
      </c>
      <c r="N789" s="29">
        <v>0</v>
      </c>
      <c r="O789" s="29">
        <v>0</v>
      </c>
    </row>
    <row r="790" spans="1:15" x14ac:dyDescent="0.3">
      <c r="A790" s="28" t="s">
        <v>575</v>
      </c>
      <c r="B790" s="28" t="s">
        <v>576</v>
      </c>
      <c r="C790" s="28" t="s">
        <v>560</v>
      </c>
      <c r="D790" s="28" t="s">
        <v>577</v>
      </c>
      <c r="E790" s="28" t="s">
        <v>607</v>
      </c>
      <c r="F790" s="28" t="s">
        <v>598</v>
      </c>
      <c r="G790" s="29">
        <v>49</v>
      </c>
      <c r="H790" s="29">
        <v>0</v>
      </c>
      <c r="I790" s="29">
        <v>0</v>
      </c>
      <c r="J790" s="29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0</v>
      </c>
    </row>
    <row r="791" spans="1:15" x14ac:dyDescent="0.3">
      <c r="A791" s="28" t="s">
        <v>575</v>
      </c>
      <c r="B791" s="28" t="s">
        <v>576</v>
      </c>
      <c r="C791" s="28" t="s">
        <v>560</v>
      </c>
      <c r="D791" s="28" t="s">
        <v>577</v>
      </c>
      <c r="E791" s="28" t="s">
        <v>607</v>
      </c>
      <c r="F791" s="28" t="s">
        <v>599</v>
      </c>
      <c r="G791" s="29">
        <v>32</v>
      </c>
      <c r="H791" s="29">
        <v>0</v>
      </c>
      <c r="I791" s="29">
        <v>0</v>
      </c>
      <c r="J791" s="29">
        <v>0</v>
      </c>
      <c r="K791" s="29">
        <v>0</v>
      </c>
      <c r="L791" s="29">
        <v>0</v>
      </c>
      <c r="M791" s="29">
        <v>0</v>
      </c>
      <c r="N791" s="29">
        <v>0</v>
      </c>
      <c r="O791" s="29">
        <v>0</v>
      </c>
    </row>
    <row r="792" spans="1:15" x14ac:dyDescent="0.3">
      <c r="A792" s="28" t="s">
        <v>575</v>
      </c>
      <c r="B792" s="28" t="s">
        <v>576</v>
      </c>
      <c r="C792" s="28" t="s">
        <v>560</v>
      </c>
      <c r="D792" s="28" t="s">
        <v>577</v>
      </c>
      <c r="E792" s="28" t="s">
        <v>607</v>
      </c>
      <c r="F792" s="28" t="s">
        <v>600</v>
      </c>
      <c r="G792" s="29">
        <v>30</v>
      </c>
      <c r="H792" s="29">
        <v>1</v>
      </c>
      <c r="I792" s="29">
        <v>0</v>
      </c>
      <c r="J792" s="29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0</v>
      </c>
    </row>
    <row r="793" spans="1:15" x14ac:dyDescent="0.3">
      <c r="A793" s="28" t="s">
        <v>575</v>
      </c>
      <c r="B793" s="28" t="s">
        <v>576</v>
      </c>
      <c r="C793" s="28" t="s">
        <v>560</v>
      </c>
      <c r="D793" s="28" t="s">
        <v>577</v>
      </c>
      <c r="E793" s="28" t="s">
        <v>607</v>
      </c>
      <c r="F793" s="28" t="s">
        <v>601</v>
      </c>
      <c r="G793" s="29">
        <v>71</v>
      </c>
      <c r="H793" s="29">
        <v>0</v>
      </c>
      <c r="I793" s="29">
        <v>0</v>
      </c>
      <c r="J793" s="29">
        <v>0</v>
      </c>
      <c r="K793" s="29">
        <v>0</v>
      </c>
      <c r="L793" s="29">
        <v>0</v>
      </c>
      <c r="M793" s="29">
        <v>0</v>
      </c>
      <c r="N793" s="29">
        <v>0</v>
      </c>
      <c r="O793" s="29">
        <v>0</v>
      </c>
    </row>
    <row r="794" spans="1:15" x14ac:dyDescent="0.3">
      <c r="A794" s="28" t="s">
        <v>575</v>
      </c>
      <c r="B794" s="28" t="s">
        <v>576</v>
      </c>
      <c r="C794" s="28" t="s">
        <v>560</v>
      </c>
      <c r="D794" s="28" t="s">
        <v>577</v>
      </c>
      <c r="E794" s="28" t="s">
        <v>607</v>
      </c>
      <c r="F794" s="28" t="s">
        <v>602</v>
      </c>
      <c r="G794" s="29">
        <v>249</v>
      </c>
      <c r="H794" s="29">
        <v>0</v>
      </c>
      <c r="I794" s="29">
        <v>0</v>
      </c>
      <c r="J794" s="29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0</v>
      </c>
    </row>
    <row r="795" spans="1:15" x14ac:dyDescent="0.3">
      <c r="A795" s="28" t="s">
        <v>575</v>
      </c>
      <c r="B795" s="28" t="s">
        <v>576</v>
      </c>
      <c r="C795" s="28" t="s">
        <v>560</v>
      </c>
      <c r="D795" s="28" t="s">
        <v>577</v>
      </c>
      <c r="E795" s="28" t="s">
        <v>607</v>
      </c>
      <c r="F795" s="28" t="s">
        <v>603</v>
      </c>
      <c r="G795" s="29">
        <v>542</v>
      </c>
      <c r="H795" s="29">
        <v>2</v>
      </c>
      <c r="I795" s="29">
        <v>0</v>
      </c>
      <c r="J795" s="29">
        <v>0</v>
      </c>
      <c r="K795" s="29">
        <v>0</v>
      </c>
      <c r="L795" s="29">
        <v>0</v>
      </c>
      <c r="M795" s="29">
        <v>0</v>
      </c>
      <c r="N795" s="29">
        <v>0</v>
      </c>
      <c r="O795" s="29">
        <v>0</v>
      </c>
    </row>
    <row r="796" spans="1:15" x14ac:dyDescent="0.3">
      <c r="A796" s="28" t="s">
        <v>575</v>
      </c>
      <c r="B796" s="28" t="s">
        <v>576</v>
      </c>
      <c r="C796" s="28" t="s">
        <v>560</v>
      </c>
      <c r="D796" s="28" t="s">
        <v>577</v>
      </c>
      <c r="E796" s="28" t="s">
        <v>607</v>
      </c>
      <c r="F796" s="28" t="s">
        <v>604</v>
      </c>
      <c r="G796" s="29">
        <v>1966</v>
      </c>
      <c r="H796" s="29">
        <v>6</v>
      </c>
      <c r="I796" s="29">
        <v>6</v>
      </c>
      <c r="J796" s="29">
        <v>4</v>
      </c>
      <c r="K796" s="29">
        <v>2</v>
      </c>
      <c r="L796" s="29">
        <v>0</v>
      </c>
      <c r="M796" s="29">
        <v>0</v>
      </c>
      <c r="N796" s="29">
        <v>0</v>
      </c>
      <c r="O796" s="29">
        <v>0</v>
      </c>
    </row>
    <row r="797" spans="1:15" x14ac:dyDescent="0.3">
      <c r="A797" s="28" t="s">
        <v>575</v>
      </c>
      <c r="B797" s="28" t="s">
        <v>576</v>
      </c>
      <c r="C797" s="28" t="s">
        <v>560</v>
      </c>
      <c r="D797" s="28" t="s">
        <v>577</v>
      </c>
      <c r="E797" s="28" t="s">
        <v>607</v>
      </c>
      <c r="F797" s="28" t="s">
        <v>581</v>
      </c>
      <c r="G797" s="29">
        <v>4919</v>
      </c>
      <c r="H797" s="29">
        <v>12</v>
      </c>
      <c r="I797" s="29">
        <v>6</v>
      </c>
      <c r="J797" s="29">
        <v>3</v>
      </c>
      <c r="K797" s="29">
        <v>3</v>
      </c>
      <c r="L797" s="29">
        <v>0</v>
      </c>
      <c r="M797" s="29">
        <v>0</v>
      </c>
      <c r="N797" s="29">
        <v>0</v>
      </c>
      <c r="O797" s="29">
        <v>0</v>
      </c>
    </row>
    <row r="798" spans="1:15" x14ac:dyDescent="0.3">
      <c r="A798" s="28" t="s">
        <v>575</v>
      </c>
      <c r="B798" s="28" t="s">
        <v>576</v>
      </c>
      <c r="C798" s="28" t="s">
        <v>560</v>
      </c>
      <c r="D798" s="28" t="s">
        <v>577</v>
      </c>
      <c r="E798" s="28" t="s">
        <v>607</v>
      </c>
      <c r="F798" s="28" t="s">
        <v>582</v>
      </c>
      <c r="G798" s="29">
        <v>3296</v>
      </c>
      <c r="H798" s="29">
        <v>9</v>
      </c>
      <c r="I798" s="29">
        <v>13</v>
      </c>
      <c r="J798" s="29">
        <v>10</v>
      </c>
      <c r="K798" s="29">
        <v>3</v>
      </c>
      <c r="L798" s="29">
        <v>500</v>
      </c>
      <c r="M798" s="29">
        <v>0</v>
      </c>
      <c r="N798" s="29">
        <v>500</v>
      </c>
      <c r="O798" s="29">
        <v>0</v>
      </c>
    </row>
    <row r="799" spans="1:15" x14ac:dyDescent="0.3">
      <c r="A799" s="28" t="s">
        <v>575</v>
      </c>
      <c r="B799" s="28" t="s">
        <v>576</v>
      </c>
      <c r="C799" s="28" t="s">
        <v>560</v>
      </c>
      <c r="D799" s="28" t="s">
        <v>577</v>
      </c>
      <c r="E799" s="28" t="s">
        <v>607</v>
      </c>
      <c r="F799" s="28" t="s">
        <v>583</v>
      </c>
      <c r="G799" s="29">
        <v>2618</v>
      </c>
      <c r="H799" s="29">
        <v>13</v>
      </c>
      <c r="I799" s="29">
        <v>11</v>
      </c>
      <c r="J799" s="29">
        <v>7</v>
      </c>
      <c r="K799" s="29">
        <v>4</v>
      </c>
      <c r="L799" s="29">
        <v>1000</v>
      </c>
      <c r="M799" s="29">
        <v>0</v>
      </c>
      <c r="N799" s="29">
        <v>1000</v>
      </c>
      <c r="O799" s="29">
        <v>0</v>
      </c>
    </row>
    <row r="800" spans="1:15" x14ac:dyDescent="0.3">
      <c r="A800" s="28" t="s">
        <v>575</v>
      </c>
      <c r="B800" s="28" t="s">
        <v>576</v>
      </c>
      <c r="C800" s="28" t="s">
        <v>560</v>
      </c>
      <c r="D800" s="28" t="s">
        <v>577</v>
      </c>
      <c r="E800" s="28" t="s">
        <v>607</v>
      </c>
      <c r="F800" s="28" t="s">
        <v>584</v>
      </c>
      <c r="G800" s="29">
        <v>2740</v>
      </c>
      <c r="H800" s="29">
        <v>9</v>
      </c>
      <c r="I800" s="29">
        <v>21</v>
      </c>
      <c r="J800" s="29">
        <v>20</v>
      </c>
      <c r="K800" s="29">
        <v>1</v>
      </c>
      <c r="L800" s="29">
        <v>1000</v>
      </c>
      <c r="M800" s="29">
        <v>1000</v>
      </c>
      <c r="N800" s="29">
        <v>0</v>
      </c>
      <c r="O800" s="29">
        <v>0</v>
      </c>
    </row>
    <row r="801" spans="1:15" x14ac:dyDescent="0.3">
      <c r="A801" s="28" t="s">
        <v>575</v>
      </c>
      <c r="B801" s="28" t="s">
        <v>576</v>
      </c>
      <c r="C801" s="28" t="s">
        <v>560</v>
      </c>
      <c r="D801" s="28" t="s">
        <v>577</v>
      </c>
      <c r="E801" s="28" t="s">
        <v>607</v>
      </c>
      <c r="F801" s="28" t="s">
        <v>585</v>
      </c>
      <c r="G801" s="29">
        <v>2701</v>
      </c>
      <c r="H801" s="29">
        <v>13</v>
      </c>
      <c r="I801" s="29">
        <v>16</v>
      </c>
      <c r="J801" s="29">
        <v>11</v>
      </c>
      <c r="K801" s="29">
        <v>5</v>
      </c>
      <c r="L801" s="29">
        <v>500</v>
      </c>
      <c r="M801" s="29">
        <v>0</v>
      </c>
      <c r="N801" s="29">
        <v>500</v>
      </c>
      <c r="O801" s="29">
        <v>0</v>
      </c>
    </row>
    <row r="802" spans="1:15" x14ac:dyDescent="0.3">
      <c r="A802" s="28" t="s">
        <v>575</v>
      </c>
      <c r="B802" s="28" t="s">
        <v>576</v>
      </c>
      <c r="C802" s="28" t="s">
        <v>560</v>
      </c>
      <c r="D802" s="28" t="s">
        <v>577</v>
      </c>
      <c r="E802" s="28" t="s">
        <v>607</v>
      </c>
      <c r="F802" s="28" t="s">
        <v>586</v>
      </c>
      <c r="G802" s="29">
        <v>1904</v>
      </c>
      <c r="H802" s="29">
        <v>9</v>
      </c>
      <c r="I802" s="29">
        <v>2</v>
      </c>
      <c r="J802" s="29">
        <v>1</v>
      </c>
      <c r="K802" s="29">
        <v>1</v>
      </c>
      <c r="L802" s="29">
        <v>0</v>
      </c>
      <c r="M802" s="29">
        <v>0</v>
      </c>
      <c r="N802" s="29">
        <v>0</v>
      </c>
      <c r="O802" s="29">
        <v>0</v>
      </c>
    </row>
    <row r="803" spans="1:15" x14ac:dyDescent="0.3">
      <c r="A803" s="28" t="s">
        <v>575</v>
      </c>
      <c r="B803" s="28" t="s">
        <v>576</v>
      </c>
      <c r="C803" s="28" t="s">
        <v>560</v>
      </c>
      <c r="D803" s="28" t="s">
        <v>577</v>
      </c>
      <c r="E803" s="28" t="s">
        <v>607</v>
      </c>
      <c r="F803" s="28" t="s">
        <v>587</v>
      </c>
      <c r="G803" s="29">
        <v>1636</v>
      </c>
      <c r="H803" s="29">
        <v>1</v>
      </c>
      <c r="I803" s="29">
        <v>4</v>
      </c>
      <c r="J803" s="29">
        <v>0</v>
      </c>
      <c r="K803" s="29">
        <v>4</v>
      </c>
      <c r="L803" s="29">
        <v>0</v>
      </c>
      <c r="M803" s="29">
        <v>0</v>
      </c>
      <c r="N803" s="29">
        <v>0</v>
      </c>
      <c r="O803" s="29">
        <v>0</v>
      </c>
    </row>
    <row r="804" spans="1:15" x14ac:dyDescent="0.3">
      <c r="A804" s="28" t="s">
        <v>575</v>
      </c>
      <c r="B804" s="28" t="s">
        <v>576</v>
      </c>
      <c r="C804" s="28" t="s">
        <v>560</v>
      </c>
      <c r="D804" s="28" t="s">
        <v>577</v>
      </c>
      <c r="E804" s="28" t="s">
        <v>607</v>
      </c>
      <c r="F804" s="28" t="s">
        <v>579</v>
      </c>
      <c r="G804" s="29">
        <v>1636</v>
      </c>
      <c r="H804" s="29">
        <v>11</v>
      </c>
      <c r="I804" s="29">
        <v>4</v>
      </c>
      <c r="J804" s="29">
        <v>2</v>
      </c>
      <c r="K804" s="29">
        <v>2</v>
      </c>
      <c r="L804" s="29">
        <v>0</v>
      </c>
      <c r="M804" s="29">
        <v>0</v>
      </c>
      <c r="N804" s="29">
        <v>0</v>
      </c>
      <c r="O804" s="29">
        <v>0</v>
      </c>
    </row>
    <row r="805" spans="1:15" x14ac:dyDescent="0.3">
      <c r="A805" s="28" t="s">
        <v>575</v>
      </c>
      <c r="B805" s="28" t="s">
        <v>576</v>
      </c>
      <c r="C805" s="28" t="s">
        <v>560</v>
      </c>
      <c r="D805" s="28" t="s">
        <v>577</v>
      </c>
      <c r="E805" s="28" t="s">
        <v>607</v>
      </c>
      <c r="F805" s="28" t="s">
        <v>588</v>
      </c>
      <c r="G805" s="29">
        <v>1080</v>
      </c>
      <c r="H805" s="29">
        <v>4</v>
      </c>
      <c r="I805" s="29">
        <v>2</v>
      </c>
      <c r="J805" s="29">
        <v>1</v>
      </c>
      <c r="K805" s="29">
        <v>1</v>
      </c>
      <c r="L805" s="29">
        <v>0</v>
      </c>
      <c r="M805" s="29">
        <v>0</v>
      </c>
      <c r="N805" s="29">
        <v>0</v>
      </c>
      <c r="O805" s="29">
        <v>0</v>
      </c>
    </row>
    <row r="806" spans="1:15" x14ac:dyDescent="0.3">
      <c r="A806" s="28" t="s">
        <v>575</v>
      </c>
      <c r="B806" s="28" t="s">
        <v>576</v>
      </c>
      <c r="C806" s="28" t="s">
        <v>560</v>
      </c>
      <c r="D806" s="28" t="s">
        <v>577</v>
      </c>
      <c r="E806" s="28" t="s">
        <v>607</v>
      </c>
      <c r="F806" s="28" t="s">
        <v>589</v>
      </c>
      <c r="G806" s="29">
        <v>754</v>
      </c>
      <c r="H806" s="29">
        <v>3</v>
      </c>
      <c r="I806" s="29">
        <v>1</v>
      </c>
      <c r="J806" s="29">
        <v>1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</row>
    <row r="807" spans="1:15" x14ac:dyDescent="0.3">
      <c r="A807" s="28" t="s">
        <v>575</v>
      </c>
      <c r="B807" s="28" t="s">
        <v>576</v>
      </c>
      <c r="C807" s="28" t="s">
        <v>560</v>
      </c>
      <c r="D807" s="28" t="s">
        <v>577</v>
      </c>
      <c r="E807" s="28" t="s">
        <v>607</v>
      </c>
      <c r="F807" s="28" t="s">
        <v>590</v>
      </c>
      <c r="G807" s="29">
        <v>1060</v>
      </c>
      <c r="H807" s="29">
        <v>8</v>
      </c>
      <c r="I807" s="29">
        <v>4</v>
      </c>
      <c r="J807" s="29">
        <v>3</v>
      </c>
      <c r="K807" s="29">
        <v>1</v>
      </c>
      <c r="L807" s="29">
        <v>0</v>
      </c>
      <c r="M807" s="29">
        <v>0</v>
      </c>
      <c r="N807" s="29">
        <v>0</v>
      </c>
      <c r="O807" s="29">
        <v>0</v>
      </c>
    </row>
    <row r="808" spans="1:15" x14ac:dyDescent="0.3">
      <c r="A808" s="28" t="s">
        <v>575</v>
      </c>
      <c r="B808" s="28" t="s">
        <v>576</v>
      </c>
      <c r="C808" s="28" t="s">
        <v>560</v>
      </c>
      <c r="D808" s="28" t="s">
        <v>577</v>
      </c>
      <c r="E808" s="28" t="s">
        <v>607</v>
      </c>
      <c r="F808" s="28" t="s">
        <v>591</v>
      </c>
      <c r="G808" s="29">
        <v>1272</v>
      </c>
      <c r="H808" s="29">
        <v>8</v>
      </c>
      <c r="I808" s="29">
        <v>3</v>
      </c>
      <c r="J808" s="29">
        <v>1</v>
      </c>
      <c r="K808" s="29">
        <v>2</v>
      </c>
      <c r="L808" s="29">
        <v>0</v>
      </c>
      <c r="M808" s="29">
        <v>0</v>
      </c>
      <c r="N808" s="29">
        <v>0</v>
      </c>
      <c r="O808" s="29">
        <v>0</v>
      </c>
    </row>
    <row r="809" spans="1:15" x14ac:dyDescent="0.3">
      <c r="A809" s="28" t="s">
        <v>575</v>
      </c>
      <c r="B809" s="28" t="s">
        <v>576</v>
      </c>
      <c r="C809" s="28" t="s">
        <v>560</v>
      </c>
      <c r="D809" s="28" t="s">
        <v>577</v>
      </c>
      <c r="E809" s="28" t="s">
        <v>607</v>
      </c>
      <c r="F809" s="28" t="s">
        <v>592</v>
      </c>
      <c r="G809" s="29">
        <v>1041</v>
      </c>
      <c r="H809" s="29">
        <v>8</v>
      </c>
      <c r="I809" s="29">
        <v>2</v>
      </c>
      <c r="J809" s="29">
        <v>2</v>
      </c>
      <c r="K809" s="29">
        <v>0</v>
      </c>
      <c r="L809" s="29">
        <v>0</v>
      </c>
      <c r="M809" s="29">
        <v>0</v>
      </c>
      <c r="N809" s="29">
        <v>0</v>
      </c>
      <c r="O809" s="29">
        <v>0</v>
      </c>
    </row>
    <row r="810" spans="1:15" x14ac:dyDescent="0.3">
      <c r="A810" s="28" t="s">
        <v>575</v>
      </c>
      <c r="B810" s="28" t="s">
        <v>576</v>
      </c>
      <c r="C810" s="28" t="s">
        <v>560</v>
      </c>
      <c r="D810" s="28" t="s">
        <v>577</v>
      </c>
      <c r="E810" s="28" t="s">
        <v>607</v>
      </c>
      <c r="F810" s="28" t="s">
        <v>593</v>
      </c>
      <c r="G810" s="29">
        <v>739</v>
      </c>
      <c r="H810" s="29">
        <v>3</v>
      </c>
      <c r="I810" s="29">
        <v>0</v>
      </c>
      <c r="J810" s="29">
        <v>0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</row>
    <row r="811" spans="1:15" x14ac:dyDescent="0.3">
      <c r="A811" s="28" t="s">
        <v>575</v>
      </c>
      <c r="B811" s="28" t="s">
        <v>576</v>
      </c>
      <c r="C811" s="28" t="s">
        <v>560</v>
      </c>
      <c r="D811" s="28" t="s">
        <v>577</v>
      </c>
      <c r="E811" s="28" t="s">
        <v>607</v>
      </c>
      <c r="F811" s="28" t="s">
        <v>594</v>
      </c>
      <c r="G811" s="29">
        <v>660</v>
      </c>
      <c r="H811" s="29">
        <v>7</v>
      </c>
      <c r="I811" s="29">
        <v>0</v>
      </c>
      <c r="J811" s="29">
        <v>0</v>
      </c>
      <c r="K811" s="29">
        <v>0</v>
      </c>
      <c r="L811" s="29">
        <v>0</v>
      </c>
      <c r="M811" s="29">
        <v>0</v>
      </c>
      <c r="N811" s="29">
        <v>0</v>
      </c>
      <c r="O811" s="29">
        <v>0</v>
      </c>
    </row>
    <row r="812" spans="1:15" x14ac:dyDescent="0.3">
      <c r="A812" s="28" t="s">
        <v>575</v>
      </c>
      <c r="B812" s="28" t="s">
        <v>576</v>
      </c>
      <c r="C812" s="28" t="s">
        <v>560</v>
      </c>
      <c r="D812" s="28" t="s">
        <v>577</v>
      </c>
      <c r="E812" s="28" t="s">
        <v>607</v>
      </c>
      <c r="F812" s="28" t="s">
        <v>595</v>
      </c>
      <c r="G812" s="29">
        <v>393</v>
      </c>
      <c r="H812" s="29">
        <v>2</v>
      </c>
      <c r="I812" s="29">
        <v>0</v>
      </c>
      <c r="J812" s="29">
        <v>0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</row>
    <row r="813" spans="1:15" x14ac:dyDescent="0.3">
      <c r="A813" s="28" t="s">
        <v>575</v>
      </c>
      <c r="B813" s="28" t="s">
        <v>576</v>
      </c>
      <c r="C813" s="28" t="s">
        <v>560</v>
      </c>
      <c r="D813" s="28" t="s">
        <v>577</v>
      </c>
      <c r="E813" s="28" t="s">
        <v>608</v>
      </c>
      <c r="F813" s="28" t="s">
        <v>597</v>
      </c>
      <c r="G813" s="29">
        <v>216</v>
      </c>
      <c r="H813" s="29">
        <v>1</v>
      </c>
      <c r="I813" s="29">
        <v>4</v>
      </c>
      <c r="J813" s="29">
        <v>0</v>
      </c>
      <c r="K813" s="29">
        <v>4</v>
      </c>
      <c r="L813" s="29">
        <v>0</v>
      </c>
      <c r="M813" s="29">
        <v>0</v>
      </c>
      <c r="N813" s="29">
        <v>0</v>
      </c>
      <c r="O813" s="29">
        <v>0</v>
      </c>
    </row>
    <row r="814" spans="1:15" x14ac:dyDescent="0.3">
      <c r="A814" s="28" t="s">
        <v>575</v>
      </c>
      <c r="B814" s="28" t="s">
        <v>576</v>
      </c>
      <c r="C814" s="28" t="s">
        <v>560</v>
      </c>
      <c r="D814" s="28" t="s">
        <v>577</v>
      </c>
      <c r="E814" s="28" t="s">
        <v>608</v>
      </c>
      <c r="F814" s="28" t="s">
        <v>598</v>
      </c>
      <c r="G814" s="29">
        <v>162</v>
      </c>
      <c r="H814" s="29">
        <v>0</v>
      </c>
      <c r="I814" s="29">
        <v>0</v>
      </c>
      <c r="J814" s="29">
        <v>0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</row>
    <row r="815" spans="1:15" x14ac:dyDescent="0.3">
      <c r="A815" s="28" t="s">
        <v>575</v>
      </c>
      <c r="B815" s="28" t="s">
        <v>576</v>
      </c>
      <c r="C815" s="28" t="s">
        <v>560</v>
      </c>
      <c r="D815" s="28" t="s">
        <v>577</v>
      </c>
      <c r="E815" s="28" t="s">
        <v>608</v>
      </c>
      <c r="F815" s="28" t="s">
        <v>599</v>
      </c>
      <c r="G815" s="29">
        <v>85</v>
      </c>
      <c r="H815" s="29">
        <v>0</v>
      </c>
      <c r="I815" s="29">
        <v>1</v>
      </c>
      <c r="J815" s="29">
        <v>0</v>
      </c>
      <c r="K815" s="29">
        <v>1</v>
      </c>
      <c r="L815" s="29">
        <v>0</v>
      </c>
      <c r="M815" s="29">
        <v>0</v>
      </c>
      <c r="N815" s="29">
        <v>0</v>
      </c>
      <c r="O815" s="29">
        <v>0</v>
      </c>
    </row>
    <row r="816" spans="1:15" x14ac:dyDescent="0.3">
      <c r="A816" s="28" t="s">
        <v>575</v>
      </c>
      <c r="B816" s="28" t="s">
        <v>576</v>
      </c>
      <c r="C816" s="28" t="s">
        <v>560</v>
      </c>
      <c r="D816" s="28" t="s">
        <v>577</v>
      </c>
      <c r="E816" s="28" t="s">
        <v>608</v>
      </c>
      <c r="F816" s="28" t="s">
        <v>600</v>
      </c>
      <c r="G816" s="29">
        <v>67</v>
      </c>
      <c r="H816" s="29">
        <v>0</v>
      </c>
      <c r="I816" s="29">
        <v>0</v>
      </c>
      <c r="J816" s="29">
        <v>0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</row>
    <row r="817" spans="1:15" x14ac:dyDescent="0.3">
      <c r="A817" s="28" t="s">
        <v>575</v>
      </c>
      <c r="B817" s="28" t="s">
        <v>576</v>
      </c>
      <c r="C817" s="28" t="s">
        <v>560</v>
      </c>
      <c r="D817" s="28" t="s">
        <v>577</v>
      </c>
      <c r="E817" s="28" t="s">
        <v>608</v>
      </c>
      <c r="F817" s="28" t="s">
        <v>601</v>
      </c>
      <c r="G817" s="29">
        <v>100</v>
      </c>
      <c r="H817" s="29">
        <v>1</v>
      </c>
      <c r="I817" s="29">
        <v>0</v>
      </c>
      <c r="J817" s="29">
        <v>0</v>
      </c>
      <c r="K817" s="29">
        <v>0</v>
      </c>
      <c r="L817" s="29">
        <v>0</v>
      </c>
      <c r="M817" s="29">
        <v>0</v>
      </c>
      <c r="N817" s="29">
        <v>0</v>
      </c>
      <c r="O817" s="29">
        <v>0</v>
      </c>
    </row>
    <row r="818" spans="1:15" x14ac:dyDescent="0.3">
      <c r="A818" s="28" t="s">
        <v>575</v>
      </c>
      <c r="B818" s="28" t="s">
        <v>576</v>
      </c>
      <c r="C818" s="28" t="s">
        <v>560</v>
      </c>
      <c r="D818" s="28" t="s">
        <v>577</v>
      </c>
      <c r="E818" s="28" t="s">
        <v>608</v>
      </c>
      <c r="F818" s="28" t="s">
        <v>602</v>
      </c>
      <c r="G818" s="29">
        <v>239</v>
      </c>
      <c r="H818" s="29">
        <v>0</v>
      </c>
      <c r="I818" s="29">
        <v>0</v>
      </c>
      <c r="J818" s="29">
        <v>0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</row>
    <row r="819" spans="1:15" x14ac:dyDescent="0.3">
      <c r="A819" s="28" t="s">
        <v>575</v>
      </c>
      <c r="B819" s="28" t="s">
        <v>576</v>
      </c>
      <c r="C819" s="28" t="s">
        <v>560</v>
      </c>
      <c r="D819" s="28" t="s">
        <v>577</v>
      </c>
      <c r="E819" s="28" t="s">
        <v>608</v>
      </c>
      <c r="F819" s="28" t="s">
        <v>603</v>
      </c>
      <c r="G819" s="29">
        <v>433</v>
      </c>
      <c r="H819" s="29">
        <v>4</v>
      </c>
      <c r="I819" s="29">
        <v>0</v>
      </c>
      <c r="J819" s="29">
        <v>0</v>
      </c>
      <c r="K819" s="29">
        <v>0</v>
      </c>
      <c r="L819" s="29">
        <v>0</v>
      </c>
      <c r="M819" s="29">
        <v>0</v>
      </c>
      <c r="N819" s="29">
        <v>0</v>
      </c>
      <c r="O819" s="29">
        <v>0</v>
      </c>
    </row>
    <row r="820" spans="1:15" x14ac:dyDescent="0.3">
      <c r="A820" s="28" t="s">
        <v>575</v>
      </c>
      <c r="B820" s="28" t="s">
        <v>576</v>
      </c>
      <c r="C820" s="28" t="s">
        <v>560</v>
      </c>
      <c r="D820" s="28" t="s">
        <v>577</v>
      </c>
      <c r="E820" s="28" t="s">
        <v>608</v>
      </c>
      <c r="F820" s="28" t="s">
        <v>604</v>
      </c>
      <c r="G820" s="29">
        <v>679</v>
      </c>
      <c r="H820" s="29">
        <v>7</v>
      </c>
      <c r="I820" s="29">
        <v>5</v>
      </c>
      <c r="J820" s="29">
        <v>5</v>
      </c>
      <c r="K820" s="29">
        <v>0</v>
      </c>
      <c r="L820" s="29">
        <v>50</v>
      </c>
      <c r="M820" s="29">
        <v>50</v>
      </c>
      <c r="N820" s="29">
        <v>0</v>
      </c>
      <c r="O820" s="29">
        <v>0</v>
      </c>
    </row>
    <row r="821" spans="1:15" x14ac:dyDescent="0.3">
      <c r="A821" s="28" t="s">
        <v>575</v>
      </c>
      <c r="B821" s="28" t="s">
        <v>576</v>
      </c>
      <c r="C821" s="28" t="s">
        <v>560</v>
      </c>
      <c r="D821" s="28" t="s">
        <v>577</v>
      </c>
      <c r="E821" s="28" t="s">
        <v>608</v>
      </c>
      <c r="F821" s="28" t="s">
        <v>581</v>
      </c>
      <c r="G821" s="29">
        <v>1095</v>
      </c>
      <c r="H821" s="29">
        <v>5</v>
      </c>
      <c r="I821" s="29">
        <v>3</v>
      </c>
      <c r="J821" s="29">
        <v>3</v>
      </c>
      <c r="K821" s="29">
        <v>0</v>
      </c>
      <c r="L821" s="29">
        <v>0</v>
      </c>
      <c r="M821" s="29">
        <v>0</v>
      </c>
      <c r="N821" s="29">
        <v>0</v>
      </c>
      <c r="O821" s="29">
        <v>0</v>
      </c>
    </row>
    <row r="822" spans="1:15" x14ac:dyDescent="0.3">
      <c r="A822" s="28" t="s">
        <v>575</v>
      </c>
      <c r="B822" s="28" t="s">
        <v>576</v>
      </c>
      <c r="C822" s="28" t="s">
        <v>560</v>
      </c>
      <c r="D822" s="28" t="s">
        <v>577</v>
      </c>
      <c r="E822" s="28" t="s">
        <v>608</v>
      </c>
      <c r="F822" s="28" t="s">
        <v>582</v>
      </c>
      <c r="G822" s="29">
        <v>1338</v>
      </c>
      <c r="H822" s="29">
        <v>5</v>
      </c>
      <c r="I822" s="29">
        <v>0</v>
      </c>
      <c r="J822" s="29">
        <v>0</v>
      </c>
      <c r="K822" s="29">
        <v>0</v>
      </c>
      <c r="L822" s="29">
        <v>0</v>
      </c>
      <c r="M822" s="29">
        <v>0</v>
      </c>
      <c r="N822" s="29">
        <v>0</v>
      </c>
      <c r="O822" s="29">
        <v>0</v>
      </c>
    </row>
    <row r="823" spans="1:15" x14ac:dyDescent="0.3">
      <c r="A823" s="28" t="s">
        <v>575</v>
      </c>
      <c r="B823" s="28" t="s">
        <v>576</v>
      </c>
      <c r="C823" s="28" t="s">
        <v>560</v>
      </c>
      <c r="D823" s="28" t="s">
        <v>577</v>
      </c>
      <c r="E823" s="28" t="s">
        <v>608</v>
      </c>
      <c r="F823" s="28" t="s">
        <v>583</v>
      </c>
      <c r="G823" s="29">
        <v>1312</v>
      </c>
      <c r="H823" s="29">
        <v>8</v>
      </c>
      <c r="I823" s="29">
        <v>7</v>
      </c>
      <c r="J823" s="29">
        <v>4</v>
      </c>
      <c r="K823" s="29">
        <v>3</v>
      </c>
      <c r="L823" s="29">
        <v>0</v>
      </c>
      <c r="M823" s="29">
        <v>0</v>
      </c>
      <c r="N823" s="29">
        <v>0</v>
      </c>
      <c r="O823" s="29">
        <v>0</v>
      </c>
    </row>
    <row r="824" spans="1:15" x14ac:dyDescent="0.3">
      <c r="A824" s="28" t="s">
        <v>575</v>
      </c>
      <c r="B824" s="28" t="s">
        <v>576</v>
      </c>
      <c r="C824" s="28" t="s">
        <v>560</v>
      </c>
      <c r="D824" s="28" t="s">
        <v>577</v>
      </c>
      <c r="E824" s="28" t="s">
        <v>608</v>
      </c>
      <c r="F824" s="28" t="s">
        <v>584</v>
      </c>
      <c r="G824" s="29">
        <v>1108</v>
      </c>
      <c r="H824" s="29">
        <v>15</v>
      </c>
      <c r="I824" s="29">
        <v>7</v>
      </c>
      <c r="J824" s="29">
        <v>4</v>
      </c>
      <c r="K824" s="29">
        <v>3</v>
      </c>
      <c r="L824" s="29">
        <v>500</v>
      </c>
      <c r="M824" s="29">
        <v>0</v>
      </c>
      <c r="N824" s="29">
        <v>500</v>
      </c>
      <c r="O824" s="29">
        <v>0</v>
      </c>
    </row>
    <row r="825" spans="1:15" x14ac:dyDescent="0.3">
      <c r="A825" s="28" t="s">
        <v>575</v>
      </c>
      <c r="B825" s="28" t="s">
        <v>576</v>
      </c>
      <c r="C825" s="28" t="s">
        <v>560</v>
      </c>
      <c r="D825" s="28" t="s">
        <v>577</v>
      </c>
      <c r="E825" s="28" t="s">
        <v>608</v>
      </c>
      <c r="F825" s="28" t="s">
        <v>585</v>
      </c>
      <c r="G825" s="29">
        <v>1084</v>
      </c>
      <c r="H825" s="29">
        <v>9</v>
      </c>
      <c r="I825" s="29">
        <v>5</v>
      </c>
      <c r="J825" s="29">
        <v>5</v>
      </c>
      <c r="K825" s="29">
        <v>0</v>
      </c>
      <c r="L825" s="29">
        <v>0</v>
      </c>
      <c r="M825" s="29">
        <v>0</v>
      </c>
      <c r="N825" s="29">
        <v>0</v>
      </c>
      <c r="O825" s="29">
        <v>0</v>
      </c>
    </row>
    <row r="826" spans="1:15" x14ac:dyDescent="0.3">
      <c r="A826" s="28" t="s">
        <v>575</v>
      </c>
      <c r="B826" s="28" t="s">
        <v>576</v>
      </c>
      <c r="C826" s="28" t="s">
        <v>560</v>
      </c>
      <c r="D826" s="28" t="s">
        <v>577</v>
      </c>
      <c r="E826" s="28" t="s">
        <v>608</v>
      </c>
      <c r="F826" s="28" t="s">
        <v>586</v>
      </c>
      <c r="G826" s="29">
        <v>96</v>
      </c>
      <c r="H826" s="29">
        <v>0</v>
      </c>
      <c r="I826" s="29">
        <v>1</v>
      </c>
      <c r="J826" s="29">
        <v>0</v>
      </c>
      <c r="K826" s="29">
        <v>1</v>
      </c>
      <c r="L826" s="29">
        <v>0</v>
      </c>
      <c r="M826" s="29">
        <v>0</v>
      </c>
      <c r="N826" s="29">
        <v>0</v>
      </c>
      <c r="O826" s="29">
        <v>0</v>
      </c>
    </row>
    <row r="827" spans="1:15" x14ac:dyDescent="0.3">
      <c r="A827" s="28" t="s">
        <v>575</v>
      </c>
      <c r="B827" s="28" t="s">
        <v>576</v>
      </c>
      <c r="C827" s="28" t="s">
        <v>560</v>
      </c>
      <c r="D827" s="28" t="s">
        <v>577</v>
      </c>
      <c r="E827" s="28" t="s">
        <v>608</v>
      </c>
      <c r="F827" s="28" t="s">
        <v>587</v>
      </c>
      <c r="G827" s="29">
        <v>0</v>
      </c>
      <c r="H827" s="29">
        <v>0</v>
      </c>
      <c r="I827" s="29">
        <v>4</v>
      </c>
      <c r="J827" s="29">
        <v>0</v>
      </c>
      <c r="K827" s="29">
        <v>4</v>
      </c>
      <c r="L827" s="29">
        <v>500</v>
      </c>
      <c r="M827" s="29">
        <v>0</v>
      </c>
      <c r="N827" s="29">
        <v>500</v>
      </c>
      <c r="O827" s="29">
        <v>0</v>
      </c>
    </row>
    <row r="828" spans="1:15" x14ac:dyDescent="0.3">
      <c r="A828" s="28" t="s">
        <v>575</v>
      </c>
      <c r="B828" s="28" t="s">
        <v>576</v>
      </c>
      <c r="C828" s="28" t="s">
        <v>560</v>
      </c>
      <c r="D828" s="28" t="s">
        <v>577</v>
      </c>
      <c r="E828" s="28" t="s">
        <v>608</v>
      </c>
      <c r="F828" s="28" t="s">
        <v>579</v>
      </c>
      <c r="G828" s="29">
        <v>0</v>
      </c>
      <c r="H828" s="29">
        <v>0</v>
      </c>
      <c r="I828" s="29">
        <v>6</v>
      </c>
      <c r="J828" s="29">
        <v>0</v>
      </c>
      <c r="K828" s="29">
        <v>6</v>
      </c>
      <c r="L828" s="29">
        <v>500</v>
      </c>
      <c r="M828" s="29">
        <v>0</v>
      </c>
      <c r="N828" s="29">
        <v>500</v>
      </c>
      <c r="O828" s="29">
        <v>0</v>
      </c>
    </row>
    <row r="829" spans="1:15" x14ac:dyDescent="0.3">
      <c r="A829" s="28" t="s">
        <v>575</v>
      </c>
      <c r="B829" s="28" t="s">
        <v>576</v>
      </c>
      <c r="C829" s="28" t="s">
        <v>560</v>
      </c>
      <c r="D829" s="28" t="s">
        <v>577</v>
      </c>
      <c r="E829" s="28" t="s">
        <v>608</v>
      </c>
      <c r="F829" s="28" t="s">
        <v>588</v>
      </c>
      <c r="G829" s="29">
        <v>0</v>
      </c>
      <c r="H829" s="29">
        <v>0</v>
      </c>
      <c r="I829" s="29">
        <v>1</v>
      </c>
      <c r="J829" s="29">
        <v>0</v>
      </c>
      <c r="K829" s="29">
        <v>1</v>
      </c>
      <c r="L829" s="29">
        <v>0</v>
      </c>
      <c r="M829" s="29">
        <v>0</v>
      </c>
      <c r="N829" s="29">
        <v>0</v>
      </c>
      <c r="O829" s="29">
        <v>0</v>
      </c>
    </row>
    <row r="830" spans="1:15" x14ac:dyDescent="0.3">
      <c r="A830" s="28" t="s">
        <v>575</v>
      </c>
      <c r="B830" s="28" t="s">
        <v>576</v>
      </c>
      <c r="C830" s="28" t="s">
        <v>560</v>
      </c>
      <c r="D830" s="28" t="s">
        <v>577</v>
      </c>
      <c r="E830" s="28" t="s">
        <v>608</v>
      </c>
      <c r="F830" s="28" t="s">
        <v>589</v>
      </c>
      <c r="G830" s="29">
        <v>0</v>
      </c>
      <c r="H830" s="29">
        <v>0</v>
      </c>
      <c r="I830" s="29">
        <v>5</v>
      </c>
      <c r="J830" s="29">
        <v>0</v>
      </c>
      <c r="K830" s="29">
        <v>5</v>
      </c>
      <c r="L830" s="29">
        <v>500</v>
      </c>
      <c r="M830" s="29">
        <v>0</v>
      </c>
      <c r="N830" s="29">
        <v>500</v>
      </c>
      <c r="O830" s="29">
        <v>0</v>
      </c>
    </row>
    <row r="831" spans="1:15" x14ac:dyDescent="0.3">
      <c r="A831" s="28" t="s">
        <v>575</v>
      </c>
      <c r="B831" s="28" t="s">
        <v>576</v>
      </c>
      <c r="C831" s="28" t="s">
        <v>560</v>
      </c>
      <c r="D831" s="28" t="s">
        <v>577</v>
      </c>
      <c r="E831" s="28" t="s">
        <v>608</v>
      </c>
      <c r="F831" s="28" t="s">
        <v>591</v>
      </c>
      <c r="G831" s="29">
        <v>0</v>
      </c>
      <c r="H831" s="29">
        <v>0</v>
      </c>
      <c r="I831" s="29">
        <v>2</v>
      </c>
      <c r="J831" s="29">
        <v>0</v>
      </c>
      <c r="K831" s="29">
        <v>2</v>
      </c>
      <c r="L831" s="29">
        <v>1000</v>
      </c>
      <c r="M831" s="29">
        <v>0</v>
      </c>
      <c r="N831" s="29">
        <v>1000</v>
      </c>
      <c r="O831" s="29">
        <v>0</v>
      </c>
    </row>
    <row r="832" spans="1:15" x14ac:dyDescent="0.3">
      <c r="A832" s="28" t="s">
        <v>575</v>
      </c>
      <c r="B832" s="28" t="s">
        <v>576</v>
      </c>
      <c r="C832" s="28" t="s">
        <v>560</v>
      </c>
      <c r="D832" s="28" t="s">
        <v>577</v>
      </c>
      <c r="E832" s="28" t="s">
        <v>608</v>
      </c>
      <c r="F832" s="28" t="s">
        <v>592</v>
      </c>
      <c r="G832" s="29">
        <v>0</v>
      </c>
      <c r="H832" s="29">
        <v>0</v>
      </c>
      <c r="I832" s="29">
        <v>1</v>
      </c>
      <c r="J832" s="29">
        <v>1</v>
      </c>
      <c r="K832" s="29">
        <v>0</v>
      </c>
      <c r="L832" s="29">
        <v>0</v>
      </c>
      <c r="M832" s="29">
        <v>0</v>
      </c>
      <c r="N832" s="29">
        <v>0</v>
      </c>
      <c r="O832" s="29">
        <v>0</v>
      </c>
    </row>
    <row r="833" spans="1:15" x14ac:dyDescent="0.3">
      <c r="A833" s="28" t="s">
        <v>575</v>
      </c>
      <c r="B833" s="28" t="s">
        <v>576</v>
      </c>
      <c r="C833" s="28" t="s">
        <v>560</v>
      </c>
      <c r="D833" s="28" t="s">
        <v>577</v>
      </c>
      <c r="E833" s="28" t="s">
        <v>608</v>
      </c>
      <c r="F833" s="28" t="s">
        <v>593</v>
      </c>
      <c r="G833" s="29">
        <v>34</v>
      </c>
      <c r="H833" s="29">
        <v>1</v>
      </c>
      <c r="I833" s="29">
        <v>1</v>
      </c>
      <c r="J833" s="29">
        <v>0</v>
      </c>
      <c r="K833" s="29">
        <v>1</v>
      </c>
      <c r="L833" s="29">
        <v>0</v>
      </c>
      <c r="M833" s="29">
        <v>0</v>
      </c>
      <c r="N833" s="29">
        <v>0</v>
      </c>
      <c r="O833" s="29">
        <v>0</v>
      </c>
    </row>
    <row r="834" spans="1:15" x14ac:dyDescent="0.3">
      <c r="A834" s="28" t="s">
        <v>575</v>
      </c>
      <c r="B834" s="28" t="s">
        <v>576</v>
      </c>
      <c r="C834" s="28" t="s">
        <v>560</v>
      </c>
      <c r="D834" s="28" t="s">
        <v>577</v>
      </c>
      <c r="E834" s="28" t="s">
        <v>608</v>
      </c>
      <c r="F834" s="28" t="s">
        <v>594</v>
      </c>
      <c r="G834" s="29">
        <v>230</v>
      </c>
      <c r="H834" s="29">
        <v>3</v>
      </c>
      <c r="I834" s="29">
        <v>1</v>
      </c>
      <c r="J834" s="29">
        <v>0</v>
      </c>
      <c r="K834" s="29">
        <v>1</v>
      </c>
      <c r="L834" s="29">
        <v>0</v>
      </c>
      <c r="M834" s="29">
        <v>0</v>
      </c>
      <c r="N834" s="29">
        <v>0</v>
      </c>
      <c r="O834" s="29">
        <v>0</v>
      </c>
    </row>
    <row r="835" spans="1:15" x14ac:dyDescent="0.3">
      <c r="A835" s="28" t="s">
        <v>575</v>
      </c>
      <c r="B835" s="28" t="s">
        <v>576</v>
      </c>
      <c r="C835" s="28" t="s">
        <v>560</v>
      </c>
      <c r="D835" s="28" t="s">
        <v>577</v>
      </c>
      <c r="E835" s="28" t="s">
        <v>608</v>
      </c>
      <c r="F835" s="28" t="s">
        <v>595</v>
      </c>
      <c r="G835" s="29">
        <v>157</v>
      </c>
      <c r="H835" s="29">
        <v>0</v>
      </c>
      <c r="I835" s="29">
        <v>0</v>
      </c>
      <c r="J835" s="29">
        <v>0</v>
      </c>
      <c r="K835" s="29">
        <v>0</v>
      </c>
      <c r="L835" s="29">
        <v>0</v>
      </c>
      <c r="M835" s="29">
        <v>0</v>
      </c>
      <c r="N835" s="29">
        <v>0</v>
      </c>
      <c r="O835" s="29">
        <v>0</v>
      </c>
    </row>
    <row r="836" spans="1:15" x14ac:dyDescent="0.3">
      <c r="A836" s="28" t="s">
        <v>575</v>
      </c>
      <c r="B836" s="28" t="s">
        <v>576</v>
      </c>
      <c r="C836" s="28" t="s">
        <v>560</v>
      </c>
      <c r="D836" s="28" t="s">
        <v>577</v>
      </c>
      <c r="E836" s="28" t="s">
        <v>609</v>
      </c>
      <c r="F836" s="28" t="s">
        <v>597</v>
      </c>
      <c r="G836" s="29">
        <v>148</v>
      </c>
      <c r="H836" s="29">
        <v>1</v>
      </c>
      <c r="I836" s="29">
        <v>0</v>
      </c>
      <c r="J836" s="29">
        <v>0</v>
      </c>
      <c r="K836" s="29">
        <v>0</v>
      </c>
      <c r="L836" s="29">
        <v>0</v>
      </c>
      <c r="M836" s="29">
        <v>0</v>
      </c>
      <c r="N836" s="29">
        <v>0</v>
      </c>
      <c r="O836" s="29">
        <v>0</v>
      </c>
    </row>
    <row r="837" spans="1:15" x14ac:dyDescent="0.3">
      <c r="A837" s="28" t="s">
        <v>575</v>
      </c>
      <c r="B837" s="28" t="s">
        <v>576</v>
      </c>
      <c r="C837" s="28" t="s">
        <v>560</v>
      </c>
      <c r="D837" s="28" t="s">
        <v>577</v>
      </c>
      <c r="E837" s="28" t="s">
        <v>609</v>
      </c>
      <c r="F837" s="28" t="s">
        <v>598</v>
      </c>
      <c r="G837" s="29">
        <v>118</v>
      </c>
      <c r="H837" s="29">
        <v>1</v>
      </c>
      <c r="I837" s="29">
        <v>0</v>
      </c>
      <c r="J837" s="29">
        <v>0</v>
      </c>
      <c r="K837" s="29">
        <v>0</v>
      </c>
      <c r="L837" s="29">
        <v>0</v>
      </c>
      <c r="M837" s="29">
        <v>0</v>
      </c>
      <c r="N837" s="29">
        <v>0</v>
      </c>
      <c r="O837" s="29">
        <v>0</v>
      </c>
    </row>
    <row r="838" spans="1:15" x14ac:dyDescent="0.3">
      <c r="A838" s="28" t="s">
        <v>575</v>
      </c>
      <c r="B838" s="28" t="s">
        <v>576</v>
      </c>
      <c r="C838" s="28" t="s">
        <v>560</v>
      </c>
      <c r="D838" s="28" t="s">
        <v>577</v>
      </c>
      <c r="E838" s="28" t="s">
        <v>609</v>
      </c>
      <c r="F838" s="28" t="s">
        <v>599</v>
      </c>
      <c r="G838" s="29">
        <v>80</v>
      </c>
      <c r="H838" s="29">
        <v>0</v>
      </c>
      <c r="I838" s="29">
        <v>0</v>
      </c>
      <c r="J838" s="29">
        <v>0</v>
      </c>
      <c r="K838" s="29">
        <v>0</v>
      </c>
      <c r="L838" s="29">
        <v>0</v>
      </c>
      <c r="M838" s="29">
        <v>0</v>
      </c>
      <c r="N838" s="29">
        <v>0</v>
      </c>
      <c r="O838" s="29">
        <v>0</v>
      </c>
    </row>
    <row r="839" spans="1:15" x14ac:dyDescent="0.3">
      <c r="A839" s="28" t="s">
        <v>575</v>
      </c>
      <c r="B839" s="28" t="s">
        <v>576</v>
      </c>
      <c r="C839" s="28" t="s">
        <v>560</v>
      </c>
      <c r="D839" s="28" t="s">
        <v>577</v>
      </c>
      <c r="E839" s="28" t="s">
        <v>609</v>
      </c>
      <c r="F839" s="28" t="s">
        <v>600</v>
      </c>
      <c r="G839" s="29">
        <v>71</v>
      </c>
      <c r="H839" s="29">
        <v>0</v>
      </c>
      <c r="I839" s="29">
        <v>0</v>
      </c>
      <c r="J839" s="29">
        <v>0</v>
      </c>
      <c r="K839" s="29">
        <v>0</v>
      </c>
      <c r="L839" s="29">
        <v>0</v>
      </c>
      <c r="M839" s="29">
        <v>0</v>
      </c>
      <c r="N839" s="29">
        <v>0</v>
      </c>
      <c r="O839" s="29">
        <v>0</v>
      </c>
    </row>
    <row r="840" spans="1:15" x14ac:dyDescent="0.3">
      <c r="A840" s="28" t="s">
        <v>575</v>
      </c>
      <c r="B840" s="28" t="s">
        <v>576</v>
      </c>
      <c r="C840" s="28" t="s">
        <v>560</v>
      </c>
      <c r="D840" s="28" t="s">
        <v>577</v>
      </c>
      <c r="E840" s="28" t="s">
        <v>609</v>
      </c>
      <c r="F840" s="28" t="s">
        <v>601</v>
      </c>
      <c r="G840" s="29">
        <v>147</v>
      </c>
      <c r="H840" s="29">
        <v>0</v>
      </c>
      <c r="I840" s="29">
        <v>0</v>
      </c>
      <c r="J840" s="29">
        <v>0</v>
      </c>
      <c r="K840" s="29">
        <v>0</v>
      </c>
      <c r="L840" s="29">
        <v>0</v>
      </c>
      <c r="M840" s="29">
        <v>0</v>
      </c>
      <c r="N840" s="29">
        <v>0</v>
      </c>
      <c r="O840" s="29">
        <v>0</v>
      </c>
    </row>
    <row r="841" spans="1:15" x14ac:dyDescent="0.3">
      <c r="A841" s="28" t="s">
        <v>575</v>
      </c>
      <c r="B841" s="28" t="s">
        <v>576</v>
      </c>
      <c r="C841" s="28" t="s">
        <v>560</v>
      </c>
      <c r="D841" s="28" t="s">
        <v>577</v>
      </c>
      <c r="E841" s="28" t="s">
        <v>609</v>
      </c>
      <c r="F841" s="28" t="s">
        <v>602</v>
      </c>
      <c r="G841" s="29">
        <v>406</v>
      </c>
      <c r="H841" s="29">
        <v>2</v>
      </c>
      <c r="I841" s="29">
        <v>2</v>
      </c>
      <c r="J841" s="29">
        <v>1</v>
      </c>
      <c r="K841" s="29">
        <v>1</v>
      </c>
      <c r="L841" s="29">
        <v>100</v>
      </c>
      <c r="M841" s="29">
        <v>0</v>
      </c>
      <c r="N841" s="29">
        <v>100</v>
      </c>
      <c r="O841" s="29">
        <v>0</v>
      </c>
    </row>
    <row r="842" spans="1:15" x14ac:dyDescent="0.3">
      <c r="A842" s="28" t="s">
        <v>575</v>
      </c>
      <c r="B842" s="28" t="s">
        <v>576</v>
      </c>
      <c r="C842" s="28" t="s">
        <v>560</v>
      </c>
      <c r="D842" s="28" t="s">
        <v>577</v>
      </c>
      <c r="E842" s="28" t="s">
        <v>609</v>
      </c>
      <c r="F842" s="28" t="s">
        <v>603</v>
      </c>
      <c r="G842" s="29">
        <v>156</v>
      </c>
      <c r="H842" s="29">
        <v>0</v>
      </c>
      <c r="I842" s="29">
        <v>0</v>
      </c>
      <c r="J842" s="29">
        <v>0</v>
      </c>
      <c r="K842" s="29">
        <v>0</v>
      </c>
      <c r="L842" s="29">
        <v>0</v>
      </c>
      <c r="M842" s="29">
        <v>0</v>
      </c>
      <c r="N842" s="29">
        <v>0</v>
      </c>
      <c r="O842" s="29">
        <v>0</v>
      </c>
    </row>
    <row r="843" spans="1:15" x14ac:dyDescent="0.3">
      <c r="A843" s="28" t="s">
        <v>575</v>
      </c>
      <c r="B843" s="28" t="s">
        <v>576</v>
      </c>
      <c r="C843" s="28" t="s">
        <v>560</v>
      </c>
      <c r="D843" s="28" t="s">
        <v>577</v>
      </c>
      <c r="E843" s="28" t="s">
        <v>609</v>
      </c>
      <c r="F843" s="28" t="s">
        <v>604</v>
      </c>
      <c r="G843" s="29">
        <v>183</v>
      </c>
      <c r="H843" s="29">
        <v>0</v>
      </c>
      <c r="I843" s="29">
        <v>2</v>
      </c>
      <c r="J843" s="29">
        <v>0</v>
      </c>
      <c r="K843" s="29">
        <v>2</v>
      </c>
      <c r="L843" s="29">
        <v>0</v>
      </c>
      <c r="M843" s="29">
        <v>0</v>
      </c>
      <c r="N843" s="29">
        <v>0</v>
      </c>
      <c r="O843" s="29">
        <v>0</v>
      </c>
    </row>
    <row r="844" spans="1:15" x14ac:dyDescent="0.3">
      <c r="A844" s="28" t="s">
        <v>575</v>
      </c>
      <c r="B844" s="28" t="s">
        <v>576</v>
      </c>
      <c r="C844" s="28" t="s">
        <v>560</v>
      </c>
      <c r="D844" s="28" t="s">
        <v>577</v>
      </c>
      <c r="E844" s="28" t="s">
        <v>609</v>
      </c>
      <c r="F844" s="28" t="s">
        <v>581</v>
      </c>
      <c r="G844" s="29">
        <v>139</v>
      </c>
      <c r="H844" s="29">
        <v>1</v>
      </c>
      <c r="I844" s="29">
        <v>3</v>
      </c>
      <c r="J844" s="29">
        <v>0</v>
      </c>
      <c r="K844" s="29">
        <v>3</v>
      </c>
      <c r="L844" s="29">
        <v>500</v>
      </c>
      <c r="M844" s="29">
        <v>0</v>
      </c>
      <c r="N844" s="29">
        <v>500</v>
      </c>
      <c r="O844" s="29">
        <v>0</v>
      </c>
    </row>
    <row r="845" spans="1:15" x14ac:dyDescent="0.3">
      <c r="A845" s="28" t="s">
        <v>575</v>
      </c>
      <c r="B845" s="28" t="s">
        <v>576</v>
      </c>
      <c r="C845" s="28" t="s">
        <v>560</v>
      </c>
      <c r="D845" s="28" t="s">
        <v>577</v>
      </c>
      <c r="E845" s="28" t="s">
        <v>609</v>
      </c>
      <c r="F845" s="28" t="s">
        <v>582</v>
      </c>
      <c r="G845" s="29">
        <v>197</v>
      </c>
      <c r="H845" s="29">
        <v>0</v>
      </c>
      <c r="I845" s="29">
        <v>1</v>
      </c>
      <c r="J845" s="29">
        <v>0</v>
      </c>
      <c r="K845" s="29">
        <v>1</v>
      </c>
      <c r="L845" s="29">
        <v>0</v>
      </c>
      <c r="M845" s="29">
        <v>0</v>
      </c>
      <c r="N845" s="29">
        <v>0</v>
      </c>
      <c r="O845" s="29">
        <v>0</v>
      </c>
    </row>
    <row r="846" spans="1:15" x14ac:dyDescent="0.3">
      <c r="A846" s="28" t="s">
        <v>575</v>
      </c>
      <c r="B846" s="28" t="s">
        <v>576</v>
      </c>
      <c r="C846" s="28" t="s">
        <v>560</v>
      </c>
      <c r="D846" s="28" t="s">
        <v>577</v>
      </c>
      <c r="E846" s="28" t="s">
        <v>609</v>
      </c>
      <c r="F846" s="28" t="s">
        <v>583</v>
      </c>
      <c r="G846" s="29">
        <v>142</v>
      </c>
      <c r="H846" s="29">
        <v>1</v>
      </c>
      <c r="I846" s="29">
        <v>6</v>
      </c>
      <c r="J846" s="29">
        <v>0</v>
      </c>
      <c r="K846" s="29">
        <v>6</v>
      </c>
      <c r="L846" s="29">
        <v>500</v>
      </c>
      <c r="M846" s="29">
        <v>0</v>
      </c>
      <c r="N846" s="29">
        <v>500</v>
      </c>
      <c r="O846" s="29">
        <v>0</v>
      </c>
    </row>
    <row r="847" spans="1:15" x14ac:dyDescent="0.3">
      <c r="A847" s="28" t="s">
        <v>575</v>
      </c>
      <c r="B847" s="28" t="s">
        <v>576</v>
      </c>
      <c r="C847" s="28" t="s">
        <v>560</v>
      </c>
      <c r="D847" s="28" t="s">
        <v>577</v>
      </c>
      <c r="E847" s="28" t="s">
        <v>609</v>
      </c>
      <c r="F847" s="28" t="s">
        <v>584</v>
      </c>
      <c r="G847" s="29">
        <v>147</v>
      </c>
      <c r="H847" s="29">
        <v>2</v>
      </c>
      <c r="I847" s="29">
        <v>5</v>
      </c>
      <c r="J847" s="29">
        <v>1</v>
      </c>
      <c r="K847" s="29">
        <v>4</v>
      </c>
      <c r="L847" s="29">
        <v>0</v>
      </c>
      <c r="M847" s="29">
        <v>0</v>
      </c>
      <c r="N847" s="29">
        <v>0</v>
      </c>
      <c r="O847" s="29">
        <v>0</v>
      </c>
    </row>
    <row r="848" spans="1:15" x14ac:dyDescent="0.3">
      <c r="A848" s="28" t="s">
        <v>575</v>
      </c>
      <c r="B848" s="28" t="s">
        <v>576</v>
      </c>
      <c r="C848" s="28" t="s">
        <v>560</v>
      </c>
      <c r="D848" s="28" t="s">
        <v>577</v>
      </c>
      <c r="E848" s="28" t="s">
        <v>609</v>
      </c>
      <c r="F848" s="28" t="s">
        <v>585</v>
      </c>
      <c r="G848" s="29">
        <v>159</v>
      </c>
      <c r="H848" s="29">
        <v>1</v>
      </c>
      <c r="I848" s="29">
        <v>8</v>
      </c>
      <c r="J848" s="29">
        <v>0</v>
      </c>
      <c r="K848" s="29">
        <v>8</v>
      </c>
      <c r="L848" s="29">
        <v>0</v>
      </c>
      <c r="M848" s="29">
        <v>0</v>
      </c>
      <c r="N848" s="29">
        <v>0</v>
      </c>
      <c r="O848" s="29">
        <v>0</v>
      </c>
    </row>
    <row r="849" spans="1:15" x14ac:dyDescent="0.3">
      <c r="A849" s="28" t="s">
        <v>575</v>
      </c>
      <c r="B849" s="28" t="s">
        <v>576</v>
      </c>
      <c r="C849" s="28" t="s">
        <v>560</v>
      </c>
      <c r="D849" s="28" t="s">
        <v>577</v>
      </c>
      <c r="E849" s="28" t="s">
        <v>609</v>
      </c>
      <c r="F849" s="28" t="s">
        <v>586</v>
      </c>
      <c r="G849" s="29">
        <v>153</v>
      </c>
      <c r="H849" s="29">
        <v>2</v>
      </c>
      <c r="I849" s="29">
        <v>2</v>
      </c>
      <c r="J849" s="29">
        <v>1</v>
      </c>
      <c r="K849" s="29">
        <v>1</v>
      </c>
      <c r="L849" s="29">
        <v>0</v>
      </c>
      <c r="M849" s="29">
        <v>0</v>
      </c>
      <c r="N849" s="29">
        <v>0</v>
      </c>
      <c r="O849" s="29">
        <v>0</v>
      </c>
    </row>
    <row r="850" spans="1:15" x14ac:dyDescent="0.3">
      <c r="A850" s="28" t="s">
        <v>575</v>
      </c>
      <c r="B850" s="28" t="s">
        <v>576</v>
      </c>
      <c r="C850" s="28" t="s">
        <v>560</v>
      </c>
      <c r="D850" s="28" t="s">
        <v>577</v>
      </c>
      <c r="E850" s="28" t="s">
        <v>609</v>
      </c>
      <c r="F850" s="28" t="s">
        <v>587</v>
      </c>
      <c r="G850" s="29">
        <v>149</v>
      </c>
      <c r="H850" s="29">
        <v>2</v>
      </c>
      <c r="I850" s="29">
        <v>6</v>
      </c>
      <c r="J850" s="29">
        <v>2</v>
      </c>
      <c r="K850" s="29">
        <v>4</v>
      </c>
      <c r="L850" s="29">
        <v>0</v>
      </c>
      <c r="M850" s="29">
        <v>0</v>
      </c>
      <c r="N850" s="29">
        <v>0</v>
      </c>
      <c r="O850" s="29">
        <v>0</v>
      </c>
    </row>
    <row r="851" spans="1:15" x14ac:dyDescent="0.3">
      <c r="A851" s="28" t="s">
        <v>575</v>
      </c>
      <c r="B851" s="28" t="s">
        <v>576</v>
      </c>
      <c r="C851" s="28" t="s">
        <v>560</v>
      </c>
      <c r="D851" s="28" t="s">
        <v>577</v>
      </c>
      <c r="E851" s="28" t="s">
        <v>609</v>
      </c>
      <c r="F851" s="28" t="s">
        <v>579</v>
      </c>
      <c r="G851" s="29">
        <v>198</v>
      </c>
      <c r="H851" s="29">
        <v>2</v>
      </c>
      <c r="I851" s="29">
        <v>7</v>
      </c>
      <c r="J851" s="29">
        <v>0</v>
      </c>
      <c r="K851" s="29">
        <v>7</v>
      </c>
      <c r="L851" s="29">
        <v>0</v>
      </c>
      <c r="M851" s="29">
        <v>0</v>
      </c>
      <c r="N851" s="29">
        <v>0</v>
      </c>
      <c r="O851" s="29">
        <v>0</v>
      </c>
    </row>
    <row r="852" spans="1:15" x14ac:dyDescent="0.3">
      <c r="A852" s="28" t="s">
        <v>575</v>
      </c>
      <c r="B852" s="28" t="s">
        <v>576</v>
      </c>
      <c r="C852" s="28" t="s">
        <v>560</v>
      </c>
      <c r="D852" s="28" t="s">
        <v>577</v>
      </c>
      <c r="E852" s="28" t="s">
        <v>609</v>
      </c>
      <c r="F852" s="28" t="s">
        <v>588</v>
      </c>
      <c r="G852" s="29">
        <v>587</v>
      </c>
      <c r="H852" s="29">
        <v>8</v>
      </c>
      <c r="I852" s="29">
        <v>5</v>
      </c>
      <c r="J852" s="29">
        <v>2</v>
      </c>
      <c r="K852" s="29">
        <v>3</v>
      </c>
      <c r="L852" s="29">
        <v>0</v>
      </c>
      <c r="M852" s="29">
        <v>0</v>
      </c>
      <c r="N852" s="29">
        <v>0</v>
      </c>
      <c r="O852" s="29">
        <v>0</v>
      </c>
    </row>
    <row r="853" spans="1:15" x14ac:dyDescent="0.3">
      <c r="A853" s="28" t="s">
        <v>575</v>
      </c>
      <c r="B853" s="28" t="s">
        <v>576</v>
      </c>
      <c r="C853" s="28" t="s">
        <v>560</v>
      </c>
      <c r="D853" s="28" t="s">
        <v>577</v>
      </c>
      <c r="E853" s="28" t="s">
        <v>609</v>
      </c>
      <c r="F853" s="28" t="s">
        <v>589</v>
      </c>
      <c r="G853" s="29">
        <v>307</v>
      </c>
      <c r="H853" s="29">
        <v>1</v>
      </c>
      <c r="I853" s="29">
        <v>0</v>
      </c>
      <c r="J853" s="29">
        <v>0</v>
      </c>
      <c r="K853" s="29">
        <v>0</v>
      </c>
      <c r="L853" s="29">
        <v>0</v>
      </c>
      <c r="M853" s="29">
        <v>0</v>
      </c>
      <c r="N853" s="29">
        <v>0</v>
      </c>
      <c r="O853" s="29">
        <v>0</v>
      </c>
    </row>
    <row r="854" spans="1:15" x14ac:dyDescent="0.3">
      <c r="A854" s="28" t="s">
        <v>575</v>
      </c>
      <c r="B854" s="28" t="s">
        <v>576</v>
      </c>
      <c r="C854" s="28" t="s">
        <v>560</v>
      </c>
      <c r="D854" s="28" t="s">
        <v>577</v>
      </c>
      <c r="E854" s="28" t="s">
        <v>609</v>
      </c>
      <c r="F854" s="28" t="s">
        <v>590</v>
      </c>
      <c r="G854" s="29">
        <v>26</v>
      </c>
      <c r="H854" s="29">
        <v>0</v>
      </c>
      <c r="I854" s="29">
        <v>0</v>
      </c>
      <c r="J854" s="29">
        <v>0</v>
      </c>
      <c r="K854" s="29">
        <v>0</v>
      </c>
      <c r="L854" s="29">
        <v>0</v>
      </c>
      <c r="M854" s="29">
        <v>0</v>
      </c>
      <c r="N854" s="29">
        <v>0</v>
      </c>
      <c r="O854" s="29">
        <v>0</v>
      </c>
    </row>
    <row r="855" spans="1:15" x14ac:dyDescent="0.3">
      <c r="A855" s="28" t="s">
        <v>575</v>
      </c>
      <c r="B855" s="28" t="s">
        <v>576</v>
      </c>
      <c r="C855" s="28" t="s">
        <v>560</v>
      </c>
      <c r="D855" s="28" t="s">
        <v>577</v>
      </c>
      <c r="E855" s="28" t="s">
        <v>609</v>
      </c>
      <c r="F855" s="28" t="s">
        <v>591</v>
      </c>
      <c r="G855" s="29">
        <v>0</v>
      </c>
      <c r="H855" s="29">
        <v>0</v>
      </c>
      <c r="I855" s="29">
        <v>5</v>
      </c>
      <c r="J855" s="29">
        <v>0</v>
      </c>
      <c r="K855" s="29">
        <v>5</v>
      </c>
      <c r="L855" s="29">
        <v>500</v>
      </c>
      <c r="M855" s="29">
        <v>0</v>
      </c>
      <c r="N855" s="29">
        <v>500</v>
      </c>
      <c r="O855" s="29">
        <v>0</v>
      </c>
    </row>
    <row r="856" spans="1:15" x14ac:dyDescent="0.3">
      <c r="A856" s="28" t="s">
        <v>575</v>
      </c>
      <c r="B856" s="28" t="s">
        <v>576</v>
      </c>
      <c r="C856" s="28" t="s">
        <v>560</v>
      </c>
      <c r="D856" s="28" t="s">
        <v>577</v>
      </c>
      <c r="E856" s="28" t="s">
        <v>609</v>
      </c>
      <c r="F856" s="28" t="s">
        <v>592</v>
      </c>
      <c r="G856" s="29">
        <v>0</v>
      </c>
      <c r="H856" s="29">
        <v>0</v>
      </c>
      <c r="I856" s="29">
        <v>1</v>
      </c>
      <c r="J856" s="29">
        <v>0</v>
      </c>
      <c r="K856" s="29">
        <v>1</v>
      </c>
      <c r="L856" s="29">
        <v>0</v>
      </c>
      <c r="M856" s="29">
        <v>0</v>
      </c>
      <c r="N856" s="29">
        <v>0</v>
      </c>
      <c r="O856" s="29">
        <v>0</v>
      </c>
    </row>
    <row r="857" spans="1:15" x14ac:dyDescent="0.3">
      <c r="A857" s="28" t="s">
        <v>575</v>
      </c>
      <c r="B857" s="28" t="s">
        <v>576</v>
      </c>
      <c r="C857" s="28" t="s">
        <v>560</v>
      </c>
      <c r="D857" s="28" t="s">
        <v>577</v>
      </c>
      <c r="E857" s="28" t="s">
        <v>609</v>
      </c>
      <c r="F857" s="28" t="s">
        <v>593</v>
      </c>
      <c r="G857" s="29">
        <v>0</v>
      </c>
      <c r="H857" s="29">
        <v>0</v>
      </c>
      <c r="I857" s="29">
        <v>3</v>
      </c>
      <c r="J857" s="29">
        <v>0</v>
      </c>
      <c r="K857" s="29">
        <v>3</v>
      </c>
      <c r="L857" s="29">
        <v>0</v>
      </c>
      <c r="M857" s="29">
        <v>0</v>
      </c>
      <c r="N857" s="29">
        <v>0</v>
      </c>
      <c r="O857" s="29">
        <v>0</v>
      </c>
    </row>
    <row r="858" spans="1:15" x14ac:dyDescent="0.3">
      <c r="A858" s="28" t="s">
        <v>575</v>
      </c>
      <c r="B858" s="28" t="s">
        <v>576</v>
      </c>
      <c r="C858" s="28" t="s">
        <v>560</v>
      </c>
      <c r="D858" s="28" t="s">
        <v>577</v>
      </c>
      <c r="E858" s="28" t="s">
        <v>609</v>
      </c>
      <c r="F858" s="28" t="s">
        <v>594</v>
      </c>
      <c r="G858" s="29">
        <v>178</v>
      </c>
      <c r="H858" s="29">
        <v>1</v>
      </c>
      <c r="I858" s="29">
        <v>0</v>
      </c>
      <c r="J858" s="29">
        <v>0</v>
      </c>
      <c r="K858" s="29">
        <v>0</v>
      </c>
      <c r="L858" s="29">
        <v>0</v>
      </c>
      <c r="M858" s="29">
        <v>0</v>
      </c>
      <c r="N858" s="29">
        <v>0</v>
      </c>
      <c r="O858" s="29">
        <v>0</v>
      </c>
    </row>
    <row r="859" spans="1:15" x14ac:dyDescent="0.3">
      <c r="A859" s="28" t="s">
        <v>575</v>
      </c>
      <c r="B859" s="28" t="s">
        <v>576</v>
      </c>
      <c r="C859" s="28" t="s">
        <v>560</v>
      </c>
      <c r="D859" s="28" t="s">
        <v>577</v>
      </c>
      <c r="E859" s="28" t="s">
        <v>609</v>
      </c>
      <c r="F859" s="28" t="s">
        <v>595</v>
      </c>
      <c r="G859" s="29">
        <v>228</v>
      </c>
      <c r="H859" s="29">
        <v>0</v>
      </c>
      <c r="I859" s="29">
        <v>0</v>
      </c>
      <c r="J859" s="29">
        <v>0</v>
      </c>
      <c r="K859" s="29">
        <v>0</v>
      </c>
      <c r="L859" s="29">
        <v>0</v>
      </c>
      <c r="M859" s="29">
        <v>0</v>
      </c>
      <c r="N859" s="29">
        <v>0</v>
      </c>
      <c r="O859" s="29">
        <v>0</v>
      </c>
    </row>
    <row r="860" spans="1:15" x14ac:dyDescent="0.3">
      <c r="A860" s="28" t="s">
        <v>575</v>
      </c>
      <c r="B860" s="28" t="s">
        <v>576</v>
      </c>
      <c r="C860" s="28" t="s">
        <v>560</v>
      </c>
      <c r="D860" s="28" t="s">
        <v>577</v>
      </c>
      <c r="E860" s="28" t="s">
        <v>610</v>
      </c>
      <c r="F860" s="28" t="s">
        <v>597</v>
      </c>
      <c r="G860" s="29">
        <v>144</v>
      </c>
      <c r="H860" s="29">
        <v>1</v>
      </c>
      <c r="I860" s="29">
        <v>0</v>
      </c>
      <c r="J860" s="29">
        <v>0</v>
      </c>
      <c r="K860" s="29">
        <v>0</v>
      </c>
      <c r="L860" s="29">
        <v>0</v>
      </c>
      <c r="M860" s="29">
        <v>0</v>
      </c>
      <c r="N860" s="29">
        <v>0</v>
      </c>
      <c r="O860" s="29">
        <v>0</v>
      </c>
    </row>
    <row r="861" spans="1:15" x14ac:dyDescent="0.3">
      <c r="A861" s="28" t="s">
        <v>575</v>
      </c>
      <c r="B861" s="28" t="s">
        <v>576</v>
      </c>
      <c r="C861" s="28" t="s">
        <v>560</v>
      </c>
      <c r="D861" s="28" t="s">
        <v>577</v>
      </c>
      <c r="E861" s="28" t="s">
        <v>610</v>
      </c>
      <c r="F861" s="28" t="s">
        <v>598</v>
      </c>
      <c r="G861" s="29">
        <v>97</v>
      </c>
      <c r="H861" s="29">
        <v>1</v>
      </c>
      <c r="I861" s="29">
        <v>1</v>
      </c>
      <c r="J861" s="29">
        <v>1</v>
      </c>
      <c r="K861" s="29">
        <v>0</v>
      </c>
      <c r="L861" s="29">
        <v>0</v>
      </c>
      <c r="M861" s="29">
        <v>0</v>
      </c>
      <c r="N861" s="29">
        <v>0</v>
      </c>
      <c r="O861" s="29">
        <v>0</v>
      </c>
    </row>
    <row r="862" spans="1:15" x14ac:dyDescent="0.3">
      <c r="A862" s="28" t="s">
        <v>575</v>
      </c>
      <c r="B862" s="28" t="s">
        <v>576</v>
      </c>
      <c r="C862" s="28" t="s">
        <v>560</v>
      </c>
      <c r="D862" s="28" t="s">
        <v>577</v>
      </c>
      <c r="E862" s="28" t="s">
        <v>610</v>
      </c>
      <c r="F862" s="28" t="s">
        <v>599</v>
      </c>
      <c r="G862" s="29">
        <v>69</v>
      </c>
      <c r="H862" s="29">
        <v>0</v>
      </c>
      <c r="I862" s="29">
        <v>0</v>
      </c>
      <c r="J862" s="29">
        <v>0</v>
      </c>
      <c r="K862" s="29">
        <v>0</v>
      </c>
      <c r="L862" s="29">
        <v>0</v>
      </c>
      <c r="M862" s="29">
        <v>0</v>
      </c>
      <c r="N862" s="29">
        <v>0</v>
      </c>
      <c r="O862" s="29">
        <v>0</v>
      </c>
    </row>
    <row r="863" spans="1:15" x14ac:dyDescent="0.3">
      <c r="A863" s="28" t="s">
        <v>575</v>
      </c>
      <c r="B863" s="28" t="s">
        <v>576</v>
      </c>
      <c r="C863" s="28" t="s">
        <v>560</v>
      </c>
      <c r="D863" s="28" t="s">
        <v>577</v>
      </c>
      <c r="E863" s="28" t="s">
        <v>610</v>
      </c>
      <c r="F863" s="28" t="s">
        <v>600</v>
      </c>
      <c r="G863" s="29">
        <v>83</v>
      </c>
      <c r="H863" s="29">
        <v>0</v>
      </c>
      <c r="I863" s="29">
        <v>0</v>
      </c>
      <c r="J863" s="29">
        <v>0</v>
      </c>
      <c r="K863" s="29">
        <v>0</v>
      </c>
      <c r="L863" s="29">
        <v>0</v>
      </c>
      <c r="M863" s="29">
        <v>0</v>
      </c>
      <c r="N863" s="29">
        <v>0</v>
      </c>
      <c r="O863" s="29">
        <v>0</v>
      </c>
    </row>
    <row r="864" spans="1:15" x14ac:dyDescent="0.3">
      <c r="A864" s="28" t="s">
        <v>575</v>
      </c>
      <c r="B864" s="28" t="s">
        <v>576</v>
      </c>
      <c r="C864" s="28" t="s">
        <v>560</v>
      </c>
      <c r="D864" s="28" t="s">
        <v>577</v>
      </c>
      <c r="E864" s="28" t="s">
        <v>610</v>
      </c>
      <c r="F864" s="28" t="s">
        <v>601</v>
      </c>
      <c r="G864" s="29">
        <v>162</v>
      </c>
      <c r="H864" s="29">
        <v>0</v>
      </c>
      <c r="I864" s="29">
        <v>0</v>
      </c>
      <c r="J864" s="29">
        <v>0</v>
      </c>
      <c r="K864" s="29">
        <v>0</v>
      </c>
      <c r="L864" s="29">
        <v>0</v>
      </c>
      <c r="M864" s="29">
        <v>0</v>
      </c>
      <c r="N864" s="29">
        <v>0</v>
      </c>
      <c r="O864" s="29">
        <v>0</v>
      </c>
    </row>
    <row r="865" spans="1:15" x14ac:dyDescent="0.3">
      <c r="A865" s="28" t="s">
        <v>575</v>
      </c>
      <c r="B865" s="28" t="s">
        <v>576</v>
      </c>
      <c r="C865" s="28" t="s">
        <v>560</v>
      </c>
      <c r="D865" s="28" t="s">
        <v>577</v>
      </c>
      <c r="E865" s="28" t="s">
        <v>610</v>
      </c>
      <c r="F865" s="28" t="s">
        <v>602</v>
      </c>
      <c r="G865" s="29">
        <v>457</v>
      </c>
      <c r="H865" s="29">
        <v>3</v>
      </c>
      <c r="I865" s="29">
        <v>4</v>
      </c>
      <c r="J865" s="29">
        <v>1</v>
      </c>
      <c r="K865" s="29">
        <v>3</v>
      </c>
      <c r="L865" s="29">
        <v>500</v>
      </c>
      <c r="M865" s="29">
        <v>0</v>
      </c>
      <c r="N865" s="29">
        <v>500</v>
      </c>
      <c r="O865" s="29">
        <v>0</v>
      </c>
    </row>
    <row r="866" spans="1:15" x14ac:dyDescent="0.3">
      <c r="A866" s="28" t="s">
        <v>575</v>
      </c>
      <c r="B866" s="28" t="s">
        <v>576</v>
      </c>
      <c r="C866" s="28" t="s">
        <v>560</v>
      </c>
      <c r="D866" s="28" t="s">
        <v>577</v>
      </c>
      <c r="E866" s="28" t="s">
        <v>610</v>
      </c>
      <c r="F866" s="28" t="s">
        <v>603</v>
      </c>
      <c r="G866" s="29">
        <v>181</v>
      </c>
      <c r="H866" s="29">
        <v>1</v>
      </c>
      <c r="I866" s="29">
        <v>3</v>
      </c>
      <c r="J866" s="29">
        <v>3</v>
      </c>
      <c r="K866" s="29">
        <v>0</v>
      </c>
      <c r="L866" s="29">
        <v>100</v>
      </c>
      <c r="M866" s="29">
        <v>100</v>
      </c>
      <c r="N866" s="29">
        <v>0</v>
      </c>
      <c r="O866" s="29">
        <v>0</v>
      </c>
    </row>
    <row r="867" spans="1:15" x14ac:dyDescent="0.3">
      <c r="A867" s="28" t="s">
        <v>575</v>
      </c>
      <c r="B867" s="28" t="s">
        <v>576</v>
      </c>
      <c r="C867" s="28" t="s">
        <v>560</v>
      </c>
      <c r="D867" s="28" t="s">
        <v>577</v>
      </c>
      <c r="E867" s="28" t="s">
        <v>610</v>
      </c>
      <c r="F867" s="28" t="s">
        <v>604</v>
      </c>
      <c r="G867" s="29">
        <v>148</v>
      </c>
      <c r="H867" s="29">
        <v>0</v>
      </c>
      <c r="I867" s="29">
        <v>2</v>
      </c>
      <c r="J867" s="29">
        <v>0</v>
      </c>
      <c r="K867" s="29">
        <v>2</v>
      </c>
      <c r="L867" s="29">
        <v>0</v>
      </c>
      <c r="M867" s="29">
        <v>0</v>
      </c>
      <c r="N867" s="29">
        <v>0</v>
      </c>
      <c r="O867" s="29">
        <v>0</v>
      </c>
    </row>
    <row r="868" spans="1:15" x14ac:dyDescent="0.3">
      <c r="A868" s="28" t="s">
        <v>575</v>
      </c>
      <c r="B868" s="28" t="s">
        <v>576</v>
      </c>
      <c r="C868" s="28" t="s">
        <v>560</v>
      </c>
      <c r="D868" s="28" t="s">
        <v>577</v>
      </c>
      <c r="E868" s="28" t="s">
        <v>610</v>
      </c>
      <c r="F868" s="28" t="s">
        <v>581</v>
      </c>
      <c r="G868" s="29">
        <v>228</v>
      </c>
      <c r="H868" s="29">
        <v>1</v>
      </c>
      <c r="I868" s="29">
        <v>3</v>
      </c>
      <c r="J868" s="29">
        <v>0</v>
      </c>
      <c r="K868" s="29">
        <v>3</v>
      </c>
      <c r="L868" s="29">
        <v>0</v>
      </c>
      <c r="M868" s="29">
        <v>0</v>
      </c>
      <c r="N868" s="29">
        <v>0</v>
      </c>
      <c r="O868" s="29">
        <v>0</v>
      </c>
    </row>
    <row r="869" spans="1:15" x14ac:dyDescent="0.3">
      <c r="A869" s="28" t="s">
        <v>575</v>
      </c>
      <c r="B869" s="28" t="s">
        <v>576</v>
      </c>
      <c r="C869" s="28" t="s">
        <v>560</v>
      </c>
      <c r="D869" s="28" t="s">
        <v>577</v>
      </c>
      <c r="E869" s="28" t="s">
        <v>610</v>
      </c>
      <c r="F869" s="28" t="s">
        <v>582</v>
      </c>
      <c r="G869" s="29">
        <v>91</v>
      </c>
      <c r="H869" s="29">
        <v>0</v>
      </c>
      <c r="I869" s="29">
        <v>2</v>
      </c>
      <c r="J869" s="29">
        <v>0</v>
      </c>
      <c r="K869" s="29">
        <v>2</v>
      </c>
      <c r="L869" s="29">
        <v>0</v>
      </c>
      <c r="M869" s="29">
        <v>0</v>
      </c>
      <c r="N869" s="29">
        <v>0</v>
      </c>
      <c r="O869" s="29">
        <v>0</v>
      </c>
    </row>
    <row r="870" spans="1:15" x14ac:dyDescent="0.3">
      <c r="A870" s="28" t="s">
        <v>575</v>
      </c>
      <c r="B870" s="28" t="s">
        <v>576</v>
      </c>
      <c r="C870" s="28" t="s">
        <v>560</v>
      </c>
      <c r="D870" s="28" t="s">
        <v>577</v>
      </c>
      <c r="E870" s="28" t="s">
        <v>610</v>
      </c>
      <c r="F870" s="28" t="s">
        <v>583</v>
      </c>
      <c r="G870" s="29">
        <v>144</v>
      </c>
      <c r="H870" s="29">
        <v>0</v>
      </c>
      <c r="I870" s="29">
        <v>4</v>
      </c>
      <c r="J870" s="29">
        <v>0</v>
      </c>
      <c r="K870" s="29">
        <v>4</v>
      </c>
      <c r="L870" s="29">
        <v>0</v>
      </c>
      <c r="M870" s="29">
        <v>0</v>
      </c>
      <c r="N870" s="29">
        <v>0</v>
      </c>
      <c r="O870" s="29">
        <v>0</v>
      </c>
    </row>
    <row r="871" spans="1:15" x14ac:dyDescent="0.3">
      <c r="A871" s="28" t="s">
        <v>575</v>
      </c>
      <c r="B871" s="28" t="s">
        <v>576</v>
      </c>
      <c r="C871" s="28" t="s">
        <v>560</v>
      </c>
      <c r="D871" s="28" t="s">
        <v>577</v>
      </c>
      <c r="E871" s="28" t="s">
        <v>610</v>
      </c>
      <c r="F871" s="28" t="s">
        <v>584</v>
      </c>
      <c r="G871" s="29">
        <v>169</v>
      </c>
      <c r="H871" s="29">
        <v>0</v>
      </c>
      <c r="I871" s="29">
        <v>7</v>
      </c>
      <c r="J871" s="29">
        <v>0</v>
      </c>
      <c r="K871" s="29">
        <v>7</v>
      </c>
      <c r="L871" s="29">
        <v>500</v>
      </c>
      <c r="M871" s="29">
        <v>0</v>
      </c>
      <c r="N871" s="29">
        <v>500</v>
      </c>
      <c r="O871" s="29">
        <v>0</v>
      </c>
    </row>
    <row r="872" spans="1:15" x14ac:dyDescent="0.3">
      <c r="A872" s="28" t="s">
        <v>575</v>
      </c>
      <c r="B872" s="28" t="s">
        <v>576</v>
      </c>
      <c r="C872" s="28" t="s">
        <v>560</v>
      </c>
      <c r="D872" s="28" t="s">
        <v>577</v>
      </c>
      <c r="E872" s="28" t="s">
        <v>610</v>
      </c>
      <c r="F872" s="28" t="s">
        <v>585</v>
      </c>
      <c r="G872" s="29">
        <v>150</v>
      </c>
      <c r="H872" s="29">
        <v>1</v>
      </c>
      <c r="I872" s="29">
        <v>5</v>
      </c>
      <c r="J872" s="29">
        <v>3</v>
      </c>
      <c r="K872" s="29">
        <v>2</v>
      </c>
      <c r="L872" s="29">
        <v>500</v>
      </c>
      <c r="M872" s="29">
        <v>500</v>
      </c>
      <c r="N872" s="29">
        <v>0</v>
      </c>
      <c r="O872" s="29">
        <v>0</v>
      </c>
    </row>
    <row r="873" spans="1:15" x14ac:dyDescent="0.3">
      <c r="A873" s="28" t="s">
        <v>575</v>
      </c>
      <c r="B873" s="28" t="s">
        <v>576</v>
      </c>
      <c r="C873" s="28" t="s">
        <v>560</v>
      </c>
      <c r="D873" s="28" t="s">
        <v>577</v>
      </c>
      <c r="E873" s="28" t="s">
        <v>610</v>
      </c>
      <c r="F873" s="28" t="s">
        <v>586</v>
      </c>
      <c r="G873" s="29">
        <v>177</v>
      </c>
      <c r="H873" s="29">
        <v>0</v>
      </c>
      <c r="I873" s="29">
        <v>5</v>
      </c>
      <c r="J873" s="29">
        <v>1</v>
      </c>
      <c r="K873" s="29">
        <v>4</v>
      </c>
      <c r="L873" s="29">
        <v>0</v>
      </c>
      <c r="M873" s="29">
        <v>0</v>
      </c>
      <c r="N873" s="29">
        <v>0</v>
      </c>
      <c r="O873" s="29">
        <v>0</v>
      </c>
    </row>
    <row r="874" spans="1:15" x14ac:dyDescent="0.3">
      <c r="A874" s="28" t="s">
        <v>575</v>
      </c>
      <c r="B874" s="28" t="s">
        <v>576</v>
      </c>
      <c r="C874" s="28" t="s">
        <v>560</v>
      </c>
      <c r="D874" s="28" t="s">
        <v>577</v>
      </c>
      <c r="E874" s="28" t="s">
        <v>610</v>
      </c>
      <c r="F874" s="28" t="s">
        <v>587</v>
      </c>
      <c r="G874" s="29">
        <v>176</v>
      </c>
      <c r="H874" s="29">
        <v>1</v>
      </c>
      <c r="I874" s="29">
        <v>5</v>
      </c>
      <c r="J874" s="29">
        <v>0</v>
      </c>
      <c r="K874" s="29">
        <v>5</v>
      </c>
      <c r="L874" s="29">
        <v>0</v>
      </c>
      <c r="M874" s="29">
        <v>0</v>
      </c>
      <c r="N874" s="29">
        <v>0</v>
      </c>
      <c r="O874" s="29">
        <v>0</v>
      </c>
    </row>
    <row r="875" spans="1:15" x14ac:dyDescent="0.3">
      <c r="A875" s="28" t="s">
        <v>575</v>
      </c>
      <c r="B875" s="28" t="s">
        <v>576</v>
      </c>
      <c r="C875" s="28" t="s">
        <v>560</v>
      </c>
      <c r="D875" s="28" t="s">
        <v>577</v>
      </c>
      <c r="E875" s="28" t="s">
        <v>610</v>
      </c>
      <c r="F875" s="28" t="s">
        <v>579</v>
      </c>
      <c r="G875" s="29">
        <v>163</v>
      </c>
      <c r="H875" s="29">
        <v>0</v>
      </c>
      <c r="I875" s="29">
        <v>3</v>
      </c>
      <c r="J875" s="29">
        <v>0</v>
      </c>
      <c r="K875" s="29">
        <v>3</v>
      </c>
      <c r="L875" s="29">
        <v>0</v>
      </c>
      <c r="M875" s="29">
        <v>0</v>
      </c>
      <c r="N875" s="29">
        <v>0</v>
      </c>
      <c r="O875" s="29">
        <v>0</v>
      </c>
    </row>
    <row r="876" spans="1:15" x14ac:dyDescent="0.3">
      <c r="A876" s="28" t="s">
        <v>575</v>
      </c>
      <c r="B876" s="28" t="s">
        <v>576</v>
      </c>
      <c r="C876" s="28" t="s">
        <v>560</v>
      </c>
      <c r="D876" s="28" t="s">
        <v>577</v>
      </c>
      <c r="E876" s="28" t="s">
        <v>610</v>
      </c>
      <c r="F876" s="28" t="s">
        <v>588</v>
      </c>
      <c r="G876" s="29">
        <v>556</v>
      </c>
      <c r="H876" s="29">
        <v>2</v>
      </c>
      <c r="I876" s="29">
        <v>1</v>
      </c>
      <c r="J876" s="29">
        <v>0</v>
      </c>
      <c r="K876" s="29">
        <v>1</v>
      </c>
      <c r="L876" s="29">
        <v>0</v>
      </c>
      <c r="M876" s="29">
        <v>0</v>
      </c>
      <c r="N876" s="29">
        <v>0</v>
      </c>
      <c r="O876" s="29">
        <v>0</v>
      </c>
    </row>
    <row r="877" spans="1:15" x14ac:dyDescent="0.3">
      <c r="A877" s="28" t="s">
        <v>575</v>
      </c>
      <c r="B877" s="28" t="s">
        <v>576</v>
      </c>
      <c r="C877" s="28" t="s">
        <v>560</v>
      </c>
      <c r="D877" s="28" t="s">
        <v>577</v>
      </c>
      <c r="E877" s="28" t="s">
        <v>610</v>
      </c>
      <c r="F877" s="28" t="s">
        <v>589</v>
      </c>
      <c r="G877" s="29">
        <v>325</v>
      </c>
      <c r="H877" s="29">
        <v>1</v>
      </c>
      <c r="I877" s="29">
        <v>1</v>
      </c>
      <c r="J877" s="29">
        <v>0</v>
      </c>
      <c r="K877" s="29">
        <v>1</v>
      </c>
      <c r="L877" s="29">
        <v>0</v>
      </c>
      <c r="M877" s="29">
        <v>0</v>
      </c>
      <c r="N877" s="29">
        <v>0</v>
      </c>
      <c r="O877" s="29">
        <v>0</v>
      </c>
    </row>
    <row r="878" spans="1:15" x14ac:dyDescent="0.3">
      <c r="A878" s="28" t="s">
        <v>575</v>
      </c>
      <c r="B878" s="28" t="s">
        <v>576</v>
      </c>
      <c r="C878" s="28" t="s">
        <v>560</v>
      </c>
      <c r="D878" s="28" t="s">
        <v>577</v>
      </c>
      <c r="E878" s="28" t="s">
        <v>610</v>
      </c>
      <c r="F878" s="28" t="s">
        <v>590</v>
      </c>
      <c r="G878" s="29">
        <v>13</v>
      </c>
      <c r="H878" s="29">
        <v>0</v>
      </c>
      <c r="I878" s="29">
        <v>1</v>
      </c>
      <c r="J878" s="29">
        <v>0</v>
      </c>
      <c r="K878" s="29">
        <v>1</v>
      </c>
      <c r="L878" s="29">
        <v>0</v>
      </c>
      <c r="M878" s="29">
        <v>0</v>
      </c>
      <c r="N878" s="29">
        <v>0</v>
      </c>
      <c r="O878" s="29">
        <v>0</v>
      </c>
    </row>
    <row r="879" spans="1:15" x14ac:dyDescent="0.3">
      <c r="A879" s="28" t="s">
        <v>575</v>
      </c>
      <c r="B879" s="28" t="s">
        <v>576</v>
      </c>
      <c r="C879" s="28" t="s">
        <v>560</v>
      </c>
      <c r="D879" s="28" t="s">
        <v>577</v>
      </c>
      <c r="E879" s="28" t="s">
        <v>610</v>
      </c>
      <c r="F879" s="28" t="s">
        <v>591</v>
      </c>
      <c r="G879" s="29">
        <v>0</v>
      </c>
      <c r="H879" s="29">
        <v>0</v>
      </c>
      <c r="I879" s="29">
        <v>4</v>
      </c>
      <c r="J879" s="29">
        <v>1</v>
      </c>
      <c r="K879" s="29">
        <v>3</v>
      </c>
      <c r="L879" s="29">
        <v>0</v>
      </c>
      <c r="M879" s="29">
        <v>0</v>
      </c>
      <c r="N879" s="29">
        <v>0</v>
      </c>
      <c r="O879" s="29">
        <v>0</v>
      </c>
    </row>
    <row r="880" spans="1:15" x14ac:dyDescent="0.3">
      <c r="A880" s="28" t="s">
        <v>575</v>
      </c>
      <c r="B880" s="28" t="s">
        <v>576</v>
      </c>
      <c r="C880" s="28" t="s">
        <v>560</v>
      </c>
      <c r="D880" s="28" t="s">
        <v>577</v>
      </c>
      <c r="E880" s="28" t="s">
        <v>610</v>
      </c>
      <c r="F880" s="28" t="s">
        <v>593</v>
      </c>
      <c r="G880" s="29">
        <v>28</v>
      </c>
      <c r="H880" s="29">
        <v>0</v>
      </c>
      <c r="I880" s="29">
        <v>0</v>
      </c>
      <c r="J880" s="29">
        <v>0</v>
      </c>
      <c r="K880" s="29">
        <v>0</v>
      </c>
      <c r="L880" s="29">
        <v>0</v>
      </c>
      <c r="M880" s="29">
        <v>0</v>
      </c>
      <c r="N880" s="29">
        <v>0</v>
      </c>
      <c r="O880" s="29">
        <v>0</v>
      </c>
    </row>
    <row r="881" spans="1:15" x14ac:dyDescent="0.3">
      <c r="A881" s="28" t="s">
        <v>575</v>
      </c>
      <c r="B881" s="28" t="s">
        <v>576</v>
      </c>
      <c r="C881" s="28" t="s">
        <v>560</v>
      </c>
      <c r="D881" s="28" t="s">
        <v>577</v>
      </c>
      <c r="E881" s="28" t="s">
        <v>610</v>
      </c>
      <c r="F881" s="28" t="s">
        <v>594</v>
      </c>
      <c r="G881" s="29">
        <v>164</v>
      </c>
      <c r="H881" s="29">
        <v>0</v>
      </c>
      <c r="I881" s="29">
        <v>0</v>
      </c>
      <c r="J881" s="29">
        <v>0</v>
      </c>
      <c r="K881" s="29">
        <v>0</v>
      </c>
      <c r="L881" s="29">
        <v>0</v>
      </c>
      <c r="M881" s="29">
        <v>0</v>
      </c>
      <c r="N881" s="29">
        <v>0</v>
      </c>
      <c r="O881" s="29">
        <v>0</v>
      </c>
    </row>
    <row r="882" spans="1:15" x14ac:dyDescent="0.3">
      <c r="A882" s="28" t="s">
        <v>575</v>
      </c>
      <c r="B882" s="28" t="s">
        <v>576</v>
      </c>
      <c r="C882" s="28" t="s">
        <v>560</v>
      </c>
      <c r="D882" s="28" t="s">
        <v>577</v>
      </c>
      <c r="E882" s="28" t="s">
        <v>610</v>
      </c>
      <c r="F882" s="28" t="s">
        <v>595</v>
      </c>
      <c r="G882" s="29">
        <v>178</v>
      </c>
      <c r="H882" s="29">
        <v>0</v>
      </c>
      <c r="I882" s="29">
        <v>0</v>
      </c>
      <c r="J882" s="29">
        <v>0</v>
      </c>
      <c r="K882" s="29">
        <v>0</v>
      </c>
      <c r="L882" s="29">
        <v>0</v>
      </c>
      <c r="M882" s="29">
        <v>0</v>
      </c>
      <c r="N882" s="29">
        <v>0</v>
      </c>
      <c r="O882" s="29">
        <v>0</v>
      </c>
    </row>
    <row r="883" spans="1:15" x14ac:dyDescent="0.3">
      <c r="A883" s="28" t="s">
        <v>575</v>
      </c>
      <c r="B883" s="28" t="s">
        <v>576</v>
      </c>
      <c r="C883" s="28" t="s">
        <v>560</v>
      </c>
      <c r="D883" s="28" t="s">
        <v>577</v>
      </c>
      <c r="E883" s="28" t="s">
        <v>611</v>
      </c>
      <c r="F883" s="28" t="s">
        <v>597</v>
      </c>
      <c r="G883" s="29">
        <v>180</v>
      </c>
      <c r="H883" s="29">
        <v>0</v>
      </c>
      <c r="I883" s="29">
        <v>0</v>
      </c>
      <c r="J883" s="29">
        <v>0</v>
      </c>
      <c r="K883" s="29">
        <v>0</v>
      </c>
      <c r="L883" s="29">
        <v>0</v>
      </c>
      <c r="M883" s="29">
        <v>0</v>
      </c>
      <c r="N883" s="29">
        <v>0</v>
      </c>
      <c r="O883" s="29">
        <v>0</v>
      </c>
    </row>
    <row r="884" spans="1:15" x14ac:dyDescent="0.3">
      <c r="A884" s="28" t="s">
        <v>575</v>
      </c>
      <c r="B884" s="28" t="s">
        <v>576</v>
      </c>
      <c r="C884" s="28" t="s">
        <v>560</v>
      </c>
      <c r="D884" s="28" t="s">
        <v>577</v>
      </c>
      <c r="E884" s="28" t="s">
        <v>611</v>
      </c>
      <c r="F884" s="28" t="s">
        <v>598</v>
      </c>
      <c r="G884" s="29">
        <v>115</v>
      </c>
      <c r="H884" s="29">
        <v>1</v>
      </c>
      <c r="I884" s="29">
        <v>0</v>
      </c>
      <c r="J884" s="29">
        <v>0</v>
      </c>
      <c r="K884" s="29">
        <v>0</v>
      </c>
      <c r="L884" s="29">
        <v>0</v>
      </c>
      <c r="M884" s="29">
        <v>0</v>
      </c>
      <c r="N884" s="29">
        <v>0</v>
      </c>
      <c r="O884" s="29">
        <v>0</v>
      </c>
    </row>
    <row r="885" spans="1:15" x14ac:dyDescent="0.3">
      <c r="A885" s="28" t="s">
        <v>575</v>
      </c>
      <c r="B885" s="28" t="s">
        <v>576</v>
      </c>
      <c r="C885" s="28" t="s">
        <v>560</v>
      </c>
      <c r="D885" s="28" t="s">
        <v>577</v>
      </c>
      <c r="E885" s="28" t="s">
        <v>611</v>
      </c>
      <c r="F885" s="28" t="s">
        <v>599</v>
      </c>
      <c r="G885" s="29">
        <v>89</v>
      </c>
      <c r="H885" s="29">
        <v>1</v>
      </c>
      <c r="I885" s="29">
        <v>0</v>
      </c>
      <c r="J885" s="29">
        <v>0</v>
      </c>
      <c r="K885" s="29">
        <v>0</v>
      </c>
      <c r="L885" s="29">
        <v>0</v>
      </c>
      <c r="M885" s="29">
        <v>0</v>
      </c>
      <c r="N885" s="29">
        <v>0</v>
      </c>
      <c r="O885" s="29">
        <v>0</v>
      </c>
    </row>
    <row r="886" spans="1:15" x14ac:dyDescent="0.3">
      <c r="A886" s="28" t="s">
        <v>575</v>
      </c>
      <c r="B886" s="28" t="s">
        <v>576</v>
      </c>
      <c r="C886" s="28" t="s">
        <v>560</v>
      </c>
      <c r="D886" s="28" t="s">
        <v>577</v>
      </c>
      <c r="E886" s="28" t="s">
        <v>611</v>
      </c>
      <c r="F886" s="28" t="s">
        <v>600</v>
      </c>
      <c r="G886" s="29">
        <v>115</v>
      </c>
      <c r="H886" s="29">
        <v>0</v>
      </c>
      <c r="I886" s="29">
        <v>0</v>
      </c>
      <c r="J886" s="29">
        <v>0</v>
      </c>
      <c r="K886" s="29">
        <v>0</v>
      </c>
      <c r="L886" s="29">
        <v>0</v>
      </c>
      <c r="M886" s="29">
        <v>0</v>
      </c>
      <c r="N886" s="29">
        <v>0</v>
      </c>
      <c r="O886" s="29">
        <v>0</v>
      </c>
    </row>
    <row r="887" spans="1:15" x14ac:dyDescent="0.3">
      <c r="A887" s="28" t="s">
        <v>575</v>
      </c>
      <c r="B887" s="28" t="s">
        <v>576</v>
      </c>
      <c r="C887" s="28" t="s">
        <v>560</v>
      </c>
      <c r="D887" s="28" t="s">
        <v>577</v>
      </c>
      <c r="E887" s="28" t="s">
        <v>611</v>
      </c>
      <c r="F887" s="28" t="s">
        <v>601</v>
      </c>
      <c r="G887" s="29">
        <v>351</v>
      </c>
      <c r="H887" s="29">
        <v>2</v>
      </c>
      <c r="I887" s="29">
        <v>0</v>
      </c>
      <c r="J887" s="29">
        <v>0</v>
      </c>
      <c r="K887" s="29">
        <v>0</v>
      </c>
      <c r="L887" s="29">
        <v>0</v>
      </c>
      <c r="M887" s="29">
        <v>0</v>
      </c>
      <c r="N887" s="29">
        <v>0</v>
      </c>
      <c r="O887" s="29">
        <v>0</v>
      </c>
    </row>
    <row r="888" spans="1:15" x14ac:dyDescent="0.3">
      <c r="A888" s="28" t="s">
        <v>575</v>
      </c>
      <c r="B888" s="28" t="s">
        <v>576</v>
      </c>
      <c r="C888" s="28" t="s">
        <v>560</v>
      </c>
      <c r="D888" s="28" t="s">
        <v>577</v>
      </c>
      <c r="E888" s="28" t="s">
        <v>611</v>
      </c>
      <c r="F888" s="28" t="s">
        <v>602</v>
      </c>
      <c r="G888" s="29">
        <v>199</v>
      </c>
      <c r="H888" s="29">
        <v>2</v>
      </c>
      <c r="I888" s="29">
        <v>1</v>
      </c>
      <c r="J888" s="29">
        <v>1</v>
      </c>
      <c r="K888" s="29">
        <v>0</v>
      </c>
      <c r="L888" s="29">
        <v>0</v>
      </c>
      <c r="M888" s="29">
        <v>0</v>
      </c>
      <c r="N888" s="29">
        <v>0</v>
      </c>
      <c r="O888" s="29">
        <v>0</v>
      </c>
    </row>
    <row r="889" spans="1:15" x14ac:dyDescent="0.3">
      <c r="A889" s="28" t="s">
        <v>575</v>
      </c>
      <c r="B889" s="28" t="s">
        <v>576</v>
      </c>
      <c r="C889" s="28" t="s">
        <v>560</v>
      </c>
      <c r="D889" s="28" t="s">
        <v>577</v>
      </c>
      <c r="E889" s="28" t="s">
        <v>611</v>
      </c>
      <c r="F889" s="28" t="s">
        <v>603</v>
      </c>
      <c r="G889" s="29">
        <v>158</v>
      </c>
      <c r="H889" s="29">
        <v>1</v>
      </c>
      <c r="I889" s="29">
        <v>0</v>
      </c>
      <c r="J889" s="29">
        <v>0</v>
      </c>
      <c r="K889" s="29">
        <v>0</v>
      </c>
      <c r="L889" s="29">
        <v>0</v>
      </c>
      <c r="M889" s="29">
        <v>0</v>
      </c>
      <c r="N889" s="29">
        <v>0</v>
      </c>
      <c r="O889" s="29">
        <v>0</v>
      </c>
    </row>
    <row r="890" spans="1:15" x14ac:dyDescent="0.3">
      <c r="A890" s="28" t="s">
        <v>575</v>
      </c>
      <c r="B890" s="28" t="s">
        <v>576</v>
      </c>
      <c r="C890" s="28" t="s">
        <v>560</v>
      </c>
      <c r="D890" s="28" t="s">
        <v>577</v>
      </c>
      <c r="E890" s="28" t="s">
        <v>611</v>
      </c>
      <c r="F890" s="28" t="s">
        <v>604</v>
      </c>
      <c r="G890" s="29">
        <v>168</v>
      </c>
      <c r="H890" s="29">
        <v>1</v>
      </c>
      <c r="I890" s="29">
        <v>5</v>
      </c>
      <c r="J890" s="29">
        <v>0</v>
      </c>
      <c r="K890" s="29">
        <v>5</v>
      </c>
      <c r="L890" s="29">
        <v>0</v>
      </c>
      <c r="M890" s="29">
        <v>0</v>
      </c>
      <c r="N890" s="29">
        <v>0</v>
      </c>
      <c r="O890" s="29">
        <v>0</v>
      </c>
    </row>
    <row r="891" spans="1:15" x14ac:dyDescent="0.3">
      <c r="A891" s="28" t="s">
        <v>575</v>
      </c>
      <c r="B891" s="28" t="s">
        <v>576</v>
      </c>
      <c r="C891" s="28" t="s">
        <v>560</v>
      </c>
      <c r="D891" s="28" t="s">
        <v>577</v>
      </c>
      <c r="E891" s="28" t="s">
        <v>611</v>
      </c>
      <c r="F891" s="28" t="s">
        <v>581</v>
      </c>
      <c r="G891" s="29">
        <v>209</v>
      </c>
      <c r="H891" s="29">
        <v>2</v>
      </c>
      <c r="I891" s="29">
        <v>4</v>
      </c>
      <c r="J891" s="29">
        <v>1</v>
      </c>
      <c r="K891" s="29">
        <v>3</v>
      </c>
      <c r="L891" s="29">
        <v>0</v>
      </c>
      <c r="M891" s="29">
        <v>0</v>
      </c>
      <c r="N891" s="29">
        <v>0</v>
      </c>
      <c r="O891" s="29">
        <v>0</v>
      </c>
    </row>
    <row r="892" spans="1:15" x14ac:dyDescent="0.3">
      <c r="A892" s="28" t="s">
        <v>575</v>
      </c>
      <c r="B892" s="28" t="s">
        <v>576</v>
      </c>
      <c r="C892" s="28" t="s">
        <v>560</v>
      </c>
      <c r="D892" s="28" t="s">
        <v>577</v>
      </c>
      <c r="E892" s="28" t="s">
        <v>611</v>
      </c>
      <c r="F892" s="28" t="s">
        <v>582</v>
      </c>
      <c r="G892" s="29">
        <v>121</v>
      </c>
      <c r="H892" s="29">
        <v>1</v>
      </c>
      <c r="I892" s="29">
        <v>2</v>
      </c>
      <c r="J892" s="29">
        <v>0</v>
      </c>
      <c r="K892" s="29">
        <v>2</v>
      </c>
      <c r="L892" s="29">
        <v>0</v>
      </c>
      <c r="M892" s="29">
        <v>0</v>
      </c>
      <c r="N892" s="29">
        <v>0</v>
      </c>
      <c r="O892" s="29">
        <v>0</v>
      </c>
    </row>
    <row r="893" spans="1:15" x14ac:dyDescent="0.3">
      <c r="A893" s="28" t="s">
        <v>575</v>
      </c>
      <c r="B893" s="28" t="s">
        <v>576</v>
      </c>
      <c r="C893" s="28" t="s">
        <v>560</v>
      </c>
      <c r="D893" s="28" t="s">
        <v>577</v>
      </c>
      <c r="E893" s="28" t="s">
        <v>611</v>
      </c>
      <c r="F893" s="28" t="s">
        <v>583</v>
      </c>
      <c r="G893" s="29">
        <v>149</v>
      </c>
      <c r="H893" s="29">
        <v>0</v>
      </c>
      <c r="I893" s="29">
        <v>1</v>
      </c>
      <c r="J893" s="29">
        <v>0</v>
      </c>
      <c r="K893" s="29">
        <v>1</v>
      </c>
      <c r="L893" s="29">
        <v>0</v>
      </c>
      <c r="M893" s="29">
        <v>0</v>
      </c>
      <c r="N893" s="29">
        <v>0</v>
      </c>
      <c r="O893" s="29">
        <v>0</v>
      </c>
    </row>
    <row r="894" spans="1:15" x14ac:dyDescent="0.3">
      <c r="A894" s="28" t="s">
        <v>575</v>
      </c>
      <c r="B894" s="28" t="s">
        <v>576</v>
      </c>
      <c r="C894" s="28" t="s">
        <v>560</v>
      </c>
      <c r="D894" s="28" t="s">
        <v>577</v>
      </c>
      <c r="E894" s="28" t="s">
        <v>611</v>
      </c>
      <c r="F894" s="28" t="s">
        <v>584</v>
      </c>
      <c r="G894" s="29">
        <v>174</v>
      </c>
      <c r="H894" s="29">
        <v>1</v>
      </c>
      <c r="I894" s="29">
        <v>12</v>
      </c>
      <c r="J894" s="29">
        <v>1</v>
      </c>
      <c r="K894" s="29">
        <v>11</v>
      </c>
      <c r="L894" s="29">
        <v>500</v>
      </c>
      <c r="M894" s="29">
        <v>0</v>
      </c>
      <c r="N894" s="29">
        <v>500</v>
      </c>
      <c r="O894" s="29">
        <v>0</v>
      </c>
    </row>
    <row r="895" spans="1:15" x14ac:dyDescent="0.3">
      <c r="A895" s="28" t="s">
        <v>575</v>
      </c>
      <c r="B895" s="28" t="s">
        <v>576</v>
      </c>
      <c r="C895" s="28" t="s">
        <v>560</v>
      </c>
      <c r="D895" s="28" t="s">
        <v>577</v>
      </c>
      <c r="E895" s="28" t="s">
        <v>611</v>
      </c>
      <c r="F895" s="28" t="s">
        <v>585</v>
      </c>
      <c r="G895" s="29">
        <v>162</v>
      </c>
      <c r="H895" s="29">
        <v>3</v>
      </c>
      <c r="I895" s="29">
        <v>4</v>
      </c>
      <c r="J895" s="29">
        <v>1</v>
      </c>
      <c r="K895" s="29">
        <v>3</v>
      </c>
      <c r="L895" s="29">
        <v>0</v>
      </c>
      <c r="M895" s="29">
        <v>0</v>
      </c>
      <c r="N895" s="29">
        <v>0</v>
      </c>
      <c r="O895" s="29">
        <v>0</v>
      </c>
    </row>
    <row r="896" spans="1:15" x14ac:dyDescent="0.3">
      <c r="A896" s="28" t="s">
        <v>575</v>
      </c>
      <c r="B896" s="28" t="s">
        <v>576</v>
      </c>
      <c r="C896" s="28" t="s">
        <v>560</v>
      </c>
      <c r="D896" s="28" t="s">
        <v>577</v>
      </c>
      <c r="E896" s="28" t="s">
        <v>611</v>
      </c>
      <c r="F896" s="28" t="s">
        <v>586</v>
      </c>
      <c r="G896" s="29">
        <v>188</v>
      </c>
      <c r="H896" s="29">
        <v>2</v>
      </c>
      <c r="I896" s="29">
        <v>2</v>
      </c>
      <c r="J896" s="29">
        <v>1</v>
      </c>
      <c r="K896" s="29">
        <v>1</v>
      </c>
      <c r="L896" s="29">
        <v>0</v>
      </c>
      <c r="M896" s="29">
        <v>0</v>
      </c>
      <c r="N896" s="29">
        <v>0</v>
      </c>
      <c r="O896" s="29">
        <v>0</v>
      </c>
    </row>
    <row r="897" spans="1:15" x14ac:dyDescent="0.3">
      <c r="A897" s="28" t="s">
        <v>575</v>
      </c>
      <c r="B897" s="28" t="s">
        <v>576</v>
      </c>
      <c r="C897" s="28" t="s">
        <v>560</v>
      </c>
      <c r="D897" s="28" t="s">
        <v>577</v>
      </c>
      <c r="E897" s="28" t="s">
        <v>611</v>
      </c>
      <c r="F897" s="28" t="s">
        <v>587</v>
      </c>
      <c r="G897" s="29">
        <v>144</v>
      </c>
      <c r="H897" s="29">
        <v>3</v>
      </c>
      <c r="I897" s="29">
        <v>8</v>
      </c>
      <c r="J897" s="29">
        <v>5</v>
      </c>
      <c r="K897" s="29">
        <v>3</v>
      </c>
      <c r="L897" s="29">
        <v>200</v>
      </c>
      <c r="M897" s="29">
        <v>100</v>
      </c>
      <c r="N897" s="29">
        <v>100</v>
      </c>
      <c r="O897" s="29">
        <v>0</v>
      </c>
    </row>
    <row r="898" spans="1:15" x14ac:dyDescent="0.3">
      <c r="A898" s="28" t="s">
        <v>575</v>
      </c>
      <c r="B898" s="28" t="s">
        <v>576</v>
      </c>
      <c r="C898" s="28" t="s">
        <v>560</v>
      </c>
      <c r="D898" s="28" t="s">
        <v>577</v>
      </c>
      <c r="E898" s="28" t="s">
        <v>611</v>
      </c>
      <c r="F898" s="28" t="s">
        <v>579</v>
      </c>
      <c r="G898" s="29">
        <v>156</v>
      </c>
      <c r="H898" s="29">
        <v>0</v>
      </c>
      <c r="I898" s="29">
        <v>5</v>
      </c>
      <c r="J898" s="29">
        <v>2</v>
      </c>
      <c r="K898" s="29">
        <v>3</v>
      </c>
      <c r="L898" s="29">
        <v>1000</v>
      </c>
      <c r="M898" s="29">
        <v>500</v>
      </c>
      <c r="N898" s="29">
        <v>500</v>
      </c>
      <c r="O898" s="29">
        <v>0</v>
      </c>
    </row>
    <row r="899" spans="1:15" x14ac:dyDescent="0.3">
      <c r="A899" s="28" t="s">
        <v>575</v>
      </c>
      <c r="B899" s="28" t="s">
        <v>576</v>
      </c>
      <c r="C899" s="28" t="s">
        <v>560</v>
      </c>
      <c r="D899" s="28" t="s">
        <v>577</v>
      </c>
      <c r="E899" s="28" t="s">
        <v>611</v>
      </c>
      <c r="F899" s="28" t="s">
        <v>588</v>
      </c>
      <c r="G899" s="29">
        <v>612</v>
      </c>
      <c r="H899" s="29">
        <v>1</v>
      </c>
      <c r="I899" s="29">
        <v>5</v>
      </c>
      <c r="J899" s="29">
        <v>1</v>
      </c>
      <c r="K899" s="29">
        <v>4</v>
      </c>
      <c r="L899" s="29">
        <v>0</v>
      </c>
      <c r="M899" s="29">
        <v>0</v>
      </c>
      <c r="N899" s="29">
        <v>0</v>
      </c>
      <c r="O899" s="29">
        <v>0</v>
      </c>
    </row>
    <row r="900" spans="1:15" x14ac:dyDescent="0.3">
      <c r="A900" s="28" t="s">
        <v>575</v>
      </c>
      <c r="B900" s="28" t="s">
        <v>576</v>
      </c>
      <c r="C900" s="28" t="s">
        <v>560</v>
      </c>
      <c r="D900" s="28" t="s">
        <v>577</v>
      </c>
      <c r="E900" s="28" t="s">
        <v>611</v>
      </c>
      <c r="F900" s="28" t="s">
        <v>589</v>
      </c>
      <c r="G900" s="29">
        <v>304</v>
      </c>
      <c r="H900" s="29">
        <v>3</v>
      </c>
      <c r="I900" s="29">
        <v>2</v>
      </c>
      <c r="J900" s="29">
        <v>1</v>
      </c>
      <c r="K900" s="29">
        <v>1</v>
      </c>
      <c r="L900" s="29">
        <v>0</v>
      </c>
      <c r="M900" s="29">
        <v>0</v>
      </c>
      <c r="N900" s="29">
        <v>0</v>
      </c>
      <c r="O900" s="29">
        <v>0</v>
      </c>
    </row>
    <row r="901" spans="1:15" x14ac:dyDescent="0.3">
      <c r="A901" s="28" t="s">
        <v>575</v>
      </c>
      <c r="B901" s="28" t="s">
        <v>576</v>
      </c>
      <c r="C901" s="28" t="s">
        <v>560</v>
      </c>
      <c r="D901" s="28" t="s">
        <v>577</v>
      </c>
      <c r="E901" s="28" t="s">
        <v>611</v>
      </c>
      <c r="F901" s="28" t="s">
        <v>591</v>
      </c>
      <c r="G901" s="29">
        <v>0</v>
      </c>
      <c r="H901" s="29">
        <v>0</v>
      </c>
      <c r="I901" s="29">
        <v>1</v>
      </c>
      <c r="J901" s="29">
        <v>0</v>
      </c>
      <c r="K901" s="29">
        <v>1</v>
      </c>
      <c r="L901" s="29">
        <v>0</v>
      </c>
      <c r="M901" s="29">
        <v>0</v>
      </c>
      <c r="N901" s="29">
        <v>0</v>
      </c>
      <c r="O901" s="29">
        <v>0</v>
      </c>
    </row>
    <row r="902" spans="1:15" x14ac:dyDescent="0.3">
      <c r="A902" s="28" t="s">
        <v>575</v>
      </c>
      <c r="B902" s="28" t="s">
        <v>576</v>
      </c>
      <c r="C902" s="28" t="s">
        <v>560</v>
      </c>
      <c r="D902" s="28" t="s">
        <v>577</v>
      </c>
      <c r="E902" s="28" t="s">
        <v>611</v>
      </c>
      <c r="F902" s="28" t="s">
        <v>592</v>
      </c>
      <c r="G902" s="29">
        <v>0</v>
      </c>
      <c r="H902" s="29">
        <v>0</v>
      </c>
      <c r="I902" s="29">
        <v>4</v>
      </c>
      <c r="J902" s="29">
        <v>0</v>
      </c>
      <c r="K902" s="29">
        <v>4</v>
      </c>
      <c r="L902" s="29">
        <v>100</v>
      </c>
      <c r="M902" s="29">
        <v>0</v>
      </c>
      <c r="N902" s="29">
        <v>100</v>
      </c>
      <c r="O902" s="29">
        <v>0</v>
      </c>
    </row>
    <row r="903" spans="1:15" x14ac:dyDescent="0.3">
      <c r="A903" s="28" t="s">
        <v>575</v>
      </c>
      <c r="B903" s="28" t="s">
        <v>576</v>
      </c>
      <c r="C903" s="28" t="s">
        <v>560</v>
      </c>
      <c r="D903" s="28" t="s">
        <v>577</v>
      </c>
      <c r="E903" s="28" t="s">
        <v>611</v>
      </c>
      <c r="F903" s="28" t="s">
        <v>594</v>
      </c>
      <c r="G903" s="29">
        <v>112</v>
      </c>
      <c r="H903" s="29">
        <v>1</v>
      </c>
      <c r="I903" s="29">
        <v>1</v>
      </c>
      <c r="J903" s="29">
        <v>0</v>
      </c>
      <c r="K903" s="29">
        <v>1</v>
      </c>
      <c r="L903" s="29">
        <v>0</v>
      </c>
      <c r="M903" s="29">
        <v>0</v>
      </c>
      <c r="N903" s="29">
        <v>0</v>
      </c>
      <c r="O903" s="29">
        <v>0</v>
      </c>
    </row>
    <row r="904" spans="1:15" x14ac:dyDescent="0.3">
      <c r="A904" s="28" t="s">
        <v>575</v>
      </c>
      <c r="B904" s="28" t="s">
        <v>576</v>
      </c>
      <c r="C904" s="28" t="s">
        <v>560</v>
      </c>
      <c r="D904" s="28" t="s">
        <v>577</v>
      </c>
      <c r="E904" s="28" t="s">
        <v>611</v>
      </c>
      <c r="F904" s="28" t="s">
        <v>595</v>
      </c>
      <c r="G904" s="29">
        <v>154</v>
      </c>
      <c r="H904" s="29">
        <v>0</v>
      </c>
      <c r="I904" s="29">
        <v>0</v>
      </c>
      <c r="J904" s="29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0</v>
      </c>
    </row>
    <row r="905" spans="1:15" x14ac:dyDescent="0.3">
      <c r="A905" s="28" t="s">
        <v>575</v>
      </c>
      <c r="B905" s="28" t="s">
        <v>576</v>
      </c>
      <c r="C905" s="28" t="s">
        <v>560</v>
      </c>
      <c r="D905" s="28" t="s">
        <v>577</v>
      </c>
      <c r="E905" s="28" t="s">
        <v>612</v>
      </c>
      <c r="F905" s="28" t="s">
        <v>597</v>
      </c>
      <c r="G905" s="29">
        <v>180</v>
      </c>
      <c r="H905" s="29">
        <v>0</v>
      </c>
      <c r="I905" s="29">
        <v>0</v>
      </c>
      <c r="J905" s="29">
        <v>0</v>
      </c>
      <c r="K905" s="29">
        <v>0</v>
      </c>
      <c r="L905" s="29">
        <v>0</v>
      </c>
      <c r="M905" s="29">
        <v>0</v>
      </c>
      <c r="N905" s="29">
        <v>0</v>
      </c>
      <c r="O905" s="29">
        <v>0</v>
      </c>
    </row>
    <row r="906" spans="1:15" x14ac:dyDescent="0.3">
      <c r="A906" s="28" t="s">
        <v>575</v>
      </c>
      <c r="B906" s="28" t="s">
        <v>576</v>
      </c>
      <c r="C906" s="28" t="s">
        <v>560</v>
      </c>
      <c r="D906" s="28" t="s">
        <v>577</v>
      </c>
      <c r="E906" s="28" t="s">
        <v>612</v>
      </c>
      <c r="F906" s="28" t="s">
        <v>598</v>
      </c>
      <c r="G906" s="29">
        <v>132</v>
      </c>
      <c r="H906" s="29">
        <v>0</v>
      </c>
      <c r="I906" s="29">
        <v>0</v>
      </c>
      <c r="J906" s="29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0</v>
      </c>
    </row>
    <row r="907" spans="1:15" x14ac:dyDescent="0.3">
      <c r="A907" s="28" t="s">
        <v>575</v>
      </c>
      <c r="B907" s="28" t="s">
        <v>576</v>
      </c>
      <c r="C907" s="28" t="s">
        <v>560</v>
      </c>
      <c r="D907" s="28" t="s">
        <v>577</v>
      </c>
      <c r="E907" s="28" t="s">
        <v>612</v>
      </c>
      <c r="F907" s="28" t="s">
        <v>599</v>
      </c>
      <c r="G907" s="29">
        <v>80</v>
      </c>
      <c r="H907" s="29">
        <v>0</v>
      </c>
      <c r="I907" s="29">
        <v>0</v>
      </c>
      <c r="J907" s="29">
        <v>0</v>
      </c>
      <c r="K907" s="29">
        <v>0</v>
      </c>
      <c r="L907" s="29">
        <v>0</v>
      </c>
      <c r="M907" s="29">
        <v>0</v>
      </c>
      <c r="N907" s="29">
        <v>0</v>
      </c>
      <c r="O907" s="29">
        <v>0</v>
      </c>
    </row>
    <row r="908" spans="1:15" x14ac:dyDescent="0.3">
      <c r="A908" s="28" t="s">
        <v>575</v>
      </c>
      <c r="B908" s="28" t="s">
        <v>576</v>
      </c>
      <c r="C908" s="28" t="s">
        <v>560</v>
      </c>
      <c r="D908" s="28" t="s">
        <v>577</v>
      </c>
      <c r="E908" s="28" t="s">
        <v>612</v>
      </c>
      <c r="F908" s="28" t="s">
        <v>600</v>
      </c>
      <c r="G908" s="29">
        <v>85</v>
      </c>
      <c r="H908" s="29">
        <v>0</v>
      </c>
      <c r="I908" s="29">
        <v>0</v>
      </c>
      <c r="J908" s="29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0</v>
      </c>
    </row>
    <row r="909" spans="1:15" x14ac:dyDescent="0.3">
      <c r="A909" s="28" t="s">
        <v>575</v>
      </c>
      <c r="B909" s="28" t="s">
        <v>576</v>
      </c>
      <c r="C909" s="28" t="s">
        <v>560</v>
      </c>
      <c r="D909" s="28" t="s">
        <v>577</v>
      </c>
      <c r="E909" s="28" t="s">
        <v>612</v>
      </c>
      <c r="F909" s="28" t="s">
        <v>601</v>
      </c>
      <c r="G909" s="29">
        <v>281</v>
      </c>
      <c r="H909" s="29">
        <v>3</v>
      </c>
      <c r="I909" s="29">
        <v>0</v>
      </c>
      <c r="J909" s="29">
        <v>0</v>
      </c>
      <c r="K909" s="29">
        <v>0</v>
      </c>
      <c r="L909" s="29">
        <v>0</v>
      </c>
      <c r="M909" s="29">
        <v>0</v>
      </c>
      <c r="N909" s="29">
        <v>0</v>
      </c>
      <c r="O909" s="29">
        <v>0</v>
      </c>
    </row>
    <row r="910" spans="1:15" x14ac:dyDescent="0.3">
      <c r="A910" s="28" t="s">
        <v>575</v>
      </c>
      <c r="B910" s="28" t="s">
        <v>576</v>
      </c>
      <c r="C910" s="28" t="s">
        <v>560</v>
      </c>
      <c r="D910" s="28" t="s">
        <v>577</v>
      </c>
      <c r="E910" s="28" t="s">
        <v>612</v>
      </c>
      <c r="F910" s="28" t="s">
        <v>602</v>
      </c>
      <c r="G910" s="29">
        <v>401</v>
      </c>
      <c r="H910" s="29">
        <v>0</v>
      </c>
      <c r="I910" s="29">
        <v>1</v>
      </c>
      <c r="J910" s="29">
        <v>1</v>
      </c>
      <c r="K910" s="29">
        <v>0</v>
      </c>
      <c r="L910" s="29">
        <v>0</v>
      </c>
      <c r="M910" s="29">
        <v>0</v>
      </c>
      <c r="N910" s="29">
        <v>0</v>
      </c>
      <c r="O910" s="29">
        <v>0</v>
      </c>
    </row>
    <row r="911" spans="1:15" x14ac:dyDescent="0.3">
      <c r="A911" s="28" t="s">
        <v>575</v>
      </c>
      <c r="B911" s="28" t="s">
        <v>576</v>
      </c>
      <c r="C911" s="28" t="s">
        <v>560</v>
      </c>
      <c r="D911" s="28" t="s">
        <v>577</v>
      </c>
      <c r="E911" s="28" t="s">
        <v>612</v>
      </c>
      <c r="F911" s="28" t="s">
        <v>603</v>
      </c>
      <c r="G911" s="29">
        <v>131</v>
      </c>
      <c r="H911" s="29">
        <v>0</v>
      </c>
      <c r="I911" s="29">
        <v>0</v>
      </c>
      <c r="J911" s="29">
        <v>0</v>
      </c>
      <c r="K911" s="29">
        <v>0</v>
      </c>
      <c r="L911" s="29">
        <v>0</v>
      </c>
      <c r="M911" s="29">
        <v>0</v>
      </c>
      <c r="N911" s="29">
        <v>0</v>
      </c>
      <c r="O911" s="29">
        <v>0</v>
      </c>
    </row>
    <row r="912" spans="1:15" x14ac:dyDescent="0.3">
      <c r="A912" s="28" t="s">
        <v>575</v>
      </c>
      <c r="B912" s="28" t="s">
        <v>576</v>
      </c>
      <c r="C912" s="28" t="s">
        <v>560</v>
      </c>
      <c r="D912" s="28" t="s">
        <v>577</v>
      </c>
      <c r="E912" s="28" t="s">
        <v>612</v>
      </c>
      <c r="F912" s="28" t="s">
        <v>604</v>
      </c>
      <c r="G912" s="29">
        <v>164</v>
      </c>
      <c r="H912" s="29">
        <v>0</v>
      </c>
      <c r="I912" s="29">
        <v>3</v>
      </c>
      <c r="J912" s="29">
        <v>0</v>
      </c>
      <c r="K912" s="29">
        <v>3</v>
      </c>
      <c r="L912" s="29">
        <v>1000</v>
      </c>
      <c r="M912" s="29">
        <v>0</v>
      </c>
      <c r="N912" s="29">
        <v>1000</v>
      </c>
      <c r="O912" s="29">
        <v>0</v>
      </c>
    </row>
    <row r="913" spans="1:15" x14ac:dyDescent="0.3">
      <c r="A913" s="28" t="s">
        <v>575</v>
      </c>
      <c r="B913" s="28" t="s">
        <v>576</v>
      </c>
      <c r="C913" s="28" t="s">
        <v>560</v>
      </c>
      <c r="D913" s="28" t="s">
        <v>577</v>
      </c>
      <c r="E913" s="28" t="s">
        <v>612</v>
      </c>
      <c r="F913" s="28" t="s">
        <v>581</v>
      </c>
      <c r="G913" s="29">
        <v>192</v>
      </c>
      <c r="H913" s="29">
        <v>0</v>
      </c>
      <c r="I913" s="29">
        <v>5</v>
      </c>
      <c r="J913" s="29">
        <v>0</v>
      </c>
      <c r="K913" s="29">
        <v>5</v>
      </c>
      <c r="L913" s="29">
        <v>0</v>
      </c>
      <c r="M913" s="29">
        <v>0</v>
      </c>
      <c r="N913" s="29">
        <v>0</v>
      </c>
      <c r="O913" s="29">
        <v>0</v>
      </c>
    </row>
    <row r="914" spans="1:15" x14ac:dyDescent="0.3">
      <c r="A914" s="28" t="s">
        <v>575</v>
      </c>
      <c r="B914" s="28" t="s">
        <v>576</v>
      </c>
      <c r="C914" s="28" t="s">
        <v>560</v>
      </c>
      <c r="D914" s="28" t="s">
        <v>577</v>
      </c>
      <c r="E914" s="28" t="s">
        <v>612</v>
      </c>
      <c r="F914" s="28" t="s">
        <v>582</v>
      </c>
      <c r="G914" s="29">
        <v>155</v>
      </c>
      <c r="H914" s="29">
        <v>0</v>
      </c>
      <c r="I914" s="29">
        <v>3</v>
      </c>
      <c r="J914" s="29">
        <v>0</v>
      </c>
      <c r="K914" s="29">
        <v>3</v>
      </c>
      <c r="L914" s="29">
        <v>0</v>
      </c>
      <c r="M914" s="29">
        <v>0</v>
      </c>
      <c r="N914" s="29">
        <v>0</v>
      </c>
      <c r="O914" s="29">
        <v>0</v>
      </c>
    </row>
    <row r="915" spans="1:15" x14ac:dyDescent="0.3">
      <c r="A915" s="28" t="s">
        <v>575</v>
      </c>
      <c r="B915" s="28" t="s">
        <v>576</v>
      </c>
      <c r="C915" s="28" t="s">
        <v>560</v>
      </c>
      <c r="D915" s="28" t="s">
        <v>577</v>
      </c>
      <c r="E915" s="28" t="s">
        <v>612</v>
      </c>
      <c r="F915" s="28" t="s">
        <v>583</v>
      </c>
      <c r="G915" s="29">
        <v>155</v>
      </c>
      <c r="H915" s="29">
        <v>2</v>
      </c>
      <c r="I915" s="29">
        <v>10</v>
      </c>
      <c r="J915" s="29">
        <v>2</v>
      </c>
      <c r="K915" s="29">
        <v>8</v>
      </c>
      <c r="L915" s="29">
        <v>0</v>
      </c>
      <c r="M915" s="29">
        <v>0</v>
      </c>
      <c r="N915" s="29">
        <v>0</v>
      </c>
      <c r="O915" s="29">
        <v>0</v>
      </c>
    </row>
    <row r="916" spans="1:15" x14ac:dyDescent="0.3">
      <c r="A916" s="28" t="s">
        <v>575</v>
      </c>
      <c r="B916" s="28" t="s">
        <v>576</v>
      </c>
      <c r="C916" s="28" t="s">
        <v>560</v>
      </c>
      <c r="D916" s="28" t="s">
        <v>577</v>
      </c>
      <c r="E916" s="28" t="s">
        <v>612</v>
      </c>
      <c r="F916" s="28" t="s">
        <v>584</v>
      </c>
      <c r="G916" s="29">
        <v>156</v>
      </c>
      <c r="H916" s="29">
        <v>1</v>
      </c>
      <c r="I916" s="29">
        <v>13</v>
      </c>
      <c r="J916" s="29">
        <v>3</v>
      </c>
      <c r="K916" s="29">
        <v>10</v>
      </c>
      <c r="L916" s="29">
        <v>1000</v>
      </c>
      <c r="M916" s="29">
        <v>0</v>
      </c>
      <c r="N916" s="29">
        <v>1000</v>
      </c>
      <c r="O916" s="29">
        <v>0</v>
      </c>
    </row>
    <row r="917" spans="1:15" x14ac:dyDescent="0.3">
      <c r="A917" s="28" t="s">
        <v>575</v>
      </c>
      <c r="B917" s="28" t="s">
        <v>576</v>
      </c>
      <c r="C917" s="28" t="s">
        <v>560</v>
      </c>
      <c r="D917" s="28" t="s">
        <v>577</v>
      </c>
      <c r="E917" s="28" t="s">
        <v>612</v>
      </c>
      <c r="F917" s="28" t="s">
        <v>585</v>
      </c>
      <c r="G917" s="29">
        <v>153</v>
      </c>
      <c r="H917" s="29">
        <v>0</v>
      </c>
      <c r="I917" s="29">
        <v>6</v>
      </c>
      <c r="J917" s="29">
        <v>1</v>
      </c>
      <c r="K917" s="29">
        <v>5</v>
      </c>
      <c r="L917" s="29">
        <v>0</v>
      </c>
      <c r="M917" s="29">
        <v>0</v>
      </c>
      <c r="N917" s="29">
        <v>0</v>
      </c>
      <c r="O917" s="29">
        <v>0</v>
      </c>
    </row>
    <row r="918" spans="1:15" x14ac:dyDescent="0.3">
      <c r="A918" s="28" t="s">
        <v>575</v>
      </c>
      <c r="B918" s="28" t="s">
        <v>576</v>
      </c>
      <c r="C918" s="28" t="s">
        <v>560</v>
      </c>
      <c r="D918" s="28" t="s">
        <v>577</v>
      </c>
      <c r="E918" s="28" t="s">
        <v>612</v>
      </c>
      <c r="F918" s="28" t="s">
        <v>586</v>
      </c>
      <c r="G918" s="29">
        <v>178</v>
      </c>
      <c r="H918" s="29">
        <v>4</v>
      </c>
      <c r="I918" s="29">
        <v>4</v>
      </c>
      <c r="J918" s="29">
        <v>0</v>
      </c>
      <c r="K918" s="29">
        <v>4</v>
      </c>
      <c r="L918" s="29">
        <v>0</v>
      </c>
      <c r="M918" s="29">
        <v>0</v>
      </c>
      <c r="N918" s="29">
        <v>0</v>
      </c>
      <c r="O918" s="29">
        <v>0</v>
      </c>
    </row>
    <row r="919" spans="1:15" x14ac:dyDescent="0.3">
      <c r="A919" s="28" t="s">
        <v>575</v>
      </c>
      <c r="B919" s="28" t="s">
        <v>576</v>
      </c>
      <c r="C919" s="28" t="s">
        <v>560</v>
      </c>
      <c r="D919" s="28" t="s">
        <v>577</v>
      </c>
      <c r="E919" s="28" t="s">
        <v>612</v>
      </c>
      <c r="F919" s="28" t="s">
        <v>587</v>
      </c>
      <c r="G919" s="29">
        <v>153</v>
      </c>
      <c r="H919" s="29">
        <v>2</v>
      </c>
      <c r="I919" s="29">
        <v>5</v>
      </c>
      <c r="J919" s="29">
        <v>3</v>
      </c>
      <c r="K919" s="29">
        <v>2</v>
      </c>
      <c r="L919" s="29">
        <v>500</v>
      </c>
      <c r="M919" s="29">
        <v>500</v>
      </c>
      <c r="N919" s="29">
        <v>0</v>
      </c>
      <c r="O919" s="29">
        <v>0</v>
      </c>
    </row>
    <row r="920" spans="1:15" x14ac:dyDescent="0.3">
      <c r="A920" s="28" t="s">
        <v>575</v>
      </c>
      <c r="B920" s="28" t="s">
        <v>576</v>
      </c>
      <c r="C920" s="28" t="s">
        <v>560</v>
      </c>
      <c r="D920" s="28" t="s">
        <v>577</v>
      </c>
      <c r="E920" s="28" t="s">
        <v>612</v>
      </c>
      <c r="F920" s="28" t="s">
        <v>579</v>
      </c>
      <c r="G920" s="29">
        <v>120</v>
      </c>
      <c r="H920" s="29">
        <v>0</v>
      </c>
      <c r="I920" s="29">
        <v>2</v>
      </c>
      <c r="J920" s="29">
        <v>0</v>
      </c>
      <c r="K920" s="29">
        <v>2</v>
      </c>
      <c r="L920" s="29">
        <v>0</v>
      </c>
      <c r="M920" s="29">
        <v>0</v>
      </c>
      <c r="N920" s="29">
        <v>0</v>
      </c>
      <c r="O920" s="29">
        <v>0</v>
      </c>
    </row>
    <row r="921" spans="1:15" x14ac:dyDescent="0.3">
      <c r="A921" s="28" t="s">
        <v>575</v>
      </c>
      <c r="B921" s="28" t="s">
        <v>576</v>
      </c>
      <c r="C921" s="28" t="s">
        <v>560</v>
      </c>
      <c r="D921" s="28" t="s">
        <v>577</v>
      </c>
      <c r="E921" s="28" t="s">
        <v>612</v>
      </c>
      <c r="F921" s="28" t="s">
        <v>588</v>
      </c>
      <c r="G921" s="29">
        <v>714</v>
      </c>
      <c r="H921" s="29">
        <v>4</v>
      </c>
      <c r="I921" s="29">
        <v>6</v>
      </c>
      <c r="J921" s="29">
        <v>4</v>
      </c>
      <c r="K921" s="29">
        <v>2</v>
      </c>
      <c r="L921" s="29">
        <v>100</v>
      </c>
      <c r="M921" s="29">
        <v>0</v>
      </c>
      <c r="N921" s="29">
        <v>100</v>
      </c>
      <c r="O921" s="29">
        <v>0</v>
      </c>
    </row>
    <row r="922" spans="1:15" x14ac:dyDescent="0.3">
      <c r="A922" s="28" t="s">
        <v>575</v>
      </c>
      <c r="B922" s="28" t="s">
        <v>576</v>
      </c>
      <c r="C922" s="28" t="s">
        <v>560</v>
      </c>
      <c r="D922" s="28" t="s">
        <v>577</v>
      </c>
      <c r="E922" s="28" t="s">
        <v>612</v>
      </c>
      <c r="F922" s="28" t="s">
        <v>589</v>
      </c>
      <c r="G922" s="29">
        <v>183</v>
      </c>
      <c r="H922" s="29">
        <v>2</v>
      </c>
      <c r="I922" s="29">
        <v>1</v>
      </c>
      <c r="J922" s="29">
        <v>0</v>
      </c>
      <c r="K922" s="29">
        <v>1</v>
      </c>
      <c r="L922" s="29">
        <v>0</v>
      </c>
      <c r="M922" s="29">
        <v>0</v>
      </c>
      <c r="N922" s="29">
        <v>0</v>
      </c>
      <c r="O922" s="29">
        <v>0</v>
      </c>
    </row>
    <row r="923" spans="1:15" x14ac:dyDescent="0.3">
      <c r="A923" s="28" t="s">
        <v>575</v>
      </c>
      <c r="B923" s="28" t="s">
        <v>576</v>
      </c>
      <c r="C923" s="28" t="s">
        <v>560</v>
      </c>
      <c r="D923" s="28" t="s">
        <v>577</v>
      </c>
      <c r="E923" s="28" t="s">
        <v>612</v>
      </c>
      <c r="F923" s="28" t="s">
        <v>590</v>
      </c>
      <c r="G923" s="29">
        <v>15</v>
      </c>
      <c r="H923" s="29">
        <v>0</v>
      </c>
      <c r="I923" s="29">
        <v>2</v>
      </c>
      <c r="J923" s="29">
        <v>0</v>
      </c>
      <c r="K923" s="29">
        <v>2</v>
      </c>
      <c r="L923" s="29">
        <v>0</v>
      </c>
      <c r="M923" s="29">
        <v>0</v>
      </c>
      <c r="N923" s="29">
        <v>0</v>
      </c>
      <c r="O923" s="29">
        <v>0</v>
      </c>
    </row>
    <row r="924" spans="1:15" x14ac:dyDescent="0.3">
      <c r="A924" s="28" t="s">
        <v>575</v>
      </c>
      <c r="B924" s="28" t="s">
        <v>576</v>
      </c>
      <c r="C924" s="28" t="s">
        <v>560</v>
      </c>
      <c r="D924" s="28" t="s">
        <v>577</v>
      </c>
      <c r="E924" s="28" t="s">
        <v>612</v>
      </c>
      <c r="F924" s="28" t="s">
        <v>591</v>
      </c>
      <c r="G924" s="29">
        <v>38</v>
      </c>
      <c r="H924" s="29">
        <v>0</v>
      </c>
      <c r="I924" s="29">
        <v>0</v>
      </c>
      <c r="J924" s="29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0</v>
      </c>
    </row>
    <row r="925" spans="1:15" x14ac:dyDescent="0.3">
      <c r="A925" s="28" t="s">
        <v>575</v>
      </c>
      <c r="B925" s="28" t="s">
        <v>576</v>
      </c>
      <c r="C925" s="28" t="s">
        <v>560</v>
      </c>
      <c r="D925" s="28" t="s">
        <v>577</v>
      </c>
      <c r="E925" s="28" t="s">
        <v>612</v>
      </c>
      <c r="F925" s="28" t="s">
        <v>592</v>
      </c>
      <c r="G925" s="29">
        <v>0</v>
      </c>
      <c r="H925" s="29">
        <v>0</v>
      </c>
      <c r="I925" s="29">
        <v>1</v>
      </c>
      <c r="J925" s="29">
        <v>0</v>
      </c>
      <c r="K925" s="29">
        <v>1</v>
      </c>
      <c r="L925" s="29">
        <v>0</v>
      </c>
      <c r="M925" s="29">
        <v>0</v>
      </c>
      <c r="N925" s="29">
        <v>0</v>
      </c>
      <c r="O925" s="29">
        <v>0</v>
      </c>
    </row>
    <row r="926" spans="1:15" x14ac:dyDescent="0.3">
      <c r="A926" s="28" t="s">
        <v>575</v>
      </c>
      <c r="B926" s="28" t="s">
        <v>576</v>
      </c>
      <c r="C926" s="28" t="s">
        <v>560</v>
      </c>
      <c r="D926" s="28" t="s">
        <v>577</v>
      </c>
      <c r="E926" s="28" t="s">
        <v>612</v>
      </c>
      <c r="F926" s="28" t="s">
        <v>593</v>
      </c>
      <c r="G926" s="29">
        <v>16</v>
      </c>
      <c r="H926" s="29">
        <v>0</v>
      </c>
      <c r="I926" s="29">
        <v>1</v>
      </c>
      <c r="J926" s="29">
        <v>0</v>
      </c>
      <c r="K926" s="29">
        <v>1</v>
      </c>
      <c r="L926" s="29">
        <v>0</v>
      </c>
      <c r="M926" s="29">
        <v>0</v>
      </c>
      <c r="N926" s="29">
        <v>0</v>
      </c>
      <c r="O926" s="29">
        <v>0</v>
      </c>
    </row>
    <row r="927" spans="1:15" x14ac:dyDescent="0.3">
      <c r="A927" s="28" t="s">
        <v>575</v>
      </c>
      <c r="B927" s="28" t="s">
        <v>576</v>
      </c>
      <c r="C927" s="28" t="s">
        <v>560</v>
      </c>
      <c r="D927" s="28" t="s">
        <v>577</v>
      </c>
      <c r="E927" s="28" t="s">
        <v>612</v>
      </c>
      <c r="F927" s="28" t="s">
        <v>594</v>
      </c>
      <c r="G927" s="29">
        <v>187</v>
      </c>
      <c r="H927" s="29">
        <v>2</v>
      </c>
      <c r="I927" s="29">
        <v>0</v>
      </c>
      <c r="J927" s="29">
        <v>0</v>
      </c>
      <c r="K927" s="29">
        <v>0</v>
      </c>
      <c r="L927" s="29">
        <v>0</v>
      </c>
      <c r="M927" s="29">
        <v>0</v>
      </c>
      <c r="N927" s="29">
        <v>0</v>
      </c>
      <c r="O927" s="29">
        <v>0</v>
      </c>
    </row>
    <row r="928" spans="1:15" x14ac:dyDescent="0.3">
      <c r="A928" s="28" t="s">
        <v>575</v>
      </c>
      <c r="B928" s="28" t="s">
        <v>576</v>
      </c>
      <c r="C928" s="28" t="s">
        <v>560</v>
      </c>
      <c r="D928" s="28" t="s">
        <v>577</v>
      </c>
      <c r="E928" s="28" t="s">
        <v>612</v>
      </c>
      <c r="F928" s="28" t="s">
        <v>595</v>
      </c>
      <c r="G928" s="29">
        <v>188</v>
      </c>
      <c r="H928" s="29">
        <v>0</v>
      </c>
      <c r="I928" s="29">
        <v>0</v>
      </c>
      <c r="J928" s="29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</row>
    <row r="929" spans="1:15" x14ac:dyDescent="0.3">
      <c r="A929" s="28" t="s">
        <v>575</v>
      </c>
      <c r="B929" s="28" t="s">
        <v>576</v>
      </c>
      <c r="C929" s="28" t="s">
        <v>560</v>
      </c>
      <c r="D929" s="28" t="s">
        <v>577</v>
      </c>
      <c r="E929" s="28" t="s">
        <v>613</v>
      </c>
      <c r="F929" s="28" t="s">
        <v>597</v>
      </c>
      <c r="G929" s="29">
        <v>170</v>
      </c>
      <c r="H929" s="29">
        <v>1</v>
      </c>
      <c r="I929" s="29">
        <v>6</v>
      </c>
      <c r="J929" s="29">
        <v>3</v>
      </c>
      <c r="K929" s="29">
        <v>3</v>
      </c>
      <c r="L929" s="29">
        <v>500</v>
      </c>
      <c r="M929" s="29">
        <v>0</v>
      </c>
      <c r="N929" s="29">
        <v>500</v>
      </c>
      <c r="O929" s="29">
        <v>0</v>
      </c>
    </row>
    <row r="930" spans="1:15" x14ac:dyDescent="0.3">
      <c r="A930" s="28" t="s">
        <v>575</v>
      </c>
      <c r="B930" s="28" t="s">
        <v>576</v>
      </c>
      <c r="C930" s="28" t="s">
        <v>560</v>
      </c>
      <c r="D930" s="28" t="s">
        <v>577</v>
      </c>
      <c r="E930" s="28" t="s">
        <v>613</v>
      </c>
      <c r="F930" s="28" t="s">
        <v>598</v>
      </c>
      <c r="G930" s="29">
        <v>118</v>
      </c>
      <c r="H930" s="29">
        <v>1</v>
      </c>
      <c r="I930" s="29">
        <v>0</v>
      </c>
      <c r="J930" s="29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</row>
    <row r="931" spans="1:15" x14ac:dyDescent="0.3">
      <c r="A931" s="28" t="s">
        <v>575</v>
      </c>
      <c r="B931" s="28" t="s">
        <v>576</v>
      </c>
      <c r="C931" s="28" t="s">
        <v>560</v>
      </c>
      <c r="D931" s="28" t="s">
        <v>577</v>
      </c>
      <c r="E931" s="28" t="s">
        <v>613</v>
      </c>
      <c r="F931" s="28" t="s">
        <v>599</v>
      </c>
      <c r="G931" s="29">
        <v>85</v>
      </c>
      <c r="H931" s="29">
        <v>1</v>
      </c>
      <c r="I931" s="29">
        <v>0</v>
      </c>
      <c r="J931" s="29">
        <v>0</v>
      </c>
      <c r="K931" s="29">
        <v>0</v>
      </c>
      <c r="L931" s="29">
        <v>0</v>
      </c>
      <c r="M931" s="29">
        <v>0</v>
      </c>
      <c r="N931" s="29">
        <v>0</v>
      </c>
      <c r="O931" s="29">
        <v>0</v>
      </c>
    </row>
    <row r="932" spans="1:15" x14ac:dyDescent="0.3">
      <c r="A932" s="28" t="s">
        <v>575</v>
      </c>
      <c r="B932" s="28" t="s">
        <v>576</v>
      </c>
      <c r="C932" s="28" t="s">
        <v>560</v>
      </c>
      <c r="D932" s="28" t="s">
        <v>577</v>
      </c>
      <c r="E932" s="28" t="s">
        <v>613</v>
      </c>
      <c r="F932" s="28" t="s">
        <v>600</v>
      </c>
      <c r="G932" s="29">
        <v>115</v>
      </c>
      <c r="H932" s="29">
        <v>0</v>
      </c>
      <c r="I932" s="29">
        <v>0</v>
      </c>
      <c r="J932" s="29">
        <v>0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</row>
    <row r="933" spans="1:15" x14ac:dyDescent="0.3">
      <c r="A933" s="28" t="s">
        <v>575</v>
      </c>
      <c r="B933" s="28" t="s">
        <v>576</v>
      </c>
      <c r="C933" s="28" t="s">
        <v>560</v>
      </c>
      <c r="D933" s="28" t="s">
        <v>577</v>
      </c>
      <c r="E933" s="28" t="s">
        <v>613</v>
      </c>
      <c r="F933" s="28" t="s">
        <v>601</v>
      </c>
      <c r="G933" s="29">
        <v>272</v>
      </c>
      <c r="H933" s="29">
        <v>1</v>
      </c>
      <c r="I933" s="29">
        <v>0</v>
      </c>
      <c r="J933" s="29">
        <v>0</v>
      </c>
      <c r="K933" s="29">
        <v>0</v>
      </c>
      <c r="L933" s="29">
        <v>0</v>
      </c>
      <c r="M933" s="29">
        <v>0</v>
      </c>
      <c r="N933" s="29">
        <v>0</v>
      </c>
      <c r="O933" s="29">
        <v>0</v>
      </c>
    </row>
    <row r="934" spans="1:15" x14ac:dyDescent="0.3">
      <c r="A934" s="28" t="s">
        <v>575</v>
      </c>
      <c r="B934" s="28" t="s">
        <v>576</v>
      </c>
      <c r="C934" s="28" t="s">
        <v>560</v>
      </c>
      <c r="D934" s="28" t="s">
        <v>577</v>
      </c>
      <c r="E934" s="28" t="s">
        <v>613</v>
      </c>
      <c r="F934" s="28" t="s">
        <v>602</v>
      </c>
      <c r="G934" s="29">
        <v>244</v>
      </c>
      <c r="H934" s="29">
        <v>1</v>
      </c>
      <c r="I934" s="29">
        <v>1</v>
      </c>
      <c r="J934" s="29">
        <v>1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</row>
    <row r="935" spans="1:15" x14ac:dyDescent="0.3">
      <c r="A935" s="28" t="s">
        <v>575</v>
      </c>
      <c r="B935" s="28" t="s">
        <v>576</v>
      </c>
      <c r="C935" s="28" t="s">
        <v>560</v>
      </c>
      <c r="D935" s="28" t="s">
        <v>577</v>
      </c>
      <c r="E935" s="28" t="s">
        <v>613</v>
      </c>
      <c r="F935" s="28" t="s">
        <v>603</v>
      </c>
      <c r="G935" s="29">
        <v>80</v>
      </c>
      <c r="H935" s="29">
        <v>1</v>
      </c>
      <c r="I935" s="29">
        <v>4</v>
      </c>
      <c r="J935" s="29">
        <v>2</v>
      </c>
      <c r="K935" s="29">
        <v>2</v>
      </c>
      <c r="L935" s="29">
        <v>0</v>
      </c>
      <c r="M935" s="29">
        <v>0</v>
      </c>
      <c r="N935" s="29">
        <v>0</v>
      </c>
      <c r="O935" s="29">
        <v>0</v>
      </c>
    </row>
    <row r="936" spans="1:15" x14ac:dyDescent="0.3">
      <c r="A936" s="28" t="s">
        <v>575</v>
      </c>
      <c r="B936" s="28" t="s">
        <v>576</v>
      </c>
      <c r="C936" s="28" t="s">
        <v>560</v>
      </c>
      <c r="D936" s="28" t="s">
        <v>577</v>
      </c>
      <c r="E936" s="28" t="s">
        <v>613</v>
      </c>
      <c r="F936" s="28" t="s">
        <v>604</v>
      </c>
      <c r="G936" s="29">
        <v>289</v>
      </c>
      <c r="H936" s="29">
        <v>3</v>
      </c>
      <c r="I936" s="29">
        <v>5</v>
      </c>
      <c r="J936" s="29">
        <v>3</v>
      </c>
      <c r="K936" s="29">
        <v>2</v>
      </c>
      <c r="L936" s="29">
        <v>0</v>
      </c>
      <c r="M936" s="29">
        <v>0</v>
      </c>
      <c r="N936" s="29">
        <v>0</v>
      </c>
      <c r="O936" s="29">
        <v>0</v>
      </c>
    </row>
    <row r="937" spans="1:15" x14ac:dyDescent="0.3">
      <c r="A937" s="28" t="s">
        <v>575</v>
      </c>
      <c r="B937" s="28" t="s">
        <v>576</v>
      </c>
      <c r="C937" s="28" t="s">
        <v>560</v>
      </c>
      <c r="D937" s="28" t="s">
        <v>577</v>
      </c>
      <c r="E937" s="28" t="s">
        <v>613</v>
      </c>
      <c r="F937" s="28" t="s">
        <v>581</v>
      </c>
      <c r="G937" s="29">
        <v>167</v>
      </c>
      <c r="H937" s="29">
        <v>1</v>
      </c>
      <c r="I937" s="29">
        <v>5</v>
      </c>
      <c r="J937" s="29">
        <v>0</v>
      </c>
      <c r="K937" s="29">
        <v>5</v>
      </c>
      <c r="L937" s="29">
        <v>1500</v>
      </c>
      <c r="M937" s="29">
        <v>0</v>
      </c>
      <c r="N937" s="29">
        <v>1500</v>
      </c>
      <c r="O937" s="29">
        <v>0</v>
      </c>
    </row>
    <row r="938" spans="1:15" x14ac:dyDescent="0.3">
      <c r="A938" s="28" t="s">
        <v>575</v>
      </c>
      <c r="B938" s="28" t="s">
        <v>576</v>
      </c>
      <c r="C938" s="28" t="s">
        <v>560</v>
      </c>
      <c r="D938" s="28" t="s">
        <v>577</v>
      </c>
      <c r="E938" s="28" t="s">
        <v>613</v>
      </c>
      <c r="F938" s="28" t="s">
        <v>582</v>
      </c>
      <c r="G938" s="29">
        <v>168</v>
      </c>
      <c r="H938" s="29">
        <v>3</v>
      </c>
      <c r="I938" s="29">
        <v>7</v>
      </c>
      <c r="J938" s="29">
        <v>0</v>
      </c>
      <c r="K938" s="29">
        <v>7</v>
      </c>
      <c r="L938" s="29">
        <v>0</v>
      </c>
      <c r="M938" s="29">
        <v>0</v>
      </c>
      <c r="N938" s="29">
        <v>0</v>
      </c>
      <c r="O938" s="29">
        <v>0</v>
      </c>
    </row>
    <row r="939" spans="1:15" x14ac:dyDescent="0.3">
      <c r="A939" s="28" t="s">
        <v>575</v>
      </c>
      <c r="B939" s="28" t="s">
        <v>576</v>
      </c>
      <c r="C939" s="28" t="s">
        <v>560</v>
      </c>
      <c r="D939" s="28" t="s">
        <v>577</v>
      </c>
      <c r="E939" s="28" t="s">
        <v>613</v>
      </c>
      <c r="F939" s="28" t="s">
        <v>583</v>
      </c>
      <c r="G939" s="29">
        <v>122</v>
      </c>
      <c r="H939" s="29">
        <v>0</v>
      </c>
      <c r="I939" s="29">
        <v>0</v>
      </c>
      <c r="J939" s="29">
        <v>0</v>
      </c>
      <c r="K939" s="29">
        <v>0</v>
      </c>
      <c r="L939" s="29">
        <v>0</v>
      </c>
      <c r="M939" s="29">
        <v>0</v>
      </c>
      <c r="N939" s="29">
        <v>0</v>
      </c>
      <c r="O939" s="29">
        <v>0</v>
      </c>
    </row>
    <row r="940" spans="1:15" x14ac:dyDescent="0.3">
      <c r="A940" s="28" t="s">
        <v>575</v>
      </c>
      <c r="B940" s="28" t="s">
        <v>576</v>
      </c>
      <c r="C940" s="28" t="s">
        <v>560</v>
      </c>
      <c r="D940" s="28" t="s">
        <v>577</v>
      </c>
      <c r="E940" s="28" t="s">
        <v>613</v>
      </c>
      <c r="F940" s="28" t="s">
        <v>584</v>
      </c>
      <c r="G940" s="29">
        <v>180</v>
      </c>
      <c r="H940" s="29">
        <v>1</v>
      </c>
      <c r="I940" s="29">
        <v>2</v>
      </c>
      <c r="J940" s="29">
        <v>0</v>
      </c>
      <c r="K940" s="29">
        <v>2</v>
      </c>
      <c r="L940" s="29">
        <v>0</v>
      </c>
      <c r="M940" s="29">
        <v>0</v>
      </c>
      <c r="N940" s="29">
        <v>0</v>
      </c>
      <c r="O940" s="29">
        <v>0</v>
      </c>
    </row>
    <row r="941" spans="1:15" x14ac:dyDescent="0.3">
      <c r="A941" s="28" t="s">
        <v>575</v>
      </c>
      <c r="B941" s="28" t="s">
        <v>576</v>
      </c>
      <c r="C941" s="28" t="s">
        <v>560</v>
      </c>
      <c r="D941" s="28" t="s">
        <v>577</v>
      </c>
      <c r="E941" s="28" t="s">
        <v>613</v>
      </c>
      <c r="F941" s="28" t="s">
        <v>585</v>
      </c>
      <c r="G941" s="29">
        <v>154</v>
      </c>
      <c r="H941" s="29">
        <v>0</v>
      </c>
      <c r="I941" s="29">
        <v>5</v>
      </c>
      <c r="J941" s="29">
        <v>0</v>
      </c>
      <c r="K941" s="29">
        <v>5</v>
      </c>
      <c r="L941" s="29">
        <v>0</v>
      </c>
      <c r="M941" s="29">
        <v>0</v>
      </c>
      <c r="N941" s="29">
        <v>0</v>
      </c>
      <c r="O941" s="29">
        <v>0</v>
      </c>
    </row>
    <row r="942" spans="1:15" x14ac:dyDescent="0.3">
      <c r="A942" s="28" t="s">
        <v>575</v>
      </c>
      <c r="B942" s="28" t="s">
        <v>576</v>
      </c>
      <c r="C942" s="28" t="s">
        <v>560</v>
      </c>
      <c r="D942" s="28" t="s">
        <v>577</v>
      </c>
      <c r="E942" s="28" t="s">
        <v>613</v>
      </c>
      <c r="F942" s="28" t="s">
        <v>586</v>
      </c>
      <c r="G942" s="29">
        <v>154</v>
      </c>
      <c r="H942" s="29">
        <v>0</v>
      </c>
      <c r="I942" s="29">
        <v>2</v>
      </c>
      <c r="J942" s="29">
        <v>0</v>
      </c>
      <c r="K942" s="29">
        <v>2</v>
      </c>
      <c r="L942" s="29">
        <v>0</v>
      </c>
      <c r="M942" s="29">
        <v>0</v>
      </c>
      <c r="N942" s="29">
        <v>0</v>
      </c>
      <c r="O942" s="29">
        <v>0</v>
      </c>
    </row>
    <row r="943" spans="1:15" x14ac:dyDescent="0.3">
      <c r="A943" s="28" t="s">
        <v>575</v>
      </c>
      <c r="B943" s="28" t="s">
        <v>576</v>
      </c>
      <c r="C943" s="28" t="s">
        <v>560</v>
      </c>
      <c r="D943" s="28" t="s">
        <v>577</v>
      </c>
      <c r="E943" s="28" t="s">
        <v>613</v>
      </c>
      <c r="F943" s="28" t="s">
        <v>587</v>
      </c>
      <c r="G943" s="29">
        <v>174</v>
      </c>
      <c r="H943" s="29">
        <v>0</v>
      </c>
      <c r="I943" s="29">
        <v>5</v>
      </c>
      <c r="J943" s="29">
        <v>2</v>
      </c>
      <c r="K943" s="29">
        <v>3</v>
      </c>
      <c r="L943" s="29">
        <v>0</v>
      </c>
      <c r="M943" s="29">
        <v>0</v>
      </c>
      <c r="N943" s="29">
        <v>0</v>
      </c>
      <c r="O943" s="29">
        <v>0</v>
      </c>
    </row>
    <row r="944" spans="1:15" x14ac:dyDescent="0.3">
      <c r="A944" s="28" t="s">
        <v>575</v>
      </c>
      <c r="B944" s="28" t="s">
        <v>576</v>
      </c>
      <c r="C944" s="28" t="s">
        <v>560</v>
      </c>
      <c r="D944" s="28" t="s">
        <v>577</v>
      </c>
      <c r="E944" s="28" t="s">
        <v>613</v>
      </c>
      <c r="F944" s="28" t="s">
        <v>579</v>
      </c>
      <c r="G944" s="29">
        <v>180</v>
      </c>
      <c r="H944" s="29">
        <v>2</v>
      </c>
      <c r="I944" s="29">
        <v>1</v>
      </c>
      <c r="J944" s="29">
        <v>0</v>
      </c>
      <c r="K944" s="29">
        <v>1</v>
      </c>
      <c r="L944" s="29">
        <v>0</v>
      </c>
      <c r="M944" s="29">
        <v>0</v>
      </c>
      <c r="N944" s="29">
        <v>0</v>
      </c>
      <c r="O944" s="29">
        <v>0</v>
      </c>
    </row>
    <row r="945" spans="1:15" x14ac:dyDescent="0.3">
      <c r="A945" s="28" t="s">
        <v>575</v>
      </c>
      <c r="B945" s="28" t="s">
        <v>576</v>
      </c>
      <c r="C945" s="28" t="s">
        <v>560</v>
      </c>
      <c r="D945" s="28" t="s">
        <v>577</v>
      </c>
      <c r="E945" s="28" t="s">
        <v>613</v>
      </c>
      <c r="F945" s="28" t="s">
        <v>588</v>
      </c>
      <c r="G945" s="29">
        <v>561</v>
      </c>
      <c r="H945" s="29">
        <v>2</v>
      </c>
      <c r="I945" s="29">
        <v>7</v>
      </c>
      <c r="J945" s="29">
        <v>0</v>
      </c>
      <c r="K945" s="29">
        <v>7</v>
      </c>
      <c r="L945" s="29">
        <v>0</v>
      </c>
      <c r="M945" s="29">
        <v>0</v>
      </c>
      <c r="N945" s="29">
        <v>0</v>
      </c>
      <c r="O945" s="29">
        <v>0</v>
      </c>
    </row>
    <row r="946" spans="1:15" x14ac:dyDescent="0.3">
      <c r="A946" s="28" t="s">
        <v>575</v>
      </c>
      <c r="B946" s="28" t="s">
        <v>576</v>
      </c>
      <c r="C946" s="28" t="s">
        <v>560</v>
      </c>
      <c r="D946" s="28" t="s">
        <v>577</v>
      </c>
      <c r="E946" s="28" t="s">
        <v>613</v>
      </c>
      <c r="F946" s="28" t="s">
        <v>589</v>
      </c>
      <c r="G946" s="29">
        <v>248</v>
      </c>
      <c r="H946" s="29">
        <v>0</v>
      </c>
      <c r="I946" s="29">
        <v>1</v>
      </c>
      <c r="J946" s="29">
        <v>0</v>
      </c>
      <c r="K946" s="29">
        <v>1</v>
      </c>
      <c r="L946" s="29">
        <v>500</v>
      </c>
      <c r="M946" s="29">
        <v>0</v>
      </c>
      <c r="N946" s="29">
        <v>500</v>
      </c>
      <c r="O946" s="29">
        <v>0</v>
      </c>
    </row>
    <row r="947" spans="1:15" x14ac:dyDescent="0.3">
      <c r="A947" s="28" t="s">
        <v>575</v>
      </c>
      <c r="B947" s="28" t="s">
        <v>576</v>
      </c>
      <c r="C947" s="28" t="s">
        <v>560</v>
      </c>
      <c r="D947" s="28" t="s">
        <v>577</v>
      </c>
      <c r="E947" s="28" t="s">
        <v>613</v>
      </c>
      <c r="F947" s="28" t="s">
        <v>590</v>
      </c>
      <c r="G947" s="29">
        <v>23</v>
      </c>
      <c r="H947" s="29">
        <v>0</v>
      </c>
      <c r="I947" s="29">
        <v>6</v>
      </c>
      <c r="J947" s="29">
        <v>0</v>
      </c>
      <c r="K947" s="29">
        <v>6</v>
      </c>
      <c r="L947" s="29">
        <v>0</v>
      </c>
      <c r="M947" s="29">
        <v>0</v>
      </c>
      <c r="N947" s="29">
        <v>0</v>
      </c>
      <c r="O947" s="29">
        <v>0</v>
      </c>
    </row>
    <row r="948" spans="1:15" x14ac:dyDescent="0.3">
      <c r="A948" s="28" t="s">
        <v>575</v>
      </c>
      <c r="B948" s="28" t="s">
        <v>576</v>
      </c>
      <c r="C948" s="28" t="s">
        <v>560</v>
      </c>
      <c r="D948" s="28" t="s">
        <v>577</v>
      </c>
      <c r="E948" s="28" t="s">
        <v>613</v>
      </c>
      <c r="F948" s="28" t="s">
        <v>591</v>
      </c>
      <c r="G948" s="29">
        <v>10</v>
      </c>
      <c r="H948" s="29">
        <v>0</v>
      </c>
      <c r="I948" s="29">
        <v>0</v>
      </c>
      <c r="J948" s="29">
        <v>0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</row>
    <row r="949" spans="1:15" x14ac:dyDescent="0.3">
      <c r="A949" s="28" t="s">
        <v>575</v>
      </c>
      <c r="B949" s="28" t="s">
        <v>576</v>
      </c>
      <c r="C949" s="28" t="s">
        <v>560</v>
      </c>
      <c r="D949" s="28" t="s">
        <v>577</v>
      </c>
      <c r="E949" s="28" t="s">
        <v>613</v>
      </c>
      <c r="F949" s="28" t="s">
        <v>592</v>
      </c>
      <c r="G949" s="29">
        <v>0</v>
      </c>
      <c r="H949" s="29">
        <v>0</v>
      </c>
      <c r="I949" s="29">
        <v>4</v>
      </c>
      <c r="J949" s="29">
        <v>0</v>
      </c>
      <c r="K949" s="29">
        <v>4</v>
      </c>
      <c r="L949" s="29">
        <v>0</v>
      </c>
      <c r="M949" s="29">
        <v>0</v>
      </c>
      <c r="N949" s="29">
        <v>0</v>
      </c>
      <c r="O949" s="29">
        <v>0</v>
      </c>
    </row>
    <row r="950" spans="1:15" x14ac:dyDescent="0.3">
      <c r="A950" s="28" t="s">
        <v>575</v>
      </c>
      <c r="B950" s="28" t="s">
        <v>576</v>
      </c>
      <c r="C950" s="28" t="s">
        <v>560</v>
      </c>
      <c r="D950" s="28" t="s">
        <v>577</v>
      </c>
      <c r="E950" s="28" t="s">
        <v>613</v>
      </c>
      <c r="F950" s="28" t="s">
        <v>593</v>
      </c>
      <c r="G950" s="29">
        <v>14</v>
      </c>
      <c r="H950" s="29">
        <v>0</v>
      </c>
      <c r="I950" s="29">
        <v>0</v>
      </c>
      <c r="J950" s="29">
        <v>0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</row>
    <row r="951" spans="1:15" x14ac:dyDescent="0.3">
      <c r="A951" s="28" t="s">
        <v>575</v>
      </c>
      <c r="B951" s="28" t="s">
        <v>576</v>
      </c>
      <c r="C951" s="28" t="s">
        <v>560</v>
      </c>
      <c r="D951" s="28" t="s">
        <v>577</v>
      </c>
      <c r="E951" s="28" t="s">
        <v>613</v>
      </c>
      <c r="F951" s="28" t="s">
        <v>594</v>
      </c>
      <c r="G951" s="29">
        <v>181</v>
      </c>
      <c r="H951" s="29">
        <v>0</v>
      </c>
      <c r="I951" s="29">
        <v>0</v>
      </c>
      <c r="J951" s="29">
        <v>0</v>
      </c>
      <c r="K951" s="29">
        <v>0</v>
      </c>
      <c r="L951" s="29">
        <v>0</v>
      </c>
      <c r="M951" s="29">
        <v>0</v>
      </c>
      <c r="N951" s="29">
        <v>0</v>
      </c>
      <c r="O951" s="29">
        <v>0</v>
      </c>
    </row>
    <row r="952" spans="1:15" x14ac:dyDescent="0.3">
      <c r="A952" s="28" t="s">
        <v>575</v>
      </c>
      <c r="B952" s="28" t="s">
        <v>576</v>
      </c>
      <c r="C952" s="28" t="s">
        <v>560</v>
      </c>
      <c r="D952" s="28" t="s">
        <v>577</v>
      </c>
      <c r="E952" s="28" t="s">
        <v>613</v>
      </c>
      <c r="F952" s="28" t="s">
        <v>595</v>
      </c>
      <c r="G952" s="29">
        <v>94</v>
      </c>
      <c r="H952" s="29">
        <v>1</v>
      </c>
      <c r="I952" s="29">
        <v>1</v>
      </c>
      <c r="J952" s="29">
        <v>0</v>
      </c>
      <c r="K952" s="29">
        <v>1</v>
      </c>
      <c r="L952" s="29">
        <v>0</v>
      </c>
      <c r="M952" s="29">
        <v>0</v>
      </c>
      <c r="N952" s="29">
        <v>0</v>
      </c>
      <c r="O952" s="29">
        <v>0</v>
      </c>
    </row>
    <row r="953" spans="1:15" x14ac:dyDescent="0.3">
      <c r="A953" s="28" t="s">
        <v>575</v>
      </c>
      <c r="B953" s="28" t="s">
        <v>576</v>
      </c>
      <c r="C953" s="28" t="s">
        <v>560</v>
      </c>
      <c r="D953" s="28" t="s">
        <v>577</v>
      </c>
      <c r="E953" s="28" t="s">
        <v>614</v>
      </c>
      <c r="F953" s="28" t="s">
        <v>597</v>
      </c>
      <c r="G953" s="29">
        <v>182</v>
      </c>
      <c r="H953" s="29">
        <v>0</v>
      </c>
      <c r="I953" s="29">
        <v>1</v>
      </c>
      <c r="J953" s="29">
        <v>0</v>
      </c>
      <c r="K953" s="29">
        <v>1</v>
      </c>
      <c r="L953" s="29">
        <v>0</v>
      </c>
      <c r="M953" s="29">
        <v>0</v>
      </c>
      <c r="N953" s="29">
        <v>0</v>
      </c>
      <c r="O953" s="29">
        <v>0</v>
      </c>
    </row>
    <row r="954" spans="1:15" x14ac:dyDescent="0.3">
      <c r="A954" s="28" t="s">
        <v>575</v>
      </c>
      <c r="B954" s="28" t="s">
        <v>576</v>
      </c>
      <c r="C954" s="28" t="s">
        <v>560</v>
      </c>
      <c r="D954" s="28" t="s">
        <v>577</v>
      </c>
      <c r="E954" s="28" t="s">
        <v>614</v>
      </c>
      <c r="F954" s="28" t="s">
        <v>598</v>
      </c>
      <c r="G954" s="29">
        <v>123</v>
      </c>
      <c r="H954" s="29">
        <v>0</v>
      </c>
      <c r="I954" s="29">
        <v>0</v>
      </c>
      <c r="J954" s="29">
        <v>0</v>
      </c>
      <c r="K954" s="29">
        <v>0</v>
      </c>
      <c r="L954" s="29">
        <v>0</v>
      </c>
      <c r="M954" s="29">
        <v>0</v>
      </c>
      <c r="N954" s="29">
        <v>0</v>
      </c>
      <c r="O954" s="29">
        <v>0</v>
      </c>
    </row>
    <row r="955" spans="1:15" x14ac:dyDescent="0.3">
      <c r="A955" s="28" t="s">
        <v>575</v>
      </c>
      <c r="B955" s="28" t="s">
        <v>576</v>
      </c>
      <c r="C955" s="28" t="s">
        <v>560</v>
      </c>
      <c r="D955" s="28" t="s">
        <v>577</v>
      </c>
      <c r="E955" s="28" t="s">
        <v>614</v>
      </c>
      <c r="F955" s="28" t="s">
        <v>599</v>
      </c>
      <c r="G955" s="29">
        <v>104</v>
      </c>
      <c r="H955" s="29">
        <v>0</v>
      </c>
      <c r="I955" s="29">
        <v>0</v>
      </c>
      <c r="J955" s="29">
        <v>0</v>
      </c>
      <c r="K955" s="29">
        <v>0</v>
      </c>
      <c r="L955" s="29">
        <v>0</v>
      </c>
      <c r="M955" s="29">
        <v>0</v>
      </c>
      <c r="N955" s="29">
        <v>0</v>
      </c>
      <c r="O955" s="29">
        <v>0</v>
      </c>
    </row>
    <row r="956" spans="1:15" x14ac:dyDescent="0.3">
      <c r="A956" s="28" t="s">
        <v>575</v>
      </c>
      <c r="B956" s="28" t="s">
        <v>576</v>
      </c>
      <c r="C956" s="28" t="s">
        <v>560</v>
      </c>
      <c r="D956" s="28" t="s">
        <v>577</v>
      </c>
      <c r="E956" s="28" t="s">
        <v>614</v>
      </c>
      <c r="F956" s="28" t="s">
        <v>600</v>
      </c>
      <c r="G956" s="29">
        <v>96</v>
      </c>
      <c r="H956" s="29">
        <v>0</v>
      </c>
      <c r="I956" s="29">
        <v>0</v>
      </c>
      <c r="J956" s="29">
        <v>0</v>
      </c>
      <c r="K956" s="29">
        <v>0</v>
      </c>
      <c r="L956" s="29">
        <v>0</v>
      </c>
      <c r="M956" s="29">
        <v>0</v>
      </c>
      <c r="N956" s="29">
        <v>0</v>
      </c>
      <c r="O956" s="29">
        <v>0</v>
      </c>
    </row>
    <row r="957" spans="1:15" x14ac:dyDescent="0.3">
      <c r="A957" s="28" t="s">
        <v>575</v>
      </c>
      <c r="B957" s="28" t="s">
        <v>576</v>
      </c>
      <c r="C957" s="28" t="s">
        <v>560</v>
      </c>
      <c r="D957" s="28" t="s">
        <v>577</v>
      </c>
      <c r="E957" s="28" t="s">
        <v>614</v>
      </c>
      <c r="F957" s="28" t="s">
        <v>601</v>
      </c>
      <c r="G957" s="29">
        <v>244</v>
      </c>
      <c r="H957" s="29">
        <v>4</v>
      </c>
      <c r="I957" s="29">
        <v>0</v>
      </c>
      <c r="J957" s="29">
        <v>0</v>
      </c>
      <c r="K957" s="29">
        <v>0</v>
      </c>
      <c r="L957" s="29">
        <v>0</v>
      </c>
      <c r="M957" s="29">
        <v>0</v>
      </c>
      <c r="N957" s="29">
        <v>0</v>
      </c>
      <c r="O957" s="29">
        <v>0</v>
      </c>
    </row>
    <row r="958" spans="1:15" x14ac:dyDescent="0.3">
      <c r="A958" s="28" t="s">
        <v>575</v>
      </c>
      <c r="B958" s="28" t="s">
        <v>576</v>
      </c>
      <c r="C958" s="28" t="s">
        <v>560</v>
      </c>
      <c r="D958" s="28" t="s">
        <v>577</v>
      </c>
      <c r="E958" s="28" t="s">
        <v>614</v>
      </c>
      <c r="F958" s="28" t="s">
        <v>602</v>
      </c>
      <c r="G958" s="29">
        <v>293</v>
      </c>
      <c r="H958" s="29">
        <v>1</v>
      </c>
      <c r="I958" s="29">
        <v>0</v>
      </c>
      <c r="J958" s="29">
        <v>0</v>
      </c>
      <c r="K958" s="29">
        <v>0</v>
      </c>
      <c r="L958" s="29">
        <v>0</v>
      </c>
      <c r="M958" s="29">
        <v>0</v>
      </c>
      <c r="N958" s="29">
        <v>0</v>
      </c>
      <c r="O958" s="29">
        <v>0</v>
      </c>
    </row>
    <row r="959" spans="1:15" x14ac:dyDescent="0.3">
      <c r="A959" s="28" t="s">
        <v>575</v>
      </c>
      <c r="B959" s="28" t="s">
        <v>576</v>
      </c>
      <c r="C959" s="28" t="s">
        <v>560</v>
      </c>
      <c r="D959" s="28" t="s">
        <v>577</v>
      </c>
      <c r="E959" s="28" t="s">
        <v>614</v>
      </c>
      <c r="F959" s="28" t="s">
        <v>603</v>
      </c>
      <c r="G959" s="29">
        <v>114</v>
      </c>
      <c r="H959" s="29">
        <v>0</v>
      </c>
      <c r="I959" s="29">
        <v>1</v>
      </c>
      <c r="J959" s="29">
        <v>0</v>
      </c>
      <c r="K959" s="29">
        <v>1</v>
      </c>
      <c r="L959" s="29">
        <v>0</v>
      </c>
      <c r="M959" s="29">
        <v>0</v>
      </c>
      <c r="N959" s="29">
        <v>0</v>
      </c>
      <c r="O959" s="29">
        <v>0</v>
      </c>
    </row>
    <row r="960" spans="1:15" x14ac:dyDescent="0.3">
      <c r="A960" s="28" t="s">
        <v>575</v>
      </c>
      <c r="B960" s="28" t="s">
        <v>576</v>
      </c>
      <c r="C960" s="28" t="s">
        <v>560</v>
      </c>
      <c r="D960" s="28" t="s">
        <v>577</v>
      </c>
      <c r="E960" s="28" t="s">
        <v>614</v>
      </c>
      <c r="F960" s="28" t="s">
        <v>604</v>
      </c>
      <c r="G960" s="29">
        <v>257</v>
      </c>
      <c r="H960" s="29">
        <v>2</v>
      </c>
      <c r="I960" s="29">
        <v>1</v>
      </c>
      <c r="J960" s="29">
        <v>0</v>
      </c>
      <c r="K960" s="29">
        <v>1</v>
      </c>
      <c r="L960" s="29">
        <v>0</v>
      </c>
      <c r="M960" s="29">
        <v>0</v>
      </c>
      <c r="N960" s="29">
        <v>0</v>
      </c>
      <c r="O960" s="29">
        <v>0</v>
      </c>
    </row>
    <row r="961" spans="1:15" x14ac:dyDescent="0.3">
      <c r="A961" s="28" t="s">
        <v>575</v>
      </c>
      <c r="B961" s="28" t="s">
        <v>576</v>
      </c>
      <c r="C961" s="28" t="s">
        <v>560</v>
      </c>
      <c r="D961" s="28" t="s">
        <v>577</v>
      </c>
      <c r="E961" s="28" t="s">
        <v>614</v>
      </c>
      <c r="F961" s="28" t="s">
        <v>581</v>
      </c>
      <c r="G961" s="29">
        <v>169</v>
      </c>
      <c r="H961" s="29">
        <v>0</v>
      </c>
      <c r="I961" s="29">
        <v>3</v>
      </c>
      <c r="J961" s="29">
        <v>0</v>
      </c>
      <c r="K961" s="29">
        <v>3</v>
      </c>
      <c r="L961" s="29">
        <v>0</v>
      </c>
      <c r="M961" s="29">
        <v>0</v>
      </c>
      <c r="N961" s="29">
        <v>0</v>
      </c>
      <c r="O961" s="29">
        <v>0</v>
      </c>
    </row>
    <row r="962" spans="1:15" x14ac:dyDescent="0.3">
      <c r="A962" s="28" t="s">
        <v>575</v>
      </c>
      <c r="B962" s="28" t="s">
        <v>576</v>
      </c>
      <c r="C962" s="28" t="s">
        <v>560</v>
      </c>
      <c r="D962" s="28" t="s">
        <v>577</v>
      </c>
      <c r="E962" s="28" t="s">
        <v>614</v>
      </c>
      <c r="F962" s="28" t="s">
        <v>582</v>
      </c>
      <c r="G962" s="29">
        <v>158</v>
      </c>
      <c r="H962" s="29">
        <v>0</v>
      </c>
      <c r="I962" s="29">
        <v>12</v>
      </c>
      <c r="J962" s="29">
        <v>3</v>
      </c>
      <c r="K962" s="29">
        <v>9</v>
      </c>
      <c r="L962" s="29">
        <v>500</v>
      </c>
      <c r="M962" s="29">
        <v>0</v>
      </c>
      <c r="N962" s="29">
        <v>500</v>
      </c>
      <c r="O962" s="29">
        <v>0</v>
      </c>
    </row>
    <row r="963" spans="1:15" x14ac:dyDescent="0.3">
      <c r="A963" s="28" t="s">
        <v>575</v>
      </c>
      <c r="B963" s="28" t="s">
        <v>576</v>
      </c>
      <c r="C963" s="28" t="s">
        <v>560</v>
      </c>
      <c r="D963" s="28" t="s">
        <v>577</v>
      </c>
      <c r="E963" s="28" t="s">
        <v>614</v>
      </c>
      <c r="F963" s="28" t="s">
        <v>583</v>
      </c>
      <c r="G963" s="29">
        <v>154</v>
      </c>
      <c r="H963" s="29">
        <v>1</v>
      </c>
      <c r="I963" s="29">
        <v>10</v>
      </c>
      <c r="J963" s="29">
        <v>6</v>
      </c>
      <c r="K963" s="29">
        <v>4</v>
      </c>
      <c r="L963" s="29">
        <v>500</v>
      </c>
      <c r="M963" s="29">
        <v>0</v>
      </c>
      <c r="N963" s="29">
        <v>500</v>
      </c>
      <c r="O963" s="29">
        <v>0</v>
      </c>
    </row>
    <row r="964" spans="1:15" x14ac:dyDescent="0.3">
      <c r="A964" s="28" t="s">
        <v>575</v>
      </c>
      <c r="B964" s="28" t="s">
        <v>576</v>
      </c>
      <c r="C964" s="28" t="s">
        <v>560</v>
      </c>
      <c r="D964" s="28" t="s">
        <v>577</v>
      </c>
      <c r="E964" s="28" t="s">
        <v>614</v>
      </c>
      <c r="F964" s="28" t="s">
        <v>584</v>
      </c>
      <c r="G964" s="29">
        <v>163</v>
      </c>
      <c r="H964" s="29">
        <v>0</v>
      </c>
      <c r="I964" s="29">
        <v>3</v>
      </c>
      <c r="J964" s="29">
        <v>0</v>
      </c>
      <c r="K964" s="29">
        <v>3</v>
      </c>
      <c r="L964" s="29">
        <v>0</v>
      </c>
      <c r="M964" s="29">
        <v>0</v>
      </c>
      <c r="N964" s="29">
        <v>0</v>
      </c>
      <c r="O964" s="29">
        <v>0</v>
      </c>
    </row>
    <row r="965" spans="1:15" x14ac:dyDescent="0.3">
      <c r="A965" s="28" t="s">
        <v>575</v>
      </c>
      <c r="B965" s="28" t="s">
        <v>576</v>
      </c>
      <c r="C965" s="28" t="s">
        <v>560</v>
      </c>
      <c r="D965" s="28" t="s">
        <v>577</v>
      </c>
      <c r="E965" s="28" t="s">
        <v>614</v>
      </c>
      <c r="F965" s="28" t="s">
        <v>585</v>
      </c>
      <c r="G965" s="29">
        <v>146</v>
      </c>
      <c r="H965" s="29">
        <v>1</v>
      </c>
      <c r="I965" s="29">
        <v>0</v>
      </c>
      <c r="J965" s="29">
        <v>0</v>
      </c>
      <c r="K965" s="29">
        <v>0</v>
      </c>
      <c r="L965" s="29">
        <v>0</v>
      </c>
      <c r="M965" s="29">
        <v>0</v>
      </c>
      <c r="N965" s="29">
        <v>0</v>
      </c>
      <c r="O965" s="29">
        <v>0</v>
      </c>
    </row>
    <row r="966" spans="1:15" x14ac:dyDescent="0.3">
      <c r="A966" s="28" t="s">
        <v>575</v>
      </c>
      <c r="B966" s="28" t="s">
        <v>576</v>
      </c>
      <c r="C966" s="28" t="s">
        <v>560</v>
      </c>
      <c r="D966" s="28" t="s">
        <v>577</v>
      </c>
      <c r="E966" s="28" t="s">
        <v>614</v>
      </c>
      <c r="F966" s="28" t="s">
        <v>586</v>
      </c>
      <c r="G966" s="29">
        <v>189</v>
      </c>
      <c r="H966" s="29">
        <v>1</v>
      </c>
      <c r="I966" s="29">
        <v>0</v>
      </c>
      <c r="J966" s="29">
        <v>0</v>
      </c>
      <c r="K966" s="29">
        <v>0</v>
      </c>
      <c r="L966" s="29">
        <v>0</v>
      </c>
      <c r="M966" s="29">
        <v>0</v>
      </c>
      <c r="N966" s="29">
        <v>0</v>
      </c>
      <c r="O966" s="29">
        <v>0</v>
      </c>
    </row>
    <row r="967" spans="1:15" x14ac:dyDescent="0.3">
      <c r="A967" s="28" t="s">
        <v>575</v>
      </c>
      <c r="B967" s="28" t="s">
        <v>576</v>
      </c>
      <c r="C967" s="28" t="s">
        <v>560</v>
      </c>
      <c r="D967" s="28" t="s">
        <v>577</v>
      </c>
      <c r="E967" s="28" t="s">
        <v>614</v>
      </c>
      <c r="F967" s="28" t="s">
        <v>587</v>
      </c>
      <c r="G967" s="29">
        <v>144</v>
      </c>
      <c r="H967" s="29">
        <v>1</v>
      </c>
      <c r="I967" s="29">
        <v>4</v>
      </c>
      <c r="J967" s="29">
        <v>1</v>
      </c>
      <c r="K967" s="29">
        <v>3</v>
      </c>
      <c r="L967" s="29">
        <v>0</v>
      </c>
      <c r="M967" s="29">
        <v>0</v>
      </c>
      <c r="N967" s="29">
        <v>0</v>
      </c>
      <c r="O967" s="29">
        <v>0</v>
      </c>
    </row>
    <row r="968" spans="1:15" x14ac:dyDescent="0.3">
      <c r="A968" s="28" t="s">
        <v>575</v>
      </c>
      <c r="B968" s="28" t="s">
        <v>576</v>
      </c>
      <c r="C968" s="28" t="s">
        <v>560</v>
      </c>
      <c r="D968" s="28" t="s">
        <v>577</v>
      </c>
      <c r="E968" s="28" t="s">
        <v>614</v>
      </c>
      <c r="F968" s="28" t="s">
        <v>579</v>
      </c>
      <c r="G968" s="29">
        <v>145</v>
      </c>
      <c r="H968" s="29">
        <v>0</v>
      </c>
      <c r="I968" s="29">
        <v>2</v>
      </c>
      <c r="J968" s="29">
        <v>2</v>
      </c>
      <c r="K968" s="29">
        <v>0</v>
      </c>
      <c r="L968" s="29">
        <v>0</v>
      </c>
      <c r="M968" s="29">
        <v>0</v>
      </c>
      <c r="N968" s="29">
        <v>0</v>
      </c>
      <c r="O968" s="29">
        <v>0</v>
      </c>
    </row>
    <row r="969" spans="1:15" x14ac:dyDescent="0.3">
      <c r="A969" s="28" t="s">
        <v>575</v>
      </c>
      <c r="B969" s="28" t="s">
        <v>576</v>
      </c>
      <c r="C969" s="28" t="s">
        <v>560</v>
      </c>
      <c r="D969" s="28" t="s">
        <v>577</v>
      </c>
      <c r="E969" s="28" t="s">
        <v>614</v>
      </c>
      <c r="F969" s="28" t="s">
        <v>588</v>
      </c>
      <c r="G969" s="29">
        <v>648</v>
      </c>
      <c r="H969" s="29">
        <v>3</v>
      </c>
      <c r="I969" s="29">
        <v>2</v>
      </c>
      <c r="J969" s="29">
        <v>1</v>
      </c>
      <c r="K969" s="29">
        <v>1</v>
      </c>
      <c r="L969" s="29">
        <v>0</v>
      </c>
      <c r="M969" s="29">
        <v>0</v>
      </c>
      <c r="N969" s="29">
        <v>0</v>
      </c>
      <c r="O969" s="29">
        <v>0</v>
      </c>
    </row>
    <row r="970" spans="1:15" x14ac:dyDescent="0.3">
      <c r="A970" s="28" t="s">
        <v>575</v>
      </c>
      <c r="B970" s="28" t="s">
        <v>576</v>
      </c>
      <c r="C970" s="28" t="s">
        <v>560</v>
      </c>
      <c r="D970" s="28" t="s">
        <v>577</v>
      </c>
      <c r="E970" s="28" t="s">
        <v>614</v>
      </c>
      <c r="F970" s="28" t="s">
        <v>589</v>
      </c>
      <c r="G970" s="29">
        <v>285</v>
      </c>
      <c r="H970" s="29">
        <v>2</v>
      </c>
      <c r="I970" s="29">
        <v>2</v>
      </c>
      <c r="J970" s="29">
        <v>0</v>
      </c>
      <c r="K970" s="29">
        <v>2</v>
      </c>
      <c r="L970" s="29">
        <v>0</v>
      </c>
      <c r="M970" s="29">
        <v>0</v>
      </c>
      <c r="N970" s="29">
        <v>0</v>
      </c>
      <c r="O970" s="29">
        <v>0</v>
      </c>
    </row>
    <row r="971" spans="1:15" x14ac:dyDescent="0.3">
      <c r="A971" s="28" t="s">
        <v>575</v>
      </c>
      <c r="B971" s="28" t="s">
        <v>576</v>
      </c>
      <c r="C971" s="28" t="s">
        <v>560</v>
      </c>
      <c r="D971" s="28" t="s">
        <v>577</v>
      </c>
      <c r="E971" s="28" t="s">
        <v>614</v>
      </c>
      <c r="F971" s="28" t="s">
        <v>590</v>
      </c>
      <c r="G971" s="29">
        <v>0</v>
      </c>
      <c r="H971" s="29">
        <v>0</v>
      </c>
      <c r="I971" s="29">
        <v>2</v>
      </c>
      <c r="J971" s="29">
        <v>1</v>
      </c>
      <c r="K971" s="29">
        <v>1</v>
      </c>
      <c r="L971" s="29">
        <v>0</v>
      </c>
      <c r="M971" s="29">
        <v>0</v>
      </c>
      <c r="N971" s="29">
        <v>0</v>
      </c>
      <c r="O971" s="29">
        <v>0</v>
      </c>
    </row>
    <row r="972" spans="1:15" x14ac:dyDescent="0.3">
      <c r="A972" s="28" t="s">
        <v>575</v>
      </c>
      <c r="B972" s="28" t="s">
        <v>576</v>
      </c>
      <c r="C972" s="28" t="s">
        <v>560</v>
      </c>
      <c r="D972" s="28" t="s">
        <v>577</v>
      </c>
      <c r="E972" s="28" t="s">
        <v>614</v>
      </c>
      <c r="F972" s="28" t="s">
        <v>591</v>
      </c>
      <c r="G972" s="29">
        <v>0</v>
      </c>
      <c r="H972" s="29">
        <v>0</v>
      </c>
      <c r="I972" s="29">
        <v>1</v>
      </c>
      <c r="J972" s="29">
        <v>0</v>
      </c>
      <c r="K972" s="29">
        <v>1</v>
      </c>
      <c r="L972" s="29">
        <v>0</v>
      </c>
      <c r="M972" s="29">
        <v>0</v>
      </c>
      <c r="N972" s="29">
        <v>0</v>
      </c>
      <c r="O972" s="29">
        <v>0</v>
      </c>
    </row>
    <row r="973" spans="1:15" x14ac:dyDescent="0.3">
      <c r="A973" s="28" t="s">
        <v>575</v>
      </c>
      <c r="B973" s="28" t="s">
        <v>576</v>
      </c>
      <c r="C973" s="28" t="s">
        <v>560</v>
      </c>
      <c r="D973" s="28" t="s">
        <v>577</v>
      </c>
      <c r="E973" s="28" t="s">
        <v>614</v>
      </c>
      <c r="F973" s="28" t="s">
        <v>592</v>
      </c>
      <c r="G973" s="29">
        <v>0</v>
      </c>
      <c r="H973" s="29">
        <v>0</v>
      </c>
      <c r="I973" s="29">
        <v>1</v>
      </c>
      <c r="J973" s="29">
        <v>1</v>
      </c>
      <c r="K973" s="29">
        <v>0</v>
      </c>
      <c r="L973" s="29">
        <v>0</v>
      </c>
      <c r="M973" s="29">
        <v>0</v>
      </c>
      <c r="N973" s="29">
        <v>0</v>
      </c>
      <c r="O973" s="29">
        <v>0</v>
      </c>
    </row>
    <row r="974" spans="1:15" x14ac:dyDescent="0.3">
      <c r="A974" s="28" t="s">
        <v>575</v>
      </c>
      <c r="B974" s="28" t="s">
        <v>576</v>
      </c>
      <c r="C974" s="28" t="s">
        <v>560</v>
      </c>
      <c r="D974" s="28" t="s">
        <v>577</v>
      </c>
      <c r="E974" s="28" t="s">
        <v>614</v>
      </c>
      <c r="F974" s="28" t="s">
        <v>593</v>
      </c>
      <c r="G974" s="29">
        <v>70</v>
      </c>
      <c r="H974" s="29">
        <v>0</v>
      </c>
      <c r="I974" s="29">
        <v>1</v>
      </c>
      <c r="J974" s="29">
        <v>0</v>
      </c>
      <c r="K974" s="29">
        <v>1</v>
      </c>
      <c r="L974" s="29">
        <v>0</v>
      </c>
      <c r="M974" s="29">
        <v>0</v>
      </c>
      <c r="N974" s="29">
        <v>0</v>
      </c>
      <c r="O974" s="29">
        <v>0</v>
      </c>
    </row>
    <row r="975" spans="1:15" x14ac:dyDescent="0.3">
      <c r="A975" s="28" t="s">
        <v>575</v>
      </c>
      <c r="B975" s="28" t="s">
        <v>576</v>
      </c>
      <c r="C975" s="28" t="s">
        <v>560</v>
      </c>
      <c r="D975" s="28" t="s">
        <v>577</v>
      </c>
      <c r="E975" s="28" t="s">
        <v>614</v>
      </c>
      <c r="F975" s="28" t="s">
        <v>594</v>
      </c>
      <c r="G975" s="29">
        <v>138</v>
      </c>
      <c r="H975" s="29">
        <v>0</v>
      </c>
      <c r="I975" s="29">
        <v>0</v>
      </c>
      <c r="J975" s="29">
        <v>0</v>
      </c>
      <c r="K975" s="29">
        <v>0</v>
      </c>
      <c r="L975" s="29">
        <v>0</v>
      </c>
      <c r="M975" s="29">
        <v>0</v>
      </c>
      <c r="N975" s="29">
        <v>0</v>
      </c>
      <c r="O975" s="29">
        <v>0</v>
      </c>
    </row>
    <row r="976" spans="1:15" x14ac:dyDescent="0.3">
      <c r="A976" s="28" t="s">
        <v>575</v>
      </c>
      <c r="B976" s="28" t="s">
        <v>576</v>
      </c>
      <c r="C976" s="28" t="s">
        <v>560</v>
      </c>
      <c r="D976" s="28" t="s">
        <v>577</v>
      </c>
      <c r="E976" s="28" t="s">
        <v>614</v>
      </c>
      <c r="F976" s="28" t="s">
        <v>595</v>
      </c>
      <c r="G976" s="29">
        <v>152</v>
      </c>
      <c r="H976" s="29">
        <v>0</v>
      </c>
      <c r="I976" s="29">
        <v>0</v>
      </c>
      <c r="J976" s="29">
        <v>0</v>
      </c>
      <c r="K976" s="29">
        <v>0</v>
      </c>
      <c r="L976" s="29">
        <v>0</v>
      </c>
      <c r="M976" s="29">
        <v>0</v>
      </c>
      <c r="N976" s="29">
        <v>0</v>
      </c>
      <c r="O976" s="29">
        <v>0</v>
      </c>
    </row>
    <row r="977" spans="1:15" x14ac:dyDescent="0.3">
      <c r="A977" s="28" t="s">
        <v>575</v>
      </c>
      <c r="B977" s="28" t="s">
        <v>576</v>
      </c>
      <c r="C977" s="28" t="s">
        <v>560</v>
      </c>
      <c r="D977" s="28" t="s">
        <v>577</v>
      </c>
      <c r="E977" s="28" t="s">
        <v>615</v>
      </c>
      <c r="F977" s="28" t="s">
        <v>597</v>
      </c>
      <c r="G977" s="29">
        <v>201</v>
      </c>
      <c r="H977" s="29">
        <v>1</v>
      </c>
      <c r="I977" s="29">
        <v>0</v>
      </c>
      <c r="J977" s="29">
        <v>0</v>
      </c>
      <c r="K977" s="29">
        <v>0</v>
      </c>
      <c r="L977" s="29">
        <v>0</v>
      </c>
      <c r="M977" s="29">
        <v>0</v>
      </c>
      <c r="N977" s="29">
        <v>0</v>
      </c>
      <c r="O977" s="29">
        <v>0</v>
      </c>
    </row>
    <row r="978" spans="1:15" x14ac:dyDescent="0.3">
      <c r="A978" s="28" t="s">
        <v>575</v>
      </c>
      <c r="B978" s="28" t="s">
        <v>576</v>
      </c>
      <c r="C978" s="28" t="s">
        <v>560</v>
      </c>
      <c r="D978" s="28" t="s">
        <v>577</v>
      </c>
      <c r="E978" s="28" t="s">
        <v>615</v>
      </c>
      <c r="F978" s="28" t="s">
        <v>598</v>
      </c>
      <c r="G978" s="29">
        <v>97</v>
      </c>
      <c r="H978" s="29">
        <v>0</v>
      </c>
      <c r="I978" s="29">
        <v>0</v>
      </c>
      <c r="J978" s="29">
        <v>0</v>
      </c>
      <c r="K978" s="29">
        <v>0</v>
      </c>
      <c r="L978" s="29">
        <v>0</v>
      </c>
      <c r="M978" s="29">
        <v>0</v>
      </c>
      <c r="N978" s="29">
        <v>0</v>
      </c>
      <c r="O978" s="29">
        <v>0</v>
      </c>
    </row>
    <row r="979" spans="1:15" x14ac:dyDescent="0.3">
      <c r="A979" s="28" t="s">
        <v>575</v>
      </c>
      <c r="B979" s="28" t="s">
        <v>576</v>
      </c>
      <c r="C979" s="28" t="s">
        <v>560</v>
      </c>
      <c r="D979" s="28" t="s">
        <v>577</v>
      </c>
      <c r="E979" s="28" t="s">
        <v>615</v>
      </c>
      <c r="F979" s="28" t="s">
        <v>599</v>
      </c>
      <c r="G979" s="29">
        <v>138</v>
      </c>
      <c r="H979" s="29">
        <v>1</v>
      </c>
      <c r="I979" s="29">
        <v>0</v>
      </c>
      <c r="J979" s="29">
        <v>0</v>
      </c>
      <c r="K979" s="29">
        <v>0</v>
      </c>
      <c r="L979" s="29">
        <v>0</v>
      </c>
      <c r="M979" s="29">
        <v>0</v>
      </c>
      <c r="N979" s="29">
        <v>0</v>
      </c>
      <c r="O979" s="29">
        <v>0</v>
      </c>
    </row>
    <row r="980" spans="1:15" x14ac:dyDescent="0.3">
      <c r="A980" s="28" t="s">
        <v>575</v>
      </c>
      <c r="B980" s="28" t="s">
        <v>576</v>
      </c>
      <c r="C980" s="28" t="s">
        <v>560</v>
      </c>
      <c r="D980" s="28" t="s">
        <v>577</v>
      </c>
      <c r="E980" s="28" t="s">
        <v>615</v>
      </c>
      <c r="F980" s="28" t="s">
        <v>600</v>
      </c>
      <c r="G980" s="29">
        <v>124</v>
      </c>
      <c r="H980" s="29">
        <v>0</v>
      </c>
      <c r="I980" s="29">
        <v>0</v>
      </c>
      <c r="J980" s="29">
        <v>0</v>
      </c>
      <c r="K980" s="29">
        <v>0</v>
      </c>
      <c r="L980" s="29">
        <v>0</v>
      </c>
      <c r="M980" s="29">
        <v>0</v>
      </c>
      <c r="N980" s="29">
        <v>0</v>
      </c>
      <c r="O980" s="29">
        <v>0</v>
      </c>
    </row>
    <row r="981" spans="1:15" x14ac:dyDescent="0.3">
      <c r="A981" s="28" t="s">
        <v>575</v>
      </c>
      <c r="B981" s="28" t="s">
        <v>576</v>
      </c>
      <c r="C981" s="28" t="s">
        <v>560</v>
      </c>
      <c r="D981" s="28" t="s">
        <v>577</v>
      </c>
      <c r="E981" s="28" t="s">
        <v>615</v>
      </c>
      <c r="F981" s="28" t="s">
        <v>601</v>
      </c>
      <c r="G981" s="29">
        <v>211</v>
      </c>
      <c r="H981" s="29">
        <v>0</v>
      </c>
      <c r="I981" s="29">
        <v>0</v>
      </c>
      <c r="J981" s="29">
        <v>0</v>
      </c>
      <c r="K981" s="29">
        <v>0</v>
      </c>
      <c r="L981" s="29">
        <v>0</v>
      </c>
      <c r="M981" s="29">
        <v>0</v>
      </c>
      <c r="N981" s="29">
        <v>0</v>
      </c>
      <c r="O981" s="29">
        <v>0</v>
      </c>
    </row>
    <row r="982" spans="1:15" x14ac:dyDescent="0.3">
      <c r="A982" s="28" t="s">
        <v>575</v>
      </c>
      <c r="B982" s="28" t="s">
        <v>576</v>
      </c>
      <c r="C982" s="28" t="s">
        <v>560</v>
      </c>
      <c r="D982" s="28" t="s">
        <v>577</v>
      </c>
      <c r="E982" s="28" t="s">
        <v>615</v>
      </c>
      <c r="F982" s="28" t="s">
        <v>602</v>
      </c>
      <c r="G982" s="29">
        <v>278</v>
      </c>
      <c r="H982" s="29">
        <v>4</v>
      </c>
      <c r="I982" s="29">
        <v>1</v>
      </c>
      <c r="J982" s="29">
        <v>1</v>
      </c>
      <c r="K982" s="29">
        <v>0</v>
      </c>
      <c r="L982" s="29">
        <v>0</v>
      </c>
      <c r="M982" s="29">
        <v>0</v>
      </c>
      <c r="N982" s="29">
        <v>0</v>
      </c>
      <c r="O982" s="29">
        <v>0</v>
      </c>
    </row>
    <row r="983" spans="1:15" x14ac:dyDescent="0.3">
      <c r="A983" s="28" t="s">
        <v>575</v>
      </c>
      <c r="B983" s="28" t="s">
        <v>576</v>
      </c>
      <c r="C983" s="28" t="s">
        <v>560</v>
      </c>
      <c r="D983" s="28" t="s">
        <v>577</v>
      </c>
      <c r="E983" s="28" t="s">
        <v>615</v>
      </c>
      <c r="F983" s="28" t="s">
        <v>603</v>
      </c>
      <c r="G983" s="29">
        <v>161</v>
      </c>
      <c r="H983" s="29">
        <v>1</v>
      </c>
      <c r="I983" s="29">
        <v>0</v>
      </c>
      <c r="J983" s="29">
        <v>0</v>
      </c>
      <c r="K983" s="29">
        <v>0</v>
      </c>
      <c r="L983" s="29">
        <v>0</v>
      </c>
      <c r="M983" s="29">
        <v>0</v>
      </c>
      <c r="N983" s="29">
        <v>0</v>
      </c>
      <c r="O983" s="29">
        <v>0</v>
      </c>
    </row>
    <row r="984" spans="1:15" x14ac:dyDescent="0.3">
      <c r="A984" s="28" t="s">
        <v>575</v>
      </c>
      <c r="B984" s="28" t="s">
        <v>576</v>
      </c>
      <c r="C984" s="28" t="s">
        <v>560</v>
      </c>
      <c r="D984" s="28" t="s">
        <v>577</v>
      </c>
      <c r="E984" s="28" t="s">
        <v>615</v>
      </c>
      <c r="F984" s="28" t="s">
        <v>604</v>
      </c>
      <c r="G984" s="29">
        <v>183</v>
      </c>
      <c r="H984" s="29">
        <v>1</v>
      </c>
      <c r="I984" s="29">
        <v>2</v>
      </c>
      <c r="J984" s="29">
        <v>2</v>
      </c>
      <c r="K984" s="29">
        <v>0</v>
      </c>
      <c r="L984" s="29">
        <v>0</v>
      </c>
      <c r="M984" s="29">
        <v>0</v>
      </c>
      <c r="N984" s="29">
        <v>0</v>
      </c>
      <c r="O984" s="29">
        <v>0</v>
      </c>
    </row>
    <row r="985" spans="1:15" x14ac:dyDescent="0.3">
      <c r="A985" s="28" t="s">
        <v>575</v>
      </c>
      <c r="B985" s="28" t="s">
        <v>576</v>
      </c>
      <c r="C985" s="28" t="s">
        <v>560</v>
      </c>
      <c r="D985" s="28" t="s">
        <v>577</v>
      </c>
      <c r="E985" s="28" t="s">
        <v>615</v>
      </c>
      <c r="F985" s="28" t="s">
        <v>581</v>
      </c>
      <c r="G985" s="29">
        <v>150</v>
      </c>
      <c r="H985" s="29">
        <v>0</v>
      </c>
      <c r="I985" s="29">
        <v>0</v>
      </c>
      <c r="J985" s="29">
        <v>0</v>
      </c>
      <c r="K985" s="29">
        <v>0</v>
      </c>
      <c r="L985" s="29">
        <v>0</v>
      </c>
      <c r="M985" s="29">
        <v>0</v>
      </c>
      <c r="N985" s="29">
        <v>0</v>
      </c>
      <c r="O985" s="29">
        <v>0</v>
      </c>
    </row>
    <row r="986" spans="1:15" x14ac:dyDescent="0.3">
      <c r="A986" s="28" t="s">
        <v>575</v>
      </c>
      <c r="B986" s="28" t="s">
        <v>576</v>
      </c>
      <c r="C986" s="28" t="s">
        <v>560</v>
      </c>
      <c r="D986" s="28" t="s">
        <v>577</v>
      </c>
      <c r="E986" s="28" t="s">
        <v>615</v>
      </c>
      <c r="F986" s="28" t="s">
        <v>582</v>
      </c>
      <c r="G986" s="29">
        <v>154</v>
      </c>
      <c r="H986" s="29">
        <v>0</v>
      </c>
      <c r="I986" s="29">
        <v>1</v>
      </c>
      <c r="J986" s="29">
        <v>0</v>
      </c>
      <c r="K986" s="29">
        <v>1</v>
      </c>
      <c r="L986" s="29">
        <v>0</v>
      </c>
      <c r="M986" s="29">
        <v>0</v>
      </c>
      <c r="N986" s="29">
        <v>0</v>
      </c>
      <c r="O986" s="29">
        <v>0</v>
      </c>
    </row>
    <row r="987" spans="1:15" x14ac:dyDescent="0.3">
      <c r="A987" s="28" t="s">
        <v>575</v>
      </c>
      <c r="B987" s="28" t="s">
        <v>576</v>
      </c>
      <c r="C987" s="28" t="s">
        <v>560</v>
      </c>
      <c r="D987" s="28" t="s">
        <v>577</v>
      </c>
      <c r="E987" s="28" t="s">
        <v>615</v>
      </c>
      <c r="F987" s="28" t="s">
        <v>583</v>
      </c>
      <c r="G987" s="29">
        <v>145</v>
      </c>
      <c r="H987" s="29">
        <v>0</v>
      </c>
      <c r="I987" s="29">
        <v>1</v>
      </c>
      <c r="J987" s="29">
        <v>0</v>
      </c>
      <c r="K987" s="29">
        <v>1</v>
      </c>
      <c r="L987" s="29">
        <v>0</v>
      </c>
      <c r="M987" s="29">
        <v>0</v>
      </c>
      <c r="N987" s="29">
        <v>0</v>
      </c>
      <c r="O987" s="29">
        <v>0</v>
      </c>
    </row>
    <row r="988" spans="1:15" x14ac:dyDescent="0.3">
      <c r="A988" s="28" t="s">
        <v>575</v>
      </c>
      <c r="B988" s="28" t="s">
        <v>576</v>
      </c>
      <c r="C988" s="28" t="s">
        <v>560</v>
      </c>
      <c r="D988" s="28" t="s">
        <v>577</v>
      </c>
      <c r="E988" s="28" t="s">
        <v>615</v>
      </c>
      <c r="F988" s="28" t="s">
        <v>584</v>
      </c>
      <c r="G988" s="29">
        <v>137</v>
      </c>
      <c r="H988" s="29">
        <v>1</v>
      </c>
      <c r="I988" s="29">
        <v>1</v>
      </c>
      <c r="J988" s="29">
        <v>1</v>
      </c>
      <c r="K988" s="29">
        <v>0</v>
      </c>
      <c r="L988" s="29">
        <v>0</v>
      </c>
      <c r="M988" s="29">
        <v>0</v>
      </c>
      <c r="N988" s="29">
        <v>0</v>
      </c>
      <c r="O988" s="29">
        <v>0</v>
      </c>
    </row>
    <row r="989" spans="1:15" x14ac:dyDescent="0.3">
      <c r="A989" s="28" t="s">
        <v>575</v>
      </c>
      <c r="B989" s="28" t="s">
        <v>576</v>
      </c>
      <c r="C989" s="28" t="s">
        <v>560</v>
      </c>
      <c r="D989" s="28" t="s">
        <v>577</v>
      </c>
      <c r="E989" s="28" t="s">
        <v>615</v>
      </c>
      <c r="F989" s="28" t="s">
        <v>585</v>
      </c>
      <c r="G989" s="29">
        <v>185</v>
      </c>
      <c r="H989" s="29">
        <v>0</v>
      </c>
      <c r="I989" s="29">
        <v>5</v>
      </c>
      <c r="J989" s="29">
        <v>2</v>
      </c>
      <c r="K989" s="29">
        <v>3</v>
      </c>
      <c r="L989" s="29">
        <v>0</v>
      </c>
      <c r="M989" s="29">
        <v>0</v>
      </c>
      <c r="N989" s="29">
        <v>0</v>
      </c>
      <c r="O989" s="29">
        <v>0</v>
      </c>
    </row>
    <row r="990" spans="1:15" x14ac:dyDescent="0.3">
      <c r="A990" s="28" t="s">
        <v>575</v>
      </c>
      <c r="B990" s="28" t="s">
        <v>576</v>
      </c>
      <c r="C990" s="28" t="s">
        <v>560</v>
      </c>
      <c r="D990" s="28" t="s">
        <v>577</v>
      </c>
      <c r="E990" s="28" t="s">
        <v>615</v>
      </c>
      <c r="F990" s="28" t="s">
        <v>586</v>
      </c>
      <c r="G990" s="29">
        <v>185</v>
      </c>
      <c r="H990" s="29">
        <v>2</v>
      </c>
      <c r="I990" s="29">
        <v>0</v>
      </c>
      <c r="J990" s="29">
        <v>0</v>
      </c>
      <c r="K990" s="29">
        <v>0</v>
      </c>
      <c r="L990" s="29">
        <v>0</v>
      </c>
      <c r="M990" s="29">
        <v>0</v>
      </c>
      <c r="N990" s="29">
        <v>0</v>
      </c>
      <c r="O990" s="29">
        <v>0</v>
      </c>
    </row>
    <row r="991" spans="1:15" x14ac:dyDescent="0.3">
      <c r="A991" s="28" t="s">
        <v>575</v>
      </c>
      <c r="B991" s="28" t="s">
        <v>576</v>
      </c>
      <c r="C991" s="28" t="s">
        <v>560</v>
      </c>
      <c r="D991" s="28" t="s">
        <v>577</v>
      </c>
      <c r="E991" s="28" t="s">
        <v>615</v>
      </c>
      <c r="F991" s="28" t="s">
        <v>587</v>
      </c>
      <c r="G991" s="29">
        <v>121</v>
      </c>
      <c r="H991" s="29">
        <v>0</v>
      </c>
      <c r="I991" s="29">
        <v>0</v>
      </c>
      <c r="J991" s="29">
        <v>0</v>
      </c>
      <c r="K991" s="29">
        <v>0</v>
      </c>
      <c r="L991" s="29">
        <v>0</v>
      </c>
      <c r="M991" s="29">
        <v>0</v>
      </c>
      <c r="N991" s="29">
        <v>0</v>
      </c>
      <c r="O991" s="29">
        <v>0</v>
      </c>
    </row>
    <row r="992" spans="1:15" x14ac:dyDescent="0.3">
      <c r="A992" s="28" t="s">
        <v>575</v>
      </c>
      <c r="B992" s="28" t="s">
        <v>576</v>
      </c>
      <c r="C992" s="28" t="s">
        <v>560</v>
      </c>
      <c r="D992" s="28" t="s">
        <v>577</v>
      </c>
      <c r="E992" s="28" t="s">
        <v>615</v>
      </c>
      <c r="F992" s="28" t="s">
        <v>579</v>
      </c>
      <c r="G992" s="29">
        <v>180</v>
      </c>
      <c r="H992" s="29">
        <v>2</v>
      </c>
      <c r="I992" s="29">
        <v>1</v>
      </c>
      <c r="J992" s="29">
        <v>0</v>
      </c>
      <c r="K992" s="29">
        <v>1</v>
      </c>
      <c r="L992" s="29">
        <v>0</v>
      </c>
      <c r="M992" s="29">
        <v>0</v>
      </c>
      <c r="N992" s="29">
        <v>0</v>
      </c>
      <c r="O992" s="29">
        <v>0</v>
      </c>
    </row>
    <row r="993" spans="1:15" x14ac:dyDescent="0.3">
      <c r="A993" s="28" t="s">
        <v>575</v>
      </c>
      <c r="B993" s="28" t="s">
        <v>576</v>
      </c>
      <c r="C993" s="28" t="s">
        <v>560</v>
      </c>
      <c r="D993" s="28" t="s">
        <v>577</v>
      </c>
      <c r="E993" s="28" t="s">
        <v>615</v>
      </c>
      <c r="F993" s="28" t="s">
        <v>588</v>
      </c>
      <c r="G993" s="29">
        <v>639</v>
      </c>
      <c r="H993" s="29">
        <v>3</v>
      </c>
      <c r="I993" s="29">
        <v>4</v>
      </c>
      <c r="J993" s="29">
        <v>3</v>
      </c>
      <c r="K993" s="29">
        <v>1</v>
      </c>
      <c r="L993" s="29">
        <v>0</v>
      </c>
      <c r="M993" s="29">
        <v>0</v>
      </c>
      <c r="N993" s="29">
        <v>0</v>
      </c>
      <c r="O993" s="29">
        <v>0</v>
      </c>
    </row>
    <row r="994" spans="1:15" x14ac:dyDescent="0.3">
      <c r="A994" s="28" t="s">
        <v>575</v>
      </c>
      <c r="B994" s="28" t="s">
        <v>576</v>
      </c>
      <c r="C994" s="28" t="s">
        <v>560</v>
      </c>
      <c r="D994" s="28" t="s">
        <v>577</v>
      </c>
      <c r="E994" s="28" t="s">
        <v>615</v>
      </c>
      <c r="F994" s="28" t="s">
        <v>589</v>
      </c>
      <c r="G994" s="29">
        <v>254</v>
      </c>
      <c r="H994" s="29">
        <v>0</v>
      </c>
      <c r="I994" s="29">
        <v>2</v>
      </c>
      <c r="J994" s="29">
        <v>0</v>
      </c>
      <c r="K994" s="29">
        <v>2</v>
      </c>
      <c r="L994" s="29">
        <v>0</v>
      </c>
      <c r="M994" s="29">
        <v>0</v>
      </c>
      <c r="N994" s="29">
        <v>0</v>
      </c>
      <c r="O994" s="29">
        <v>0</v>
      </c>
    </row>
    <row r="995" spans="1:15" x14ac:dyDescent="0.3">
      <c r="A995" s="28" t="s">
        <v>575</v>
      </c>
      <c r="B995" s="28" t="s">
        <v>576</v>
      </c>
      <c r="C995" s="28" t="s">
        <v>560</v>
      </c>
      <c r="D995" s="28" t="s">
        <v>577</v>
      </c>
      <c r="E995" s="28" t="s">
        <v>615</v>
      </c>
      <c r="F995" s="28" t="s">
        <v>590</v>
      </c>
      <c r="G995" s="29">
        <v>20</v>
      </c>
      <c r="H995" s="29">
        <v>0</v>
      </c>
      <c r="I995" s="29">
        <v>4</v>
      </c>
      <c r="J995" s="29">
        <v>2</v>
      </c>
      <c r="K995" s="29">
        <v>2</v>
      </c>
      <c r="L995" s="29">
        <v>0</v>
      </c>
      <c r="M995" s="29">
        <v>0</v>
      </c>
      <c r="N995" s="29">
        <v>0</v>
      </c>
      <c r="O995" s="29">
        <v>0</v>
      </c>
    </row>
    <row r="996" spans="1:15" x14ac:dyDescent="0.3">
      <c r="A996" s="28" t="s">
        <v>575</v>
      </c>
      <c r="B996" s="28" t="s">
        <v>576</v>
      </c>
      <c r="C996" s="28" t="s">
        <v>560</v>
      </c>
      <c r="D996" s="28" t="s">
        <v>577</v>
      </c>
      <c r="E996" s="28" t="s">
        <v>615</v>
      </c>
      <c r="F996" s="28" t="s">
        <v>591</v>
      </c>
      <c r="G996" s="29">
        <v>0</v>
      </c>
      <c r="H996" s="29">
        <v>0</v>
      </c>
      <c r="I996" s="29">
        <v>3</v>
      </c>
      <c r="J996" s="29">
        <v>0</v>
      </c>
      <c r="K996" s="29">
        <v>3</v>
      </c>
      <c r="L996" s="29">
        <v>0</v>
      </c>
      <c r="M996" s="29">
        <v>0</v>
      </c>
      <c r="N996" s="29">
        <v>0</v>
      </c>
      <c r="O996" s="29">
        <v>0</v>
      </c>
    </row>
    <row r="997" spans="1:15" x14ac:dyDescent="0.3">
      <c r="A997" s="28" t="s">
        <v>575</v>
      </c>
      <c r="B997" s="28" t="s">
        <v>576</v>
      </c>
      <c r="C997" s="28" t="s">
        <v>560</v>
      </c>
      <c r="D997" s="28" t="s">
        <v>577</v>
      </c>
      <c r="E997" s="28" t="s">
        <v>615</v>
      </c>
      <c r="F997" s="28" t="s">
        <v>592</v>
      </c>
      <c r="G997" s="29">
        <v>0</v>
      </c>
      <c r="H997" s="29">
        <v>0</v>
      </c>
      <c r="I997" s="29">
        <v>3</v>
      </c>
      <c r="J997" s="29">
        <v>1</v>
      </c>
      <c r="K997" s="29">
        <v>2</v>
      </c>
      <c r="L997" s="29">
        <v>500</v>
      </c>
      <c r="M997" s="29">
        <v>0</v>
      </c>
      <c r="N997" s="29">
        <v>500</v>
      </c>
      <c r="O997" s="29">
        <v>0</v>
      </c>
    </row>
    <row r="998" spans="1:15" x14ac:dyDescent="0.3">
      <c r="A998" s="28" t="s">
        <v>575</v>
      </c>
      <c r="B998" s="28" t="s">
        <v>576</v>
      </c>
      <c r="C998" s="28" t="s">
        <v>560</v>
      </c>
      <c r="D998" s="28" t="s">
        <v>577</v>
      </c>
      <c r="E998" s="28" t="s">
        <v>615</v>
      </c>
      <c r="F998" s="28" t="s">
        <v>593</v>
      </c>
      <c r="G998" s="29">
        <v>0</v>
      </c>
      <c r="H998" s="29">
        <v>0</v>
      </c>
      <c r="I998" s="29">
        <v>2</v>
      </c>
      <c r="J998" s="29">
        <v>1</v>
      </c>
      <c r="K998" s="29">
        <v>1</v>
      </c>
      <c r="L998" s="29">
        <v>0</v>
      </c>
      <c r="M998" s="29">
        <v>0</v>
      </c>
      <c r="N998" s="29">
        <v>0</v>
      </c>
      <c r="O998" s="29">
        <v>0</v>
      </c>
    </row>
    <row r="999" spans="1:15" x14ac:dyDescent="0.3">
      <c r="A999" s="28" t="s">
        <v>575</v>
      </c>
      <c r="B999" s="28" t="s">
        <v>576</v>
      </c>
      <c r="C999" s="28" t="s">
        <v>560</v>
      </c>
      <c r="D999" s="28" t="s">
        <v>577</v>
      </c>
      <c r="E999" s="28" t="s">
        <v>615</v>
      </c>
      <c r="F999" s="28" t="s">
        <v>594</v>
      </c>
      <c r="G999" s="29">
        <v>109</v>
      </c>
      <c r="H999" s="29">
        <v>0</v>
      </c>
      <c r="I999" s="29">
        <v>1</v>
      </c>
      <c r="J999" s="29">
        <v>0</v>
      </c>
      <c r="K999" s="29">
        <v>1</v>
      </c>
      <c r="L999" s="29">
        <v>0</v>
      </c>
      <c r="M999" s="29">
        <v>0</v>
      </c>
      <c r="N999" s="29">
        <v>0</v>
      </c>
      <c r="O999" s="29">
        <v>0</v>
      </c>
    </row>
    <row r="1000" spans="1:15" x14ac:dyDescent="0.3">
      <c r="A1000" s="28" t="s">
        <v>575</v>
      </c>
      <c r="B1000" s="28" t="s">
        <v>576</v>
      </c>
      <c r="C1000" s="28" t="s">
        <v>560</v>
      </c>
      <c r="D1000" s="28" t="s">
        <v>577</v>
      </c>
      <c r="E1000" s="28" t="s">
        <v>615</v>
      </c>
      <c r="F1000" s="28" t="s">
        <v>595</v>
      </c>
      <c r="G1000" s="29">
        <v>284</v>
      </c>
      <c r="H1000" s="29">
        <v>0</v>
      </c>
      <c r="I1000" s="29">
        <v>1</v>
      </c>
      <c r="J1000" s="29">
        <v>0</v>
      </c>
      <c r="K1000" s="29">
        <v>1</v>
      </c>
      <c r="L1000" s="29">
        <v>0</v>
      </c>
      <c r="M1000" s="29">
        <v>0</v>
      </c>
      <c r="N1000" s="29">
        <v>0</v>
      </c>
      <c r="O1000" s="29">
        <v>0</v>
      </c>
    </row>
    <row r="1001" spans="1:15" x14ac:dyDescent="0.3">
      <c r="A1001" s="28" t="s">
        <v>575</v>
      </c>
      <c r="B1001" s="28" t="s">
        <v>576</v>
      </c>
      <c r="C1001" s="28" t="s">
        <v>560</v>
      </c>
      <c r="D1001" s="28" t="s">
        <v>577</v>
      </c>
      <c r="E1001" s="28" t="s">
        <v>616</v>
      </c>
      <c r="F1001" s="28" t="s">
        <v>597</v>
      </c>
      <c r="G1001" s="29">
        <v>156</v>
      </c>
      <c r="H1001" s="29">
        <v>2</v>
      </c>
      <c r="I1001" s="29">
        <v>1</v>
      </c>
      <c r="J1001" s="29">
        <v>0</v>
      </c>
      <c r="K1001" s="29">
        <v>1</v>
      </c>
      <c r="L1001" s="29">
        <v>0</v>
      </c>
      <c r="M1001" s="29">
        <v>0</v>
      </c>
      <c r="N1001" s="29">
        <v>0</v>
      </c>
      <c r="O1001" s="29">
        <v>0</v>
      </c>
    </row>
    <row r="1002" spans="1:15" x14ac:dyDescent="0.3">
      <c r="A1002" s="28" t="s">
        <v>575</v>
      </c>
      <c r="B1002" s="28" t="s">
        <v>576</v>
      </c>
      <c r="C1002" s="28" t="s">
        <v>560</v>
      </c>
      <c r="D1002" s="28" t="s">
        <v>577</v>
      </c>
      <c r="E1002" s="28" t="s">
        <v>616</v>
      </c>
      <c r="F1002" s="28" t="s">
        <v>598</v>
      </c>
      <c r="G1002" s="29">
        <v>137</v>
      </c>
      <c r="H1002" s="29">
        <v>1</v>
      </c>
      <c r="I1002" s="29">
        <v>5</v>
      </c>
      <c r="J1002" s="29">
        <v>2</v>
      </c>
      <c r="K1002" s="29">
        <v>3</v>
      </c>
      <c r="L1002" s="29">
        <v>500</v>
      </c>
      <c r="M1002" s="29">
        <v>0</v>
      </c>
      <c r="N1002" s="29">
        <v>500</v>
      </c>
      <c r="O1002" s="29">
        <v>0</v>
      </c>
    </row>
    <row r="1003" spans="1:15" x14ac:dyDescent="0.3">
      <c r="A1003" s="28" t="s">
        <v>575</v>
      </c>
      <c r="B1003" s="28" t="s">
        <v>576</v>
      </c>
      <c r="C1003" s="28" t="s">
        <v>560</v>
      </c>
      <c r="D1003" s="28" t="s">
        <v>577</v>
      </c>
      <c r="E1003" s="28" t="s">
        <v>616</v>
      </c>
      <c r="F1003" s="28" t="s">
        <v>599</v>
      </c>
      <c r="G1003" s="29">
        <v>96</v>
      </c>
      <c r="H1003" s="29">
        <v>0</v>
      </c>
      <c r="I1003" s="29">
        <v>0</v>
      </c>
      <c r="J1003" s="29">
        <v>0</v>
      </c>
      <c r="K1003" s="29">
        <v>0</v>
      </c>
      <c r="L1003" s="29">
        <v>0</v>
      </c>
      <c r="M1003" s="29">
        <v>0</v>
      </c>
      <c r="N1003" s="29">
        <v>0</v>
      </c>
      <c r="O1003" s="29">
        <v>0</v>
      </c>
    </row>
    <row r="1004" spans="1:15" x14ac:dyDescent="0.3">
      <c r="A1004" s="28" t="s">
        <v>575</v>
      </c>
      <c r="B1004" s="28" t="s">
        <v>576</v>
      </c>
      <c r="C1004" s="28" t="s">
        <v>560</v>
      </c>
      <c r="D1004" s="28" t="s">
        <v>577</v>
      </c>
      <c r="E1004" s="28" t="s">
        <v>616</v>
      </c>
      <c r="F1004" s="28" t="s">
        <v>600</v>
      </c>
      <c r="G1004" s="29">
        <v>99</v>
      </c>
      <c r="H1004" s="29">
        <v>0</v>
      </c>
      <c r="I1004" s="29">
        <v>0</v>
      </c>
      <c r="J1004" s="29">
        <v>0</v>
      </c>
      <c r="K1004" s="29">
        <v>0</v>
      </c>
      <c r="L1004" s="29">
        <v>0</v>
      </c>
      <c r="M1004" s="29">
        <v>0</v>
      </c>
      <c r="N1004" s="29">
        <v>0</v>
      </c>
      <c r="O1004" s="29">
        <v>0</v>
      </c>
    </row>
    <row r="1005" spans="1:15" x14ac:dyDescent="0.3">
      <c r="A1005" s="28" t="s">
        <v>575</v>
      </c>
      <c r="B1005" s="28" t="s">
        <v>576</v>
      </c>
      <c r="C1005" s="28" t="s">
        <v>560</v>
      </c>
      <c r="D1005" s="28" t="s">
        <v>577</v>
      </c>
      <c r="E1005" s="28" t="s">
        <v>616</v>
      </c>
      <c r="F1005" s="28" t="s">
        <v>601</v>
      </c>
      <c r="G1005" s="29">
        <v>231</v>
      </c>
      <c r="H1005" s="29">
        <v>1</v>
      </c>
      <c r="I1005" s="29">
        <v>0</v>
      </c>
      <c r="J1005" s="29">
        <v>0</v>
      </c>
      <c r="K1005" s="29">
        <v>0</v>
      </c>
      <c r="L1005" s="29">
        <v>0</v>
      </c>
      <c r="M1005" s="29">
        <v>0</v>
      </c>
      <c r="N1005" s="29">
        <v>0</v>
      </c>
      <c r="O1005" s="29">
        <v>0</v>
      </c>
    </row>
    <row r="1006" spans="1:15" x14ac:dyDescent="0.3">
      <c r="A1006" s="28" t="s">
        <v>575</v>
      </c>
      <c r="B1006" s="28" t="s">
        <v>576</v>
      </c>
      <c r="C1006" s="28" t="s">
        <v>560</v>
      </c>
      <c r="D1006" s="28" t="s">
        <v>577</v>
      </c>
      <c r="E1006" s="28" t="s">
        <v>616</v>
      </c>
      <c r="F1006" s="28" t="s">
        <v>602</v>
      </c>
      <c r="G1006" s="29">
        <v>289</v>
      </c>
      <c r="H1006" s="29">
        <v>1</v>
      </c>
      <c r="I1006" s="29">
        <v>0</v>
      </c>
      <c r="J1006" s="29">
        <v>0</v>
      </c>
      <c r="K1006" s="29">
        <v>0</v>
      </c>
      <c r="L1006" s="29">
        <v>0</v>
      </c>
      <c r="M1006" s="29">
        <v>0</v>
      </c>
      <c r="N1006" s="29">
        <v>0</v>
      </c>
      <c r="O1006" s="29">
        <v>0</v>
      </c>
    </row>
    <row r="1007" spans="1:15" x14ac:dyDescent="0.3">
      <c r="A1007" s="28" t="s">
        <v>575</v>
      </c>
      <c r="B1007" s="28" t="s">
        <v>576</v>
      </c>
      <c r="C1007" s="28" t="s">
        <v>560</v>
      </c>
      <c r="D1007" s="28" t="s">
        <v>577</v>
      </c>
      <c r="E1007" s="28" t="s">
        <v>616</v>
      </c>
      <c r="F1007" s="28" t="s">
        <v>603</v>
      </c>
      <c r="G1007" s="29">
        <v>179</v>
      </c>
      <c r="H1007" s="29">
        <v>0</v>
      </c>
      <c r="I1007" s="29">
        <v>0</v>
      </c>
      <c r="J1007" s="29">
        <v>0</v>
      </c>
      <c r="K1007" s="29">
        <v>0</v>
      </c>
      <c r="L1007" s="29">
        <v>0</v>
      </c>
      <c r="M1007" s="29">
        <v>0</v>
      </c>
      <c r="N1007" s="29">
        <v>0</v>
      </c>
      <c r="O1007" s="29">
        <v>0</v>
      </c>
    </row>
    <row r="1008" spans="1:15" x14ac:dyDescent="0.3">
      <c r="A1008" s="28" t="s">
        <v>575</v>
      </c>
      <c r="B1008" s="28" t="s">
        <v>576</v>
      </c>
      <c r="C1008" s="28" t="s">
        <v>560</v>
      </c>
      <c r="D1008" s="28" t="s">
        <v>577</v>
      </c>
      <c r="E1008" s="28" t="s">
        <v>616</v>
      </c>
      <c r="F1008" s="28" t="s">
        <v>604</v>
      </c>
      <c r="G1008" s="29">
        <v>131</v>
      </c>
      <c r="H1008" s="29">
        <v>0</v>
      </c>
      <c r="I1008" s="29">
        <v>1</v>
      </c>
      <c r="J1008" s="29">
        <v>0</v>
      </c>
      <c r="K1008" s="29">
        <v>1</v>
      </c>
      <c r="L1008" s="29">
        <v>0</v>
      </c>
      <c r="M1008" s="29">
        <v>0</v>
      </c>
      <c r="N1008" s="29">
        <v>0</v>
      </c>
      <c r="O1008" s="29">
        <v>0</v>
      </c>
    </row>
    <row r="1009" spans="1:15" x14ac:dyDescent="0.3">
      <c r="A1009" s="28" t="s">
        <v>575</v>
      </c>
      <c r="B1009" s="28" t="s">
        <v>576</v>
      </c>
      <c r="C1009" s="28" t="s">
        <v>560</v>
      </c>
      <c r="D1009" s="28" t="s">
        <v>577</v>
      </c>
      <c r="E1009" s="28" t="s">
        <v>616</v>
      </c>
      <c r="F1009" s="28" t="s">
        <v>581</v>
      </c>
      <c r="G1009" s="29">
        <v>194</v>
      </c>
      <c r="H1009" s="29">
        <v>0</v>
      </c>
      <c r="I1009" s="29">
        <v>3</v>
      </c>
      <c r="J1009" s="29">
        <v>2</v>
      </c>
      <c r="K1009" s="29">
        <v>1</v>
      </c>
      <c r="L1009" s="29">
        <v>0</v>
      </c>
      <c r="M1009" s="29">
        <v>0</v>
      </c>
      <c r="N1009" s="29">
        <v>0</v>
      </c>
      <c r="O1009" s="29">
        <v>0</v>
      </c>
    </row>
    <row r="1010" spans="1:15" x14ac:dyDescent="0.3">
      <c r="A1010" s="28" t="s">
        <v>575</v>
      </c>
      <c r="B1010" s="28" t="s">
        <v>576</v>
      </c>
      <c r="C1010" s="28" t="s">
        <v>560</v>
      </c>
      <c r="D1010" s="28" t="s">
        <v>577</v>
      </c>
      <c r="E1010" s="28" t="s">
        <v>616</v>
      </c>
      <c r="F1010" s="28" t="s">
        <v>582</v>
      </c>
      <c r="G1010" s="29">
        <v>164</v>
      </c>
      <c r="H1010" s="29">
        <v>1</v>
      </c>
      <c r="I1010" s="29">
        <v>2</v>
      </c>
      <c r="J1010" s="29">
        <v>1</v>
      </c>
      <c r="K1010" s="29">
        <v>1</v>
      </c>
      <c r="L1010" s="29">
        <v>0</v>
      </c>
      <c r="M1010" s="29">
        <v>0</v>
      </c>
      <c r="N1010" s="29">
        <v>0</v>
      </c>
      <c r="O1010" s="29">
        <v>0</v>
      </c>
    </row>
    <row r="1011" spans="1:15" x14ac:dyDescent="0.3">
      <c r="A1011" s="28" t="s">
        <v>575</v>
      </c>
      <c r="B1011" s="28" t="s">
        <v>576</v>
      </c>
      <c r="C1011" s="28" t="s">
        <v>560</v>
      </c>
      <c r="D1011" s="28" t="s">
        <v>577</v>
      </c>
      <c r="E1011" s="28" t="s">
        <v>616</v>
      </c>
      <c r="F1011" s="28" t="s">
        <v>583</v>
      </c>
      <c r="G1011" s="29">
        <v>133</v>
      </c>
      <c r="H1011" s="29">
        <v>0</v>
      </c>
      <c r="I1011" s="29">
        <v>4</v>
      </c>
      <c r="J1011" s="29">
        <v>0</v>
      </c>
      <c r="K1011" s="29">
        <v>4</v>
      </c>
      <c r="L1011" s="29">
        <v>700</v>
      </c>
      <c r="M1011" s="29">
        <v>0</v>
      </c>
      <c r="N1011" s="29">
        <v>700</v>
      </c>
      <c r="O1011" s="29">
        <v>0</v>
      </c>
    </row>
    <row r="1012" spans="1:15" x14ac:dyDescent="0.3">
      <c r="A1012" s="28" t="s">
        <v>575</v>
      </c>
      <c r="B1012" s="28" t="s">
        <v>576</v>
      </c>
      <c r="C1012" s="28" t="s">
        <v>560</v>
      </c>
      <c r="D1012" s="28" t="s">
        <v>577</v>
      </c>
      <c r="E1012" s="28" t="s">
        <v>616</v>
      </c>
      <c r="F1012" s="28" t="s">
        <v>584</v>
      </c>
      <c r="G1012" s="29">
        <v>161</v>
      </c>
      <c r="H1012" s="29">
        <v>1</v>
      </c>
      <c r="I1012" s="29">
        <v>4</v>
      </c>
      <c r="J1012" s="29">
        <v>0</v>
      </c>
      <c r="K1012" s="29">
        <v>4</v>
      </c>
      <c r="L1012" s="29">
        <v>0</v>
      </c>
      <c r="M1012" s="29">
        <v>0</v>
      </c>
      <c r="N1012" s="29">
        <v>0</v>
      </c>
      <c r="O1012" s="29">
        <v>0</v>
      </c>
    </row>
    <row r="1013" spans="1:15" x14ac:dyDescent="0.3">
      <c r="A1013" s="28" t="s">
        <v>575</v>
      </c>
      <c r="B1013" s="28" t="s">
        <v>576</v>
      </c>
      <c r="C1013" s="28" t="s">
        <v>560</v>
      </c>
      <c r="D1013" s="28" t="s">
        <v>577</v>
      </c>
      <c r="E1013" s="28" t="s">
        <v>616</v>
      </c>
      <c r="F1013" s="28" t="s">
        <v>585</v>
      </c>
      <c r="G1013" s="29">
        <v>185</v>
      </c>
      <c r="H1013" s="29">
        <v>2</v>
      </c>
      <c r="I1013" s="29">
        <v>3</v>
      </c>
      <c r="J1013" s="29">
        <v>0</v>
      </c>
      <c r="K1013" s="29">
        <v>3</v>
      </c>
      <c r="L1013" s="29">
        <v>500</v>
      </c>
      <c r="M1013" s="29">
        <v>0</v>
      </c>
      <c r="N1013" s="29">
        <v>500</v>
      </c>
      <c r="O1013" s="29">
        <v>0</v>
      </c>
    </row>
    <row r="1014" spans="1:15" x14ac:dyDescent="0.3">
      <c r="A1014" s="28" t="s">
        <v>575</v>
      </c>
      <c r="B1014" s="28" t="s">
        <v>576</v>
      </c>
      <c r="C1014" s="28" t="s">
        <v>560</v>
      </c>
      <c r="D1014" s="28" t="s">
        <v>577</v>
      </c>
      <c r="E1014" s="28" t="s">
        <v>616</v>
      </c>
      <c r="F1014" s="28" t="s">
        <v>586</v>
      </c>
      <c r="G1014" s="29">
        <v>145</v>
      </c>
      <c r="H1014" s="29">
        <v>0</v>
      </c>
      <c r="I1014" s="29">
        <v>0</v>
      </c>
      <c r="J1014" s="29">
        <v>0</v>
      </c>
      <c r="K1014" s="29">
        <v>0</v>
      </c>
      <c r="L1014" s="29">
        <v>0</v>
      </c>
      <c r="M1014" s="29">
        <v>0</v>
      </c>
      <c r="N1014" s="29">
        <v>0</v>
      </c>
      <c r="O1014" s="29">
        <v>0</v>
      </c>
    </row>
    <row r="1015" spans="1:15" x14ac:dyDescent="0.3">
      <c r="A1015" s="28" t="s">
        <v>575</v>
      </c>
      <c r="B1015" s="28" t="s">
        <v>576</v>
      </c>
      <c r="C1015" s="28" t="s">
        <v>560</v>
      </c>
      <c r="D1015" s="28" t="s">
        <v>577</v>
      </c>
      <c r="E1015" s="28" t="s">
        <v>616</v>
      </c>
      <c r="F1015" s="28" t="s">
        <v>587</v>
      </c>
      <c r="G1015" s="29">
        <v>161</v>
      </c>
      <c r="H1015" s="29">
        <v>3</v>
      </c>
      <c r="I1015" s="29">
        <v>5</v>
      </c>
      <c r="J1015" s="29">
        <v>4</v>
      </c>
      <c r="K1015" s="29">
        <v>1</v>
      </c>
      <c r="L1015" s="29">
        <v>500</v>
      </c>
      <c r="M1015" s="29">
        <v>500</v>
      </c>
      <c r="N1015" s="29">
        <v>0</v>
      </c>
      <c r="O1015" s="29">
        <v>0</v>
      </c>
    </row>
    <row r="1016" spans="1:15" x14ac:dyDescent="0.3">
      <c r="A1016" s="28" t="s">
        <v>575</v>
      </c>
      <c r="B1016" s="28" t="s">
        <v>576</v>
      </c>
      <c r="C1016" s="28" t="s">
        <v>560</v>
      </c>
      <c r="D1016" s="28" t="s">
        <v>577</v>
      </c>
      <c r="E1016" s="28" t="s">
        <v>616</v>
      </c>
      <c r="F1016" s="28" t="s">
        <v>579</v>
      </c>
      <c r="G1016" s="29">
        <v>162</v>
      </c>
      <c r="H1016" s="29">
        <v>1</v>
      </c>
      <c r="I1016" s="29">
        <v>11</v>
      </c>
      <c r="J1016" s="29">
        <v>0</v>
      </c>
      <c r="K1016" s="29">
        <v>11</v>
      </c>
      <c r="L1016" s="29">
        <v>600</v>
      </c>
      <c r="M1016" s="29">
        <v>0</v>
      </c>
      <c r="N1016" s="29">
        <v>600</v>
      </c>
      <c r="O1016" s="29">
        <v>0</v>
      </c>
    </row>
    <row r="1017" spans="1:15" x14ac:dyDescent="0.3">
      <c r="A1017" s="28" t="s">
        <v>575</v>
      </c>
      <c r="B1017" s="28" t="s">
        <v>576</v>
      </c>
      <c r="C1017" s="28" t="s">
        <v>560</v>
      </c>
      <c r="D1017" s="28" t="s">
        <v>577</v>
      </c>
      <c r="E1017" s="28" t="s">
        <v>616</v>
      </c>
      <c r="F1017" s="28" t="s">
        <v>588</v>
      </c>
      <c r="G1017" s="29">
        <v>598</v>
      </c>
      <c r="H1017" s="29">
        <v>3</v>
      </c>
      <c r="I1017" s="29">
        <v>1</v>
      </c>
      <c r="J1017" s="29">
        <v>1</v>
      </c>
      <c r="K1017" s="29">
        <v>0</v>
      </c>
      <c r="L1017" s="29">
        <v>0</v>
      </c>
      <c r="M1017" s="29">
        <v>0</v>
      </c>
      <c r="N1017" s="29">
        <v>0</v>
      </c>
      <c r="O1017" s="29">
        <v>0</v>
      </c>
    </row>
    <row r="1018" spans="1:15" x14ac:dyDescent="0.3">
      <c r="A1018" s="28" t="s">
        <v>575</v>
      </c>
      <c r="B1018" s="28" t="s">
        <v>576</v>
      </c>
      <c r="C1018" s="28" t="s">
        <v>560</v>
      </c>
      <c r="D1018" s="28" t="s">
        <v>577</v>
      </c>
      <c r="E1018" s="28" t="s">
        <v>616</v>
      </c>
      <c r="F1018" s="28" t="s">
        <v>589</v>
      </c>
      <c r="G1018" s="29">
        <v>302</v>
      </c>
      <c r="H1018" s="29">
        <v>0</v>
      </c>
      <c r="I1018" s="29">
        <v>3</v>
      </c>
      <c r="J1018" s="29">
        <v>0</v>
      </c>
      <c r="K1018" s="29">
        <v>3</v>
      </c>
      <c r="L1018" s="29">
        <v>0</v>
      </c>
      <c r="M1018" s="29">
        <v>0</v>
      </c>
      <c r="N1018" s="29">
        <v>0</v>
      </c>
      <c r="O1018" s="29">
        <v>0</v>
      </c>
    </row>
    <row r="1019" spans="1:15" x14ac:dyDescent="0.3">
      <c r="A1019" s="28" t="s">
        <v>575</v>
      </c>
      <c r="B1019" s="28" t="s">
        <v>576</v>
      </c>
      <c r="C1019" s="28" t="s">
        <v>560</v>
      </c>
      <c r="D1019" s="28" t="s">
        <v>577</v>
      </c>
      <c r="E1019" s="28" t="s">
        <v>616</v>
      </c>
      <c r="F1019" s="28" t="s">
        <v>590</v>
      </c>
      <c r="G1019" s="29">
        <v>14</v>
      </c>
      <c r="H1019" s="29">
        <v>0</v>
      </c>
      <c r="I1019" s="29">
        <v>0</v>
      </c>
      <c r="J1019" s="29">
        <v>0</v>
      </c>
      <c r="K1019" s="29">
        <v>0</v>
      </c>
      <c r="L1019" s="29">
        <v>0</v>
      </c>
      <c r="M1019" s="29">
        <v>0</v>
      </c>
      <c r="N1019" s="29">
        <v>0</v>
      </c>
      <c r="O1019" s="29">
        <v>0</v>
      </c>
    </row>
    <row r="1020" spans="1:15" x14ac:dyDescent="0.3">
      <c r="A1020" s="28" t="s">
        <v>575</v>
      </c>
      <c r="B1020" s="28" t="s">
        <v>576</v>
      </c>
      <c r="C1020" s="28" t="s">
        <v>560</v>
      </c>
      <c r="D1020" s="28" t="s">
        <v>577</v>
      </c>
      <c r="E1020" s="28" t="s">
        <v>616</v>
      </c>
      <c r="F1020" s="28" t="s">
        <v>591</v>
      </c>
      <c r="G1020" s="29">
        <v>0</v>
      </c>
      <c r="H1020" s="29">
        <v>0</v>
      </c>
      <c r="I1020" s="29">
        <v>1</v>
      </c>
      <c r="J1020" s="29">
        <v>1</v>
      </c>
      <c r="K1020" s="29">
        <v>0</v>
      </c>
      <c r="L1020" s="29">
        <v>0</v>
      </c>
      <c r="M1020" s="29">
        <v>0</v>
      </c>
      <c r="N1020" s="29">
        <v>0</v>
      </c>
      <c r="O1020" s="29">
        <v>0</v>
      </c>
    </row>
    <row r="1021" spans="1:15" x14ac:dyDescent="0.3">
      <c r="A1021" s="28" t="s">
        <v>575</v>
      </c>
      <c r="B1021" s="28" t="s">
        <v>576</v>
      </c>
      <c r="C1021" s="28" t="s">
        <v>560</v>
      </c>
      <c r="D1021" s="28" t="s">
        <v>577</v>
      </c>
      <c r="E1021" s="28" t="s">
        <v>616</v>
      </c>
      <c r="F1021" s="28" t="s">
        <v>592</v>
      </c>
      <c r="G1021" s="29">
        <v>0</v>
      </c>
      <c r="H1021" s="29">
        <v>0</v>
      </c>
      <c r="I1021" s="29">
        <v>4</v>
      </c>
      <c r="J1021" s="29">
        <v>1</v>
      </c>
      <c r="K1021" s="29">
        <v>3</v>
      </c>
      <c r="L1021" s="29">
        <v>0</v>
      </c>
      <c r="M1021" s="29">
        <v>0</v>
      </c>
      <c r="N1021" s="29">
        <v>0</v>
      </c>
      <c r="O1021" s="29">
        <v>0</v>
      </c>
    </row>
    <row r="1022" spans="1:15" x14ac:dyDescent="0.3">
      <c r="A1022" s="28" t="s">
        <v>575</v>
      </c>
      <c r="B1022" s="28" t="s">
        <v>576</v>
      </c>
      <c r="C1022" s="28" t="s">
        <v>560</v>
      </c>
      <c r="D1022" s="28" t="s">
        <v>577</v>
      </c>
      <c r="E1022" s="28" t="s">
        <v>616</v>
      </c>
      <c r="F1022" s="28" t="s">
        <v>593</v>
      </c>
      <c r="G1022" s="29">
        <v>0</v>
      </c>
      <c r="H1022" s="29">
        <v>1</v>
      </c>
      <c r="I1022" s="29">
        <v>0</v>
      </c>
      <c r="J1022" s="29">
        <v>0</v>
      </c>
      <c r="K1022" s="29">
        <v>0</v>
      </c>
      <c r="L1022" s="29">
        <v>0</v>
      </c>
      <c r="M1022" s="29">
        <v>0</v>
      </c>
      <c r="N1022" s="29">
        <v>0</v>
      </c>
      <c r="O1022" s="29">
        <v>0</v>
      </c>
    </row>
    <row r="1023" spans="1:15" x14ac:dyDescent="0.3">
      <c r="A1023" s="28" t="s">
        <v>575</v>
      </c>
      <c r="B1023" s="28" t="s">
        <v>576</v>
      </c>
      <c r="C1023" s="28" t="s">
        <v>560</v>
      </c>
      <c r="D1023" s="28" t="s">
        <v>577</v>
      </c>
      <c r="E1023" s="28" t="s">
        <v>616</v>
      </c>
      <c r="F1023" s="28" t="s">
        <v>594</v>
      </c>
      <c r="G1023" s="29">
        <v>209</v>
      </c>
      <c r="H1023" s="29">
        <v>2</v>
      </c>
      <c r="I1023" s="29">
        <v>0</v>
      </c>
      <c r="J1023" s="29">
        <v>0</v>
      </c>
      <c r="K1023" s="29">
        <v>0</v>
      </c>
      <c r="L1023" s="29">
        <v>0</v>
      </c>
      <c r="M1023" s="29">
        <v>0</v>
      </c>
      <c r="N1023" s="29">
        <v>0</v>
      </c>
      <c r="O1023" s="29">
        <v>0</v>
      </c>
    </row>
    <row r="1024" spans="1:15" x14ac:dyDescent="0.3">
      <c r="A1024" s="28" t="s">
        <v>575</v>
      </c>
      <c r="B1024" s="28" t="s">
        <v>576</v>
      </c>
      <c r="C1024" s="28" t="s">
        <v>560</v>
      </c>
      <c r="D1024" s="28" t="s">
        <v>577</v>
      </c>
      <c r="E1024" s="28" t="s">
        <v>616</v>
      </c>
      <c r="F1024" s="28" t="s">
        <v>595</v>
      </c>
      <c r="G1024" s="29">
        <v>131</v>
      </c>
      <c r="H1024" s="29">
        <v>0</v>
      </c>
      <c r="I1024" s="29">
        <v>1</v>
      </c>
      <c r="J1024" s="29">
        <v>0</v>
      </c>
      <c r="K1024" s="29">
        <v>1</v>
      </c>
      <c r="L1024" s="29">
        <v>0</v>
      </c>
      <c r="M1024" s="29">
        <v>0</v>
      </c>
      <c r="N1024" s="29">
        <v>0</v>
      </c>
      <c r="O1024" s="29">
        <v>0</v>
      </c>
    </row>
    <row r="1025" spans="1:15" x14ac:dyDescent="0.3">
      <c r="A1025" s="28" t="s">
        <v>575</v>
      </c>
      <c r="B1025" s="28" t="s">
        <v>576</v>
      </c>
      <c r="C1025" s="28" t="s">
        <v>560</v>
      </c>
      <c r="D1025" s="28" t="s">
        <v>577</v>
      </c>
      <c r="E1025" s="28" t="s">
        <v>617</v>
      </c>
      <c r="F1025" s="28" t="s">
        <v>597</v>
      </c>
      <c r="G1025" s="29">
        <v>217</v>
      </c>
      <c r="H1025" s="29">
        <v>0</v>
      </c>
      <c r="I1025" s="29">
        <v>2</v>
      </c>
      <c r="J1025" s="29">
        <v>0</v>
      </c>
      <c r="K1025" s="29">
        <v>2</v>
      </c>
      <c r="L1025" s="29">
        <v>0</v>
      </c>
      <c r="M1025" s="29">
        <v>0</v>
      </c>
      <c r="N1025" s="29">
        <v>0</v>
      </c>
      <c r="O1025" s="29">
        <v>0</v>
      </c>
    </row>
    <row r="1026" spans="1:15" x14ac:dyDescent="0.3">
      <c r="A1026" s="28" t="s">
        <v>575</v>
      </c>
      <c r="B1026" s="28" t="s">
        <v>576</v>
      </c>
      <c r="C1026" s="28" t="s">
        <v>560</v>
      </c>
      <c r="D1026" s="28" t="s">
        <v>577</v>
      </c>
      <c r="E1026" s="28" t="s">
        <v>617</v>
      </c>
      <c r="F1026" s="28" t="s">
        <v>598</v>
      </c>
      <c r="G1026" s="29">
        <v>119</v>
      </c>
      <c r="H1026" s="29">
        <v>0</v>
      </c>
      <c r="I1026" s="29">
        <v>0</v>
      </c>
      <c r="J1026" s="29">
        <v>0</v>
      </c>
      <c r="K1026" s="29">
        <v>0</v>
      </c>
      <c r="L1026" s="29">
        <v>0</v>
      </c>
      <c r="M1026" s="29">
        <v>0</v>
      </c>
      <c r="N1026" s="29">
        <v>0</v>
      </c>
      <c r="O1026" s="29">
        <v>0</v>
      </c>
    </row>
    <row r="1027" spans="1:15" x14ac:dyDescent="0.3">
      <c r="A1027" s="28" t="s">
        <v>575</v>
      </c>
      <c r="B1027" s="28" t="s">
        <v>576</v>
      </c>
      <c r="C1027" s="28" t="s">
        <v>560</v>
      </c>
      <c r="D1027" s="28" t="s">
        <v>577</v>
      </c>
      <c r="E1027" s="28" t="s">
        <v>617</v>
      </c>
      <c r="F1027" s="28" t="s">
        <v>599</v>
      </c>
      <c r="G1027" s="29">
        <v>96</v>
      </c>
      <c r="H1027" s="29">
        <v>1</v>
      </c>
      <c r="I1027" s="29">
        <v>0</v>
      </c>
      <c r="J1027" s="29">
        <v>0</v>
      </c>
      <c r="K1027" s="29">
        <v>0</v>
      </c>
      <c r="L1027" s="29">
        <v>0</v>
      </c>
      <c r="M1027" s="29">
        <v>0</v>
      </c>
      <c r="N1027" s="29">
        <v>0</v>
      </c>
      <c r="O1027" s="29">
        <v>0</v>
      </c>
    </row>
    <row r="1028" spans="1:15" x14ac:dyDescent="0.3">
      <c r="A1028" s="28" t="s">
        <v>575</v>
      </c>
      <c r="B1028" s="28" t="s">
        <v>576</v>
      </c>
      <c r="C1028" s="28" t="s">
        <v>560</v>
      </c>
      <c r="D1028" s="28" t="s">
        <v>577</v>
      </c>
      <c r="E1028" s="28" t="s">
        <v>617</v>
      </c>
      <c r="F1028" s="28" t="s">
        <v>600</v>
      </c>
      <c r="G1028" s="29">
        <v>101</v>
      </c>
      <c r="H1028" s="29">
        <v>1</v>
      </c>
      <c r="I1028" s="29">
        <v>0</v>
      </c>
      <c r="J1028" s="29">
        <v>0</v>
      </c>
      <c r="K1028" s="29">
        <v>0</v>
      </c>
      <c r="L1028" s="29">
        <v>0</v>
      </c>
      <c r="M1028" s="29">
        <v>0</v>
      </c>
      <c r="N1028" s="29">
        <v>0</v>
      </c>
      <c r="O1028" s="29">
        <v>0</v>
      </c>
    </row>
    <row r="1029" spans="1:15" x14ac:dyDescent="0.3">
      <c r="A1029" s="28" t="s">
        <v>575</v>
      </c>
      <c r="B1029" s="28" t="s">
        <v>576</v>
      </c>
      <c r="C1029" s="28" t="s">
        <v>560</v>
      </c>
      <c r="D1029" s="28" t="s">
        <v>577</v>
      </c>
      <c r="E1029" s="28" t="s">
        <v>617</v>
      </c>
      <c r="F1029" s="28" t="s">
        <v>601</v>
      </c>
      <c r="G1029" s="29">
        <v>245</v>
      </c>
      <c r="H1029" s="29">
        <v>0</v>
      </c>
      <c r="I1029" s="29">
        <v>0</v>
      </c>
      <c r="J1029" s="29">
        <v>0</v>
      </c>
      <c r="K1029" s="29">
        <v>0</v>
      </c>
      <c r="L1029" s="29">
        <v>0</v>
      </c>
      <c r="M1029" s="29">
        <v>0</v>
      </c>
      <c r="N1029" s="29">
        <v>0</v>
      </c>
      <c r="O1029" s="29">
        <v>0</v>
      </c>
    </row>
    <row r="1030" spans="1:15" x14ac:dyDescent="0.3">
      <c r="A1030" s="28" t="s">
        <v>575</v>
      </c>
      <c r="B1030" s="28" t="s">
        <v>576</v>
      </c>
      <c r="C1030" s="28" t="s">
        <v>560</v>
      </c>
      <c r="D1030" s="28" t="s">
        <v>577</v>
      </c>
      <c r="E1030" s="28" t="s">
        <v>617</v>
      </c>
      <c r="F1030" s="28" t="s">
        <v>602</v>
      </c>
      <c r="G1030" s="29">
        <v>200</v>
      </c>
      <c r="H1030" s="29">
        <v>0</v>
      </c>
      <c r="I1030" s="29">
        <v>0</v>
      </c>
      <c r="J1030" s="29">
        <v>0</v>
      </c>
      <c r="K1030" s="29">
        <v>0</v>
      </c>
      <c r="L1030" s="29">
        <v>0</v>
      </c>
      <c r="M1030" s="29">
        <v>0</v>
      </c>
      <c r="N1030" s="29">
        <v>0</v>
      </c>
      <c r="O1030" s="29">
        <v>0</v>
      </c>
    </row>
    <row r="1031" spans="1:15" x14ac:dyDescent="0.3">
      <c r="A1031" s="28" t="s">
        <v>575</v>
      </c>
      <c r="B1031" s="28" t="s">
        <v>576</v>
      </c>
      <c r="C1031" s="28" t="s">
        <v>560</v>
      </c>
      <c r="D1031" s="28" t="s">
        <v>577</v>
      </c>
      <c r="E1031" s="28" t="s">
        <v>617</v>
      </c>
      <c r="F1031" s="28" t="s">
        <v>603</v>
      </c>
      <c r="G1031" s="29">
        <v>43</v>
      </c>
      <c r="H1031" s="29">
        <v>2</v>
      </c>
      <c r="I1031" s="29">
        <v>0</v>
      </c>
      <c r="J1031" s="29">
        <v>0</v>
      </c>
      <c r="K1031" s="29">
        <v>0</v>
      </c>
      <c r="L1031" s="29">
        <v>0</v>
      </c>
      <c r="M1031" s="29">
        <v>0</v>
      </c>
      <c r="N1031" s="29">
        <v>0</v>
      </c>
      <c r="O1031" s="29">
        <v>0</v>
      </c>
    </row>
    <row r="1032" spans="1:15" x14ac:dyDescent="0.3">
      <c r="A1032" s="28" t="s">
        <v>575</v>
      </c>
      <c r="B1032" s="28" t="s">
        <v>576</v>
      </c>
      <c r="C1032" s="28" t="s">
        <v>560</v>
      </c>
      <c r="D1032" s="28" t="s">
        <v>577</v>
      </c>
      <c r="E1032" s="28" t="s">
        <v>617</v>
      </c>
      <c r="F1032" s="28" t="s">
        <v>604</v>
      </c>
      <c r="G1032" s="29">
        <v>377</v>
      </c>
      <c r="H1032" s="29">
        <v>0</v>
      </c>
      <c r="I1032" s="29">
        <v>1</v>
      </c>
      <c r="J1032" s="29">
        <v>0</v>
      </c>
      <c r="K1032" s="29">
        <v>1</v>
      </c>
      <c r="L1032" s="29">
        <v>0</v>
      </c>
      <c r="M1032" s="29">
        <v>0</v>
      </c>
      <c r="N1032" s="29">
        <v>0</v>
      </c>
      <c r="O1032" s="29">
        <v>0</v>
      </c>
    </row>
    <row r="1033" spans="1:15" x14ac:dyDescent="0.3">
      <c r="A1033" s="28" t="s">
        <v>575</v>
      </c>
      <c r="B1033" s="28" t="s">
        <v>576</v>
      </c>
      <c r="C1033" s="28" t="s">
        <v>560</v>
      </c>
      <c r="D1033" s="28" t="s">
        <v>577</v>
      </c>
      <c r="E1033" s="28" t="s">
        <v>617</v>
      </c>
      <c r="F1033" s="28" t="s">
        <v>581</v>
      </c>
      <c r="G1033" s="29">
        <v>194</v>
      </c>
      <c r="H1033" s="29">
        <v>0</v>
      </c>
      <c r="I1033" s="29">
        <v>3</v>
      </c>
      <c r="J1033" s="29">
        <v>2</v>
      </c>
      <c r="K1033" s="29">
        <v>1</v>
      </c>
      <c r="L1033" s="29">
        <v>0</v>
      </c>
      <c r="M1033" s="29">
        <v>0</v>
      </c>
      <c r="N1033" s="29">
        <v>0</v>
      </c>
      <c r="O1033" s="29">
        <v>0</v>
      </c>
    </row>
    <row r="1034" spans="1:15" x14ac:dyDescent="0.3">
      <c r="A1034" s="28" t="s">
        <v>575</v>
      </c>
      <c r="B1034" s="28" t="s">
        <v>576</v>
      </c>
      <c r="C1034" s="28" t="s">
        <v>560</v>
      </c>
      <c r="D1034" s="28" t="s">
        <v>577</v>
      </c>
      <c r="E1034" s="28" t="s">
        <v>617</v>
      </c>
      <c r="F1034" s="28" t="s">
        <v>582</v>
      </c>
      <c r="G1034" s="29">
        <v>132</v>
      </c>
      <c r="H1034" s="29">
        <v>1</v>
      </c>
      <c r="I1034" s="29">
        <v>1</v>
      </c>
      <c r="J1034" s="29">
        <v>0</v>
      </c>
      <c r="K1034" s="29">
        <v>1</v>
      </c>
      <c r="L1034" s="29">
        <v>0</v>
      </c>
      <c r="M1034" s="29">
        <v>0</v>
      </c>
      <c r="N1034" s="29">
        <v>0</v>
      </c>
      <c r="O1034" s="29">
        <v>0</v>
      </c>
    </row>
    <row r="1035" spans="1:15" x14ac:dyDescent="0.3">
      <c r="A1035" s="28" t="s">
        <v>575</v>
      </c>
      <c r="B1035" s="28" t="s">
        <v>576</v>
      </c>
      <c r="C1035" s="28" t="s">
        <v>560</v>
      </c>
      <c r="D1035" s="28" t="s">
        <v>577</v>
      </c>
      <c r="E1035" s="28" t="s">
        <v>617</v>
      </c>
      <c r="F1035" s="28" t="s">
        <v>583</v>
      </c>
      <c r="G1035" s="29">
        <v>177</v>
      </c>
      <c r="H1035" s="29">
        <v>1</v>
      </c>
      <c r="I1035" s="29">
        <v>2</v>
      </c>
      <c r="J1035" s="29">
        <v>1</v>
      </c>
      <c r="K1035" s="29">
        <v>1</v>
      </c>
      <c r="L1035" s="29">
        <v>0</v>
      </c>
      <c r="M1035" s="29">
        <v>0</v>
      </c>
      <c r="N1035" s="29">
        <v>0</v>
      </c>
      <c r="O1035" s="29">
        <v>0</v>
      </c>
    </row>
    <row r="1036" spans="1:15" x14ac:dyDescent="0.3">
      <c r="A1036" s="28" t="s">
        <v>575</v>
      </c>
      <c r="B1036" s="28" t="s">
        <v>576</v>
      </c>
      <c r="C1036" s="28" t="s">
        <v>560</v>
      </c>
      <c r="D1036" s="28" t="s">
        <v>577</v>
      </c>
      <c r="E1036" s="28" t="s">
        <v>617</v>
      </c>
      <c r="F1036" s="28" t="s">
        <v>584</v>
      </c>
      <c r="G1036" s="29">
        <v>131</v>
      </c>
      <c r="H1036" s="29">
        <v>0</v>
      </c>
      <c r="I1036" s="29">
        <v>3</v>
      </c>
      <c r="J1036" s="29">
        <v>0</v>
      </c>
      <c r="K1036" s="29">
        <v>3</v>
      </c>
      <c r="L1036" s="29">
        <v>0</v>
      </c>
      <c r="M1036" s="29">
        <v>0</v>
      </c>
      <c r="N1036" s="29">
        <v>0</v>
      </c>
      <c r="O1036" s="29">
        <v>0</v>
      </c>
    </row>
    <row r="1037" spans="1:15" x14ac:dyDescent="0.3">
      <c r="A1037" s="28" t="s">
        <v>575</v>
      </c>
      <c r="B1037" s="28" t="s">
        <v>576</v>
      </c>
      <c r="C1037" s="28" t="s">
        <v>560</v>
      </c>
      <c r="D1037" s="28" t="s">
        <v>577</v>
      </c>
      <c r="E1037" s="28" t="s">
        <v>617</v>
      </c>
      <c r="F1037" s="28" t="s">
        <v>585</v>
      </c>
      <c r="G1037" s="29">
        <v>165</v>
      </c>
      <c r="H1037" s="29">
        <v>0</v>
      </c>
      <c r="I1037" s="29">
        <v>4</v>
      </c>
      <c r="J1037" s="29">
        <v>0</v>
      </c>
      <c r="K1037" s="29">
        <v>4</v>
      </c>
      <c r="L1037" s="29">
        <v>100</v>
      </c>
      <c r="M1037" s="29">
        <v>0</v>
      </c>
      <c r="N1037" s="29">
        <v>100</v>
      </c>
      <c r="O1037" s="29">
        <v>0</v>
      </c>
    </row>
    <row r="1038" spans="1:15" x14ac:dyDescent="0.3">
      <c r="A1038" s="28" t="s">
        <v>575</v>
      </c>
      <c r="B1038" s="28" t="s">
        <v>576</v>
      </c>
      <c r="C1038" s="28" t="s">
        <v>560</v>
      </c>
      <c r="D1038" s="28" t="s">
        <v>577</v>
      </c>
      <c r="E1038" s="28" t="s">
        <v>617</v>
      </c>
      <c r="F1038" s="28" t="s">
        <v>586</v>
      </c>
      <c r="G1038" s="29">
        <v>154</v>
      </c>
      <c r="H1038" s="29">
        <v>2</v>
      </c>
      <c r="I1038" s="29">
        <v>0</v>
      </c>
      <c r="J1038" s="29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0</v>
      </c>
    </row>
    <row r="1039" spans="1:15" x14ac:dyDescent="0.3">
      <c r="A1039" s="28" t="s">
        <v>575</v>
      </c>
      <c r="B1039" s="28" t="s">
        <v>576</v>
      </c>
      <c r="C1039" s="28" t="s">
        <v>560</v>
      </c>
      <c r="D1039" s="28" t="s">
        <v>618</v>
      </c>
      <c r="E1039" s="28" t="s">
        <v>578</v>
      </c>
      <c r="F1039" s="28" t="s">
        <v>587</v>
      </c>
      <c r="G1039" s="29">
        <v>3</v>
      </c>
      <c r="H1039" s="29">
        <v>3</v>
      </c>
      <c r="I1039" s="29">
        <v>0</v>
      </c>
      <c r="J1039" s="29">
        <v>0</v>
      </c>
      <c r="K1039" s="29">
        <v>0</v>
      </c>
      <c r="L1039" s="29">
        <v>0</v>
      </c>
      <c r="M1039" s="29">
        <v>0</v>
      </c>
      <c r="N1039" s="29">
        <v>0</v>
      </c>
      <c r="O1039" s="29">
        <v>0</v>
      </c>
    </row>
    <row r="1040" spans="1:15" x14ac:dyDescent="0.3">
      <c r="A1040" s="28" t="s">
        <v>575</v>
      </c>
      <c r="B1040" s="28" t="s">
        <v>576</v>
      </c>
      <c r="C1040" s="28" t="s">
        <v>560</v>
      </c>
      <c r="D1040" s="28" t="s">
        <v>618</v>
      </c>
      <c r="E1040" s="28" t="s">
        <v>619</v>
      </c>
      <c r="F1040" s="28" t="s">
        <v>593</v>
      </c>
      <c r="G1040" s="29">
        <v>1093</v>
      </c>
      <c r="H1040" s="29">
        <v>3</v>
      </c>
      <c r="I1040" s="29">
        <v>2</v>
      </c>
      <c r="J1040" s="29">
        <v>2</v>
      </c>
      <c r="K1040" s="29">
        <v>0</v>
      </c>
      <c r="L1040" s="29">
        <v>100</v>
      </c>
      <c r="M1040" s="29">
        <v>100</v>
      </c>
      <c r="N1040" s="29">
        <v>0</v>
      </c>
      <c r="O1040" s="29">
        <v>0</v>
      </c>
    </row>
    <row r="1041" spans="1:15" x14ac:dyDescent="0.3">
      <c r="A1041" s="28" t="s">
        <v>575</v>
      </c>
      <c r="B1041" s="28" t="s">
        <v>576</v>
      </c>
      <c r="C1041" s="28" t="s">
        <v>560</v>
      </c>
      <c r="D1041" s="28" t="s">
        <v>618</v>
      </c>
      <c r="E1041" s="28" t="s">
        <v>619</v>
      </c>
      <c r="F1041" s="28" t="s">
        <v>594</v>
      </c>
      <c r="G1041" s="29">
        <v>1454</v>
      </c>
      <c r="H1041" s="29">
        <v>6</v>
      </c>
      <c r="I1041" s="29">
        <v>3</v>
      </c>
      <c r="J1041" s="29">
        <v>3</v>
      </c>
      <c r="K1041" s="29">
        <v>0</v>
      </c>
      <c r="L1041" s="29">
        <v>0</v>
      </c>
      <c r="M1041" s="29">
        <v>0</v>
      </c>
      <c r="N1041" s="29">
        <v>0</v>
      </c>
      <c r="O1041" s="29">
        <v>0</v>
      </c>
    </row>
    <row r="1042" spans="1:15" x14ac:dyDescent="0.3">
      <c r="A1042" s="28" t="s">
        <v>575</v>
      </c>
      <c r="B1042" s="28" t="s">
        <v>576</v>
      </c>
      <c r="C1042" s="28" t="s">
        <v>560</v>
      </c>
      <c r="D1042" s="28" t="s">
        <v>618</v>
      </c>
      <c r="E1042" s="28" t="s">
        <v>619</v>
      </c>
      <c r="F1042" s="28" t="s">
        <v>595</v>
      </c>
      <c r="G1042" s="29">
        <v>831</v>
      </c>
      <c r="H1042" s="29">
        <v>2</v>
      </c>
      <c r="I1042" s="29">
        <v>0</v>
      </c>
      <c r="J1042" s="29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0</v>
      </c>
    </row>
    <row r="1043" spans="1:15" x14ac:dyDescent="0.3">
      <c r="A1043" s="28" t="s">
        <v>575</v>
      </c>
      <c r="B1043" s="28" t="s">
        <v>576</v>
      </c>
      <c r="C1043" s="28" t="s">
        <v>560</v>
      </c>
      <c r="D1043" s="28" t="s">
        <v>618</v>
      </c>
      <c r="E1043" s="28" t="s">
        <v>580</v>
      </c>
      <c r="F1043" s="28" t="s">
        <v>597</v>
      </c>
      <c r="G1043" s="29">
        <v>402</v>
      </c>
      <c r="H1043" s="29">
        <v>1</v>
      </c>
      <c r="I1043" s="29">
        <v>0</v>
      </c>
      <c r="J1043" s="29">
        <v>0</v>
      </c>
      <c r="K1043" s="29">
        <v>0</v>
      </c>
      <c r="L1043" s="29">
        <v>0</v>
      </c>
      <c r="M1043" s="29">
        <v>0</v>
      </c>
      <c r="N1043" s="29">
        <v>0</v>
      </c>
      <c r="O1043" s="29">
        <v>0</v>
      </c>
    </row>
    <row r="1044" spans="1:15" x14ac:dyDescent="0.3">
      <c r="A1044" s="28" t="s">
        <v>575</v>
      </c>
      <c r="B1044" s="28" t="s">
        <v>576</v>
      </c>
      <c r="C1044" s="28" t="s">
        <v>560</v>
      </c>
      <c r="D1044" s="28" t="s">
        <v>618</v>
      </c>
      <c r="E1044" s="28" t="s">
        <v>580</v>
      </c>
      <c r="F1044" s="28" t="s">
        <v>598</v>
      </c>
      <c r="G1044" s="29">
        <v>259</v>
      </c>
      <c r="H1044" s="29">
        <v>1</v>
      </c>
      <c r="I1044" s="29">
        <v>0</v>
      </c>
      <c r="J1044" s="29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0</v>
      </c>
    </row>
    <row r="1045" spans="1:15" x14ac:dyDescent="0.3">
      <c r="A1045" s="28" t="s">
        <v>575</v>
      </c>
      <c r="B1045" s="28" t="s">
        <v>576</v>
      </c>
      <c r="C1045" s="28" t="s">
        <v>560</v>
      </c>
      <c r="D1045" s="28" t="s">
        <v>618</v>
      </c>
      <c r="E1045" s="28" t="s">
        <v>580</v>
      </c>
      <c r="F1045" s="28" t="s">
        <v>599</v>
      </c>
      <c r="G1045" s="29">
        <v>187</v>
      </c>
      <c r="H1045" s="29">
        <v>1</v>
      </c>
      <c r="I1045" s="29">
        <v>0</v>
      </c>
      <c r="J1045" s="29">
        <v>0</v>
      </c>
      <c r="K1045" s="29">
        <v>0</v>
      </c>
      <c r="L1045" s="29">
        <v>0</v>
      </c>
      <c r="M1045" s="29">
        <v>0</v>
      </c>
      <c r="N1045" s="29">
        <v>0</v>
      </c>
      <c r="O1045" s="29">
        <v>0</v>
      </c>
    </row>
    <row r="1046" spans="1:15" x14ac:dyDescent="0.3">
      <c r="A1046" s="28" t="s">
        <v>575</v>
      </c>
      <c r="B1046" s="28" t="s">
        <v>576</v>
      </c>
      <c r="C1046" s="28" t="s">
        <v>560</v>
      </c>
      <c r="D1046" s="28" t="s">
        <v>618</v>
      </c>
      <c r="E1046" s="28" t="s">
        <v>580</v>
      </c>
      <c r="F1046" s="28" t="s">
        <v>600</v>
      </c>
      <c r="G1046" s="29">
        <v>188</v>
      </c>
      <c r="H1046" s="29">
        <v>0</v>
      </c>
      <c r="I1046" s="29">
        <v>0</v>
      </c>
      <c r="J1046" s="29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0</v>
      </c>
    </row>
    <row r="1047" spans="1:15" x14ac:dyDescent="0.3">
      <c r="A1047" s="28" t="s">
        <v>575</v>
      </c>
      <c r="B1047" s="28" t="s">
        <v>576</v>
      </c>
      <c r="C1047" s="28" t="s">
        <v>560</v>
      </c>
      <c r="D1047" s="28" t="s">
        <v>618</v>
      </c>
      <c r="E1047" s="28" t="s">
        <v>580</v>
      </c>
      <c r="F1047" s="28" t="s">
        <v>601</v>
      </c>
      <c r="G1047" s="29">
        <v>488</v>
      </c>
      <c r="H1047" s="29">
        <v>1</v>
      </c>
      <c r="I1047" s="29">
        <v>0</v>
      </c>
      <c r="J1047" s="29">
        <v>0</v>
      </c>
      <c r="K1047" s="29">
        <v>0</v>
      </c>
      <c r="L1047" s="29">
        <v>0</v>
      </c>
      <c r="M1047" s="29">
        <v>0</v>
      </c>
      <c r="N1047" s="29">
        <v>0</v>
      </c>
      <c r="O1047" s="29">
        <v>0</v>
      </c>
    </row>
    <row r="1048" spans="1:15" x14ac:dyDescent="0.3">
      <c r="A1048" s="28" t="s">
        <v>575</v>
      </c>
      <c r="B1048" s="28" t="s">
        <v>576</v>
      </c>
      <c r="C1048" s="28" t="s">
        <v>560</v>
      </c>
      <c r="D1048" s="28" t="s">
        <v>618</v>
      </c>
      <c r="E1048" s="28" t="s">
        <v>580</v>
      </c>
      <c r="F1048" s="28" t="s">
        <v>602</v>
      </c>
      <c r="G1048" s="29">
        <v>1694</v>
      </c>
      <c r="H1048" s="29">
        <v>2</v>
      </c>
      <c r="I1048" s="29">
        <v>0</v>
      </c>
      <c r="J1048" s="29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0</v>
      </c>
    </row>
    <row r="1049" spans="1:15" x14ac:dyDescent="0.3">
      <c r="A1049" s="28" t="s">
        <v>575</v>
      </c>
      <c r="B1049" s="28" t="s">
        <v>576</v>
      </c>
      <c r="C1049" s="28" t="s">
        <v>560</v>
      </c>
      <c r="D1049" s="28" t="s">
        <v>618</v>
      </c>
      <c r="E1049" s="28" t="s">
        <v>580</v>
      </c>
      <c r="F1049" s="28" t="s">
        <v>603</v>
      </c>
      <c r="G1049" s="29">
        <v>4022</v>
      </c>
      <c r="H1049" s="29">
        <v>5</v>
      </c>
      <c r="I1049" s="29">
        <v>0</v>
      </c>
      <c r="J1049" s="29">
        <v>0</v>
      </c>
      <c r="K1049" s="29">
        <v>0</v>
      </c>
      <c r="L1049" s="29">
        <v>0</v>
      </c>
      <c r="M1049" s="29">
        <v>0</v>
      </c>
      <c r="N1049" s="29">
        <v>0</v>
      </c>
      <c r="O1049" s="29">
        <v>0</v>
      </c>
    </row>
    <row r="1050" spans="1:15" x14ac:dyDescent="0.3">
      <c r="A1050" s="28" t="s">
        <v>575</v>
      </c>
      <c r="B1050" s="28" t="s">
        <v>576</v>
      </c>
      <c r="C1050" s="28" t="s">
        <v>560</v>
      </c>
      <c r="D1050" s="28" t="s">
        <v>618</v>
      </c>
      <c r="E1050" s="28" t="s">
        <v>580</v>
      </c>
      <c r="F1050" s="28" t="s">
        <v>604</v>
      </c>
      <c r="G1050" s="29">
        <v>8210</v>
      </c>
      <c r="H1050" s="29">
        <v>2</v>
      </c>
      <c r="I1050" s="29">
        <v>0</v>
      </c>
      <c r="J1050" s="29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0</v>
      </c>
    </row>
    <row r="1051" spans="1:15" x14ac:dyDescent="0.3">
      <c r="A1051" s="28" t="s">
        <v>575</v>
      </c>
      <c r="B1051" s="28" t="s">
        <v>576</v>
      </c>
      <c r="C1051" s="28" t="s">
        <v>560</v>
      </c>
      <c r="D1051" s="28" t="s">
        <v>618</v>
      </c>
      <c r="E1051" s="28" t="s">
        <v>580</v>
      </c>
      <c r="F1051" s="28" t="s">
        <v>581</v>
      </c>
      <c r="G1051" s="29">
        <v>6479</v>
      </c>
      <c r="H1051" s="29">
        <v>6</v>
      </c>
      <c r="I1051" s="29">
        <v>7</v>
      </c>
      <c r="J1051" s="29">
        <v>1</v>
      </c>
      <c r="K1051" s="29">
        <v>6</v>
      </c>
      <c r="L1051" s="29">
        <v>0</v>
      </c>
      <c r="M1051" s="29">
        <v>0</v>
      </c>
      <c r="N1051" s="29">
        <v>0</v>
      </c>
      <c r="O1051" s="29">
        <v>0</v>
      </c>
    </row>
    <row r="1052" spans="1:15" x14ac:dyDescent="0.3">
      <c r="A1052" s="28" t="s">
        <v>575</v>
      </c>
      <c r="B1052" s="28" t="s">
        <v>576</v>
      </c>
      <c r="C1052" s="28" t="s">
        <v>560</v>
      </c>
      <c r="D1052" s="28" t="s">
        <v>618</v>
      </c>
      <c r="E1052" s="28" t="s">
        <v>580</v>
      </c>
      <c r="F1052" s="28" t="s">
        <v>582</v>
      </c>
      <c r="G1052" s="29">
        <v>4355</v>
      </c>
      <c r="H1052" s="29">
        <v>3</v>
      </c>
      <c r="I1052" s="29">
        <v>6</v>
      </c>
      <c r="J1052" s="29">
        <v>0</v>
      </c>
      <c r="K1052" s="29">
        <v>6</v>
      </c>
      <c r="L1052" s="29">
        <v>0</v>
      </c>
      <c r="M1052" s="29">
        <v>0</v>
      </c>
      <c r="N1052" s="29">
        <v>0</v>
      </c>
      <c r="O1052" s="29">
        <v>0</v>
      </c>
    </row>
    <row r="1053" spans="1:15" x14ac:dyDescent="0.3">
      <c r="A1053" s="28" t="s">
        <v>575</v>
      </c>
      <c r="B1053" s="28" t="s">
        <v>576</v>
      </c>
      <c r="C1053" s="28" t="s">
        <v>560</v>
      </c>
      <c r="D1053" s="28" t="s">
        <v>618</v>
      </c>
      <c r="E1053" s="28" t="s">
        <v>580</v>
      </c>
      <c r="F1053" s="28" t="s">
        <v>583</v>
      </c>
      <c r="G1053" s="29">
        <v>3685</v>
      </c>
      <c r="H1053" s="29">
        <v>8</v>
      </c>
      <c r="I1053" s="29">
        <v>6</v>
      </c>
      <c r="J1053" s="29">
        <v>0</v>
      </c>
      <c r="K1053" s="29">
        <v>6</v>
      </c>
      <c r="L1053" s="29">
        <v>1500</v>
      </c>
      <c r="M1053" s="29">
        <v>0</v>
      </c>
      <c r="N1053" s="29">
        <v>1500</v>
      </c>
      <c r="O1053" s="29">
        <v>0</v>
      </c>
    </row>
    <row r="1054" spans="1:15" x14ac:dyDescent="0.3">
      <c r="A1054" s="28" t="s">
        <v>575</v>
      </c>
      <c r="B1054" s="28" t="s">
        <v>576</v>
      </c>
      <c r="C1054" s="28" t="s">
        <v>560</v>
      </c>
      <c r="D1054" s="28" t="s">
        <v>618</v>
      </c>
      <c r="E1054" s="28" t="s">
        <v>580</v>
      </c>
      <c r="F1054" s="28" t="s">
        <v>584</v>
      </c>
      <c r="G1054" s="29">
        <v>3662</v>
      </c>
      <c r="H1054" s="29">
        <v>9</v>
      </c>
      <c r="I1054" s="29">
        <v>9</v>
      </c>
      <c r="J1054" s="29">
        <v>2</v>
      </c>
      <c r="K1054" s="29">
        <v>7</v>
      </c>
      <c r="L1054" s="29">
        <v>500</v>
      </c>
      <c r="M1054" s="29">
        <v>0</v>
      </c>
      <c r="N1054" s="29">
        <v>500</v>
      </c>
      <c r="O1054" s="29">
        <v>0</v>
      </c>
    </row>
    <row r="1055" spans="1:15" x14ac:dyDescent="0.3">
      <c r="A1055" s="28" t="s">
        <v>575</v>
      </c>
      <c r="B1055" s="28" t="s">
        <v>576</v>
      </c>
      <c r="C1055" s="28" t="s">
        <v>560</v>
      </c>
      <c r="D1055" s="28" t="s">
        <v>618</v>
      </c>
      <c r="E1055" s="28" t="s">
        <v>580</v>
      </c>
      <c r="F1055" s="28" t="s">
        <v>585</v>
      </c>
      <c r="G1055" s="29">
        <v>3567</v>
      </c>
      <c r="H1055" s="29">
        <v>4</v>
      </c>
      <c r="I1055" s="29">
        <v>2</v>
      </c>
      <c r="J1055" s="29">
        <v>0</v>
      </c>
      <c r="K1055" s="29">
        <v>2</v>
      </c>
      <c r="L1055" s="29">
        <v>0</v>
      </c>
      <c r="M1055" s="29">
        <v>0</v>
      </c>
      <c r="N1055" s="29">
        <v>0</v>
      </c>
      <c r="O1055" s="29">
        <v>0</v>
      </c>
    </row>
    <row r="1056" spans="1:15" x14ac:dyDescent="0.3">
      <c r="A1056" s="28" t="s">
        <v>575</v>
      </c>
      <c r="B1056" s="28" t="s">
        <v>576</v>
      </c>
      <c r="C1056" s="28" t="s">
        <v>560</v>
      </c>
      <c r="D1056" s="28" t="s">
        <v>618</v>
      </c>
      <c r="E1056" s="28" t="s">
        <v>580</v>
      </c>
      <c r="F1056" s="28" t="s">
        <v>586</v>
      </c>
      <c r="G1056" s="29">
        <v>2750</v>
      </c>
      <c r="H1056" s="29">
        <v>3</v>
      </c>
      <c r="I1056" s="29">
        <v>1</v>
      </c>
      <c r="J1056" s="29">
        <v>0</v>
      </c>
      <c r="K1056" s="29">
        <v>1</v>
      </c>
      <c r="L1056" s="29">
        <v>0</v>
      </c>
      <c r="M1056" s="29">
        <v>0</v>
      </c>
      <c r="N1056" s="29">
        <v>0</v>
      </c>
      <c r="O1056" s="29">
        <v>0</v>
      </c>
    </row>
    <row r="1057" spans="1:15" x14ac:dyDescent="0.3">
      <c r="A1057" s="28" t="s">
        <v>575</v>
      </c>
      <c r="B1057" s="28" t="s">
        <v>576</v>
      </c>
      <c r="C1057" s="28" t="s">
        <v>560</v>
      </c>
      <c r="D1057" s="28" t="s">
        <v>618</v>
      </c>
      <c r="E1057" s="28" t="s">
        <v>580</v>
      </c>
      <c r="F1057" s="28" t="s">
        <v>587</v>
      </c>
      <c r="G1057" s="29">
        <v>2332</v>
      </c>
      <c r="H1057" s="29">
        <v>1</v>
      </c>
      <c r="I1057" s="29">
        <v>2</v>
      </c>
      <c r="J1057" s="29">
        <v>0</v>
      </c>
      <c r="K1057" s="29">
        <v>2</v>
      </c>
      <c r="L1057" s="29">
        <v>0</v>
      </c>
      <c r="M1057" s="29">
        <v>0</v>
      </c>
      <c r="N1057" s="29">
        <v>0</v>
      </c>
      <c r="O1057" s="29">
        <v>0</v>
      </c>
    </row>
    <row r="1058" spans="1:15" x14ac:dyDescent="0.3">
      <c r="A1058" s="28" t="s">
        <v>575</v>
      </c>
      <c r="B1058" s="28" t="s">
        <v>576</v>
      </c>
      <c r="C1058" s="28" t="s">
        <v>560</v>
      </c>
      <c r="D1058" s="28" t="s">
        <v>618</v>
      </c>
      <c r="E1058" s="28" t="s">
        <v>580</v>
      </c>
      <c r="F1058" s="28" t="s">
        <v>579</v>
      </c>
      <c r="G1058" s="29">
        <v>2274</v>
      </c>
      <c r="H1058" s="29">
        <v>2</v>
      </c>
      <c r="I1058" s="29">
        <v>11</v>
      </c>
      <c r="J1058" s="29">
        <v>9</v>
      </c>
      <c r="K1058" s="29">
        <v>2</v>
      </c>
      <c r="L1058" s="29">
        <v>0</v>
      </c>
      <c r="M1058" s="29">
        <v>0</v>
      </c>
      <c r="N1058" s="29">
        <v>0</v>
      </c>
      <c r="O1058" s="29">
        <v>0</v>
      </c>
    </row>
    <row r="1059" spans="1:15" x14ac:dyDescent="0.3">
      <c r="A1059" s="28" t="s">
        <v>575</v>
      </c>
      <c r="B1059" s="28" t="s">
        <v>576</v>
      </c>
      <c r="C1059" s="28" t="s">
        <v>560</v>
      </c>
      <c r="D1059" s="28" t="s">
        <v>618</v>
      </c>
      <c r="E1059" s="28" t="s">
        <v>580</v>
      </c>
      <c r="F1059" s="28" t="s">
        <v>588</v>
      </c>
      <c r="G1059" s="29">
        <v>2219</v>
      </c>
      <c r="H1059" s="29">
        <v>4</v>
      </c>
      <c r="I1059" s="29">
        <v>8</v>
      </c>
      <c r="J1059" s="29">
        <v>3</v>
      </c>
      <c r="K1059" s="29">
        <v>5</v>
      </c>
      <c r="L1059" s="29">
        <v>0</v>
      </c>
      <c r="M1059" s="29">
        <v>0</v>
      </c>
      <c r="N1059" s="29">
        <v>0</v>
      </c>
      <c r="O1059" s="29">
        <v>0</v>
      </c>
    </row>
    <row r="1060" spans="1:15" x14ac:dyDescent="0.3">
      <c r="A1060" s="28" t="s">
        <v>575</v>
      </c>
      <c r="B1060" s="28" t="s">
        <v>576</v>
      </c>
      <c r="C1060" s="28" t="s">
        <v>560</v>
      </c>
      <c r="D1060" s="28" t="s">
        <v>618</v>
      </c>
      <c r="E1060" s="28" t="s">
        <v>580</v>
      </c>
      <c r="F1060" s="28" t="s">
        <v>589</v>
      </c>
      <c r="G1060" s="29">
        <v>1895</v>
      </c>
      <c r="H1060" s="29">
        <v>1</v>
      </c>
      <c r="I1060" s="29">
        <v>3</v>
      </c>
      <c r="J1060" s="29">
        <v>1</v>
      </c>
      <c r="K1060" s="29">
        <v>2</v>
      </c>
      <c r="L1060" s="29">
        <v>0</v>
      </c>
      <c r="M1060" s="29">
        <v>0</v>
      </c>
      <c r="N1060" s="29">
        <v>0</v>
      </c>
      <c r="O1060" s="29">
        <v>0</v>
      </c>
    </row>
    <row r="1061" spans="1:15" x14ac:dyDescent="0.3">
      <c r="A1061" s="28" t="s">
        <v>575</v>
      </c>
      <c r="B1061" s="28" t="s">
        <v>576</v>
      </c>
      <c r="C1061" s="28" t="s">
        <v>560</v>
      </c>
      <c r="D1061" s="28" t="s">
        <v>618</v>
      </c>
      <c r="E1061" s="28" t="s">
        <v>580</v>
      </c>
      <c r="F1061" s="28" t="s">
        <v>590</v>
      </c>
      <c r="G1061" s="29">
        <v>1867</v>
      </c>
      <c r="H1061" s="29">
        <v>5</v>
      </c>
      <c r="I1061" s="29">
        <v>2</v>
      </c>
      <c r="J1061" s="29">
        <v>2</v>
      </c>
      <c r="K1061" s="29">
        <v>0</v>
      </c>
      <c r="L1061" s="29">
        <v>0</v>
      </c>
      <c r="M1061" s="29">
        <v>0</v>
      </c>
      <c r="N1061" s="29">
        <v>0</v>
      </c>
      <c r="O1061" s="29">
        <v>0</v>
      </c>
    </row>
    <row r="1062" spans="1:15" x14ac:dyDescent="0.3">
      <c r="A1062" s="28" t="s">
        <v>575</v>
      </c>
      <c r="B1062" s="28" t="s">
        <v>576</v>
      </c>
      <c r="C1062" s="28" t="s">
        <v>560</v>
      </c>
      <c r="D1062" s="28" t="s">
        <v>618</v>
      </c>
      <c r="E1062" s="28" t="s">
        <v>580</v>
      </c>
      <c r="F1062" s="28" t="s">
        <v>591</v>
      </c>
      <c r="G1062" s="29">
        <v>1910</v>
      </c>
      <c r="H1062" s="29">
        <v>1</v>
      </c>
      <c r="I1062" s="29">
        <v>0</v>
      </c>
      <c r="J1062" s="29">
        <v>0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</row>
    <row r="1063" spans="1:15" x14ac:dyDescent="0.3">
      <c r="A1063" s="28" t="s">
        <v>575</v>
      </c>
      <c r="B1063" s="28" t="s">
        <v>576</v>
      </c>
      <c r="C1063" s="28" t="s">
        <v>560</v>
      </c>
      <c r="D1063" s="28" t="s">
        <v>618</v>
      </c>
      <c r="E1063" s="28" t="s">
        <v>580</v>
      </c>
      <c r="F1063" s="28" t="s">
        <v>592</v>
      </c>
      <c r="G1063" s="29">
        <v>1760</v>
      </c>
      <c r="H1063" s="29">
        <v>4</v>
      </c>
      <c r="I1063" s="29">
        <v>1</v>
      </c>
      <c r="J1063" s="29">
        <v>0</v>
      </c>
      <c r="K1063" s="29">
        <v>1</v>
      </c>
      <c r="L1063" s="29">
        <v>0</v>
      </c>
      <c r="M1063" s="29">
        <v>0</v>
      </c>
      <c r="N1063" s="29">
        <v>0</v>
      </c>
      <c r="O1063" s="29">
        <v>0</v>
      </c>
    </row>
    <row r="1064" spans="1:15" x14ac:dyDescent="0.3">
      <c r="A1064" s="28" t="s">
        <v>575</v>
      </c>
      <c r="B1064" s="28" t="s">
        <v>576</v>
      </c>
      <c r="C1064" s="28" t="s">
        <v>560</v>
      </c>
      <c r="D1064" s="28" t="s">
        <v>618</v>
      </c>
      <c r="E1064" s="28" t="s">
        <v>580</v>
      </c>
      <c r="F1064" s="28" t="s">
        <v>593</v>
      </c>
      <c r="G1064" s="29">
        <v>1171</v>
      </c>
      <c r="H1064" s="29">
        <v>2</v>
      </c>
      <c r="I1064" s="29">
        <v>1</v>
      </c>
      <c r="J1064" s="29">
        <v>0</v>
      </c>
      <c r="K1064" s="29">
        <v>1</v>
      </c>
      <c r="L1064" s="29">
        <v>0</v>
      </c>
      <c r="M1064" s="29">
        <v>0</v>
      </c>
      <c r="N1064" s="29">
        <v>0</v>
      </c>
      <c r="O1064" s="29">
        <v>0</v>
      </c>
    </row>
    <row r="1065" spans="1:15" x14ac:dyDescent="0.3">
      <c r="A1065" s="28" t="s">
        <v>575</v>
      </c>
      <c r="B1065" s="28" t="s">
        <v>576</v>
      </c>
      <c r="C1065" s="28" t="s">
        <v>560</v>
      </c>
      <c r="D1065" s="28" t="s">
        <v>618</v>
      </c>
      <c r="E1065" s="28" t="s">
        <v>580</v>
      </c>
      <c r="F1065" s="28" t="s">
        <v>594</v>
      </c>
      <c r="G1065" s="29">
        <v>835</v>
      </c>
      <c r="H1065" s="29">
        <v>0</v>
      </c>
      <c r="I1065" s="29">
        <v>1</v>
      </c>
      <c r="J1065" s="29">
        <v>0</v>
      </c>
      <c r="K1065" s="29">
        <v>1</v>
      </c>
      <c r="L1065" s="29">
        <v>0</v>
      </c>
      <c r="M1065" s="29">
        <v>0</v>
      </c>
      <c r="N1065" s="29">
        <v>0</v>
      </c>
      <c r="O1065" s="29">
        <v>0</v>
      </c>
    </row>
    <row r="1066" spans="1:15" x14ac:dyDescent="0.3">
      <c r="A1066" s="28" t="s">
        <v>575</v>
      </c>
      <c r="B1066" s="28" t="s">
        <v>576</v>
      </c>
      <c r="C1066" s="28" t="s">
        <v>560</v>
      </c>
      <c r="D1066" s="28" t="s">
        <v>618</v>
      </c>
      <c r="E1066" s="28" t="s">
        <v>580</v>
      </c>
      <c r="F1066" s="28" t="s">
        <v>595</v>
      </c>
      <c r="G1066" s="29">
        <v>481</v>
      </c>
      <c r="H1066" s="29">
        <v>3</v>
      </c>
      <c r="I1066" s="29">
        <v>0</v>
      </c>
      <c r="J1066" s="29">
        <v>0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</row>
    <row r="1067" spans="1:15" x14ac:dyDescent="0.3">
      <c r="A1067" s="28" t="s">
        <v>575</v>
      </c>
      <c r="B1067" s="28" t="s">
        <v>576</v>
      </c>
      <c r="C1067" s="28" t="s">
        <v>560</v>
      </c>
      <c r="D1067" s="28" t="s">
        <v>618</v>
      </c>
      <c r="E1067" s="28" t="s">
        <v>596</v>
      </c>
      <c r="F1067" s="28" t="s">
        <v>597</v>
      </c>
      <c r="G1067" s="29">
        <v>253</v>
      </c>
      <c r="H1067" s="29">
        <v>2</v>
      </c>
      <c r="I1067" s="29">
        <v>0</v>
      </c>
      <c r="J1067" s="29">
        <v>0</v>
      </c>
      <c r="K1067" s="29">
        <v>0</v>
      </c>
      <c r="L1067" s="29">
        <v>0</v>
      </c>
      <c r="M1067" s="29">
        <v>0</v>
      </c>
      <c r="N1067" s="29">
        <v>0</v>
      </c>
      <c r="O1067" s="29">
        <v>0</v>
      </c>
    </row>
    <row r="1068" spans="1:15" x14ac:dyDescent="0.3">
      <c r="A1068" s="28" t="s">
        <v>575</v>
      </c>
      <c r="B1068" s="28" t="s">
        <v>576</v>
      </c>
      <c r="C1068" s="28" t="s">
        <v>560</v>
      </c>
      <c r="D1068" s="28" t="s">
        <v>618</v>
      </c>
      <c r="E1068" s="28" t="s">
        <v>596</v>
      </c>
      <c r="F1068" s="28" t="s">
        <v>598</v>
      </c>
      <c r="G1068" s="29">
        <v>156</v>
      </c>
      <c r="H1068" s="29">
        <v>1</v>
      </c>
      <c r="I1068" s="29">
        <v>0</v>
      </c>
      <c r="J1068" s="29">
        <v>0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</row>
    <row r="1069" spans="1:15" x14ac:dyDescent="0.3">
      <c r="A1069" s="28" t="s">
        <v>575</v>
      </c>
      <c r="B1069" s="28" t="s">
        <v>576</v>
      </c>
      <c r="C1069" s="28" t="s">
        <v>560</v>
      </c>
      <c r="D1069" s="28" t="s">
        <v>618</v>
      </c>
      <c r="E1069" s="28" t="s">
        <v>596</v>
      </c>
      <c r="F1069" s="28" t="s">
        <v>599</v>
      </c>
      <c r="G1069" s="29">
        <v>110</v>
      </c>
      <c r="H1069" s="29">
        <v>1</v>
      </c>
      <c r="I1069" s="29">
        <v>1</v>
      </c>
      <c r="J1069" s="29">
        <v>0</v>
      </c>
      <c r="K1069" s="29">
        <v>1</v>
      </c>
      <c r="L1069" s="29">
        <v>0</v>
      </c>
      <c r="M1069" s="29">
        <v>0</v>
      </c>
      <c r="N1069" s="29">
        <v>0</v>
      </c>
      <c r="O1069" s="29">
        <v>0</v>
      </c>
    </row>
    <row r="1070" spans="1:15" x14ac:dyDescent="0.3">
      <c r="A1070" s="28" t="s">
        <v>575</v>
      </c>
      <c r="B1070" s="28" t="s">
        <v>576</v>
      </c>
      <c r="C1070" s="28" t="s">
        <v>560</v>
      </c>
      <c r="D1070" s="28" t="s">
        <v>618</v>
      </c>
      <c r="E1070" s="28" t="s">
        <v>596</v>
      </c>
      <c r="F1070" s="28" t="s">
        <v>600</v>
      </c>
      <c r="G1070" s="29">
        <v>115</v>
      </c>
      <c r="H1070" s="29">
        <v>0</v>
      </c>
      <c r="I1070" s="29">
        <v>0</v>
      </c>
      <c r="J1070" s="29">
        <v>0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</row>
    <row r="1071" spans="1:15" x14ac:dyDescent="0.3">
      <c r="A1071" s="28" t="s">
        <v>575</v>
      </c>
      <c r="B1071" s="28" t="s">
        <v>576</v>
      </c>
      <c r="C1071" s="28" t="s">
        <v>560</v>
      </c>
      <c r="D1071" s="28" t="s">
        <v>618</v>
      </c>
      <c r="E1071" s="28" t="s">
        <v>596</v>
      </c>
      <c r="F1071" s="28" t="s">
        <v>601</v>
      </c>
      <c r="G1071" s="29">
        <v>231</v>
      </c>
      <c r="H1071" s="29">
        <v>1</v>
      </c>
      <c r="I1071" s="29">
        <v>0</v>
      </c>
      <c r="J1071" s="29">
        <v>0</v>
      </c>
      <c r="K1071" s="29">
        <v>0</v>
      </c>
      <c r="L1071" s="29">
        <v>0</v>
      </c>
      <c r="M1071" s="29">
        <v>0</v>
      </c>
      <c r="N1071" s="29">
        <v>0</v>
      </c>
      <c r="O1071" s="29">
        <v>0</v>
      </c>
    </row>
    <row r="1072" spans="1:15" x14ac:dyDescent="0.3">
      <c r="A1072" s="28" t="s">
        <v>575</v>
      </c>
      <c r="B1072" s="28" t="s">
        <v>576</v>
      </c>
      <c r="C1072" s="28" t="s">
        <v>560</v>
      </c>
      <c r="D1072" s="28" t="s">
        <v>618</v>
      </c>
      <c r="E1072" s="28" t="s">
        <v>596</v>
      </c>
      <c r="F1072" s="28" t="s">
        <v>602</v>
      </c>
      <c r="G1072" s="29">
        <v>709</v>
      </c>
      <c r="H1072" s="29">
        <v>0</v>
      </c>
      <c r="I1072" s="29">
        <v>0</v>
      </c>
      <c r="J1072" s="29">
        <v>0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</row>
    <row r="1073" spans="1:15" x14ac:dyDescent="0.3">
      <c r="A1073" s="28" t="s">
        <v>575</v>
      </c>
      <c r="B1073" s="28" t="s">
        <v>576</v>
      </c>
      <c r="C1073" s="28" t="s">
        <v>560</v>
      </c>
      <c r="D1073" s="28" t="s">
        <v>618</v>
      </c>
      <c r="E1073" s="28" t="s">
        <v>596</v>
      </c>
      <c r="F1073" s="28" t="s">
        <v>603</v>
      </c>
      <c r="G1073" s="29">
        <v>1795</v>
      </c>
      <c r="H1073" s="29">
        <v>4</v>
      </c>
      <c r="I1073" s="29">
        <v>2</v>
      </c>
      <c r="J1073" s="29">
        <v>1</v>
      </c>
      <c r="K1073" s="29">
        <v>1</v>
      </c>
      <c r="L1073" s="29">
        <v>0</v>
      </c>
      <c r="M1073" s="29">
        <v>0</v>
      </c>
      <c r="N1073" s="29">
        <v>0</v>
      </c>
      <c r="O1073" s="29">
        <v>0</v>
      </c>
    </row>
    <row r="1074" spans="1:15" x14ac:dyDescent="0.3">
      <c r="A1074" s="28" t="s">
        <v>575</v>
      </c>
      <c r="B1074" s="28" t="s">
        <v>576</v>
      </c>
      <c r="C1074" s="28" t="s">
        <v>560</v>
      </c>
      <c r="D1074" s="28" t="s">
        <v>618</v>
      </c>
      <c r="E1074" s="28" t="s">
        <v>596</v>
      </c>
      <c r="F1074" s="28" t="s">
        <v>604</v>
      </c>
      <c r="G1074" s="29">
        <v>3678</v>
      </c>
      <c r="H1074" s="29">
        <v>8</v>
      </c>
      <c r="I1074" s="29">
        <v>4</v>
      </c>
      <c r="J1074" s="29">
        <v>3</v>
      </c>
      <c r="K1074" s="29">
        <v>1</v>
      </c>
      <c r="L1074" s="29">
        <v>0</v>
      </c>
      <c r="M1074" s="29">
        <v>0</v>
      </c>
      <c r="N1074" s="29">
        <v>0</v>
      </c>
      <c r="O1074" s="29">
        <v>0</v>
      </c>
    </row>
    <row r="1075" spans="1:15" x14ac:dyDescent="0.3">
      <c r="A1075" s="28" t="s">
        <v>575</v>
      </c>
      <c r="B1075" s="28" t="s">
        <v>576</v>
      </c>
      <c r="C1075" s="28" t="s">
        <v>560</v>
      </c>
      <c r="D1075" s="28" t="s">
        <v>618</v>
      </c>
      <c r="E1075" s="28" t="s">
        <v>596</v>
      </c>
      <c r="F1075" s="28" t="s">
        <v>581</v>
      </c>
      <c r="G1075" s="29">
        <v>3577</v>
      </c>
      <c r="H1075" s="29">
        <v>7</v>
      </c>
      <c r="I1075" s="29">
        <v>4</v>
      </c>
      <c r="J1075" s="29">
        <v>3</v>
      </c>
      <c r="K1075" s="29">
        <v>1</v>
      </c>
      <c r="L1075" s="29">
        <v>0</v>
      </c>
      <c r="M1075" s="29">
        <v>0</v>
      </c>
      <c r="N1075" s="29">
        <v>0</v>
      </c>
      <c r="O1075" s="29">
        <v>0</v>
      </c>
    </row>
    <row r="1076" spans="1:15" x14ac:dyDescent="0.3">
      <c r="A1076" s="28" t="s">
        <v>575</v>
      </c>
      <c r="B1076" s="28" t="s">
        <v>576</v>
      </c>
      <c r="C1076" s="28" t="s">
        <v>560</v>
      </c>
      <c r="D1076" s="28" t="s">
        <v>618</v>
      </c>
      <c r="E1076" s="28" t="s">
        <v>596</v>
      </c>
      <c r="F1076" s="28" t="s">
        <v>582</v>
      </c>
      <c r="G1076" s="29">
        <v>3011</v>
      </c>
      <c r="H1076" s="29">
        <v>2</v>
      </c>
      <c r="I1076" s="29">
        <v>3</v>
      </c>
      <c r="J1076" s="29">
        <v>0</v>
      </c>
      <c r="K1076" s="29">
        <v>3</v>
      </c>
      <c r="L1076" s="29">
        <v>0</v>
      </c>
      <c r="M1076" s="29">
        <v>0</v>
      </c>
      <c r="N1076" s="29">
        <v>0</v>
      </c>
      <c r="O1076" s="29">
        <v>0</v>
      </c>
    </row>
    <row r="1077" spans="1:15" x14ac:dyDescent="0.3">
      <c r="A1077" s="28" t="s">
        <v>575</v>
      </c>
      <c r="B1077" s="28" t="s">
        <v>576</v>
      </c>
      <c r="C1077" s="28" t="s">
        <v>560</v>
      </c>
      <c r="D1077" s="28" t="s">
        <v>618</v>
      </c>
      <c r="E1077" s="28" t="s">
        <v>596</v>
      </c>
      <c r="F1077" s="28" t="s">
        <v>583</v>
      </c>
      <c r="G1077" s="29">
        <v>2918</v>
      </c>
      <c r="H1077" s="29">
        <v>10</v>
      </c>
      <c r="I1077" s="29">
        <v>6</v>
      </c>
      <c r="J1077" s="29">
        <v>1</v>
      </c>
      <c r="K1077" s="29">
        <v>5</v>
      </c>
      <c r="L1077" s="29">
        <v>0</v>
      </c>
      <c r="M1077" s="29">
        <v>0</v>
      </c>
      <c r="N1077" s="29">
        <v>0</v>
      </c>
      <c r="O1077" s="29">
        <v>0</v>
      </c>
    </row>
    <row r="1078" spans="1:15" x14ac:dyDescent="0.3">
      <c r="A1078" s="28" t="s">
        <v>575</v>
      </c>
      <c r="B1078" s="28" t="s">
        <v>576</v>
      </c>
      <c r="C1078" s="28" t="s">
        <v>560</v>
      </c>
      <c r="D1078" s="28" t="s">
        <v>618</v>
      </c>
      <c r="E1078" s="28" t="s">
        <v>596</v>
      </c>
      <c r="F1078" s="28" t="s">
        <v>584</v>
      </c>
      <c r="G1078" s="29">
        <v>2895</v>
      </c>
      <c r="H1078" s="29">
        <v>5</v>
      </c>
      <c r="I1078" s="29">
        <v>9</v>
      </c>
      <c r="J1078" s="29">
        <v>1</v>
      </c>
      <c r="K1078" s="29">
        <v>8</v>
      </c>
      <c r="L1078" s="29">
        <v>0</v>
      </c>
      <c r="M1078" s="29">
        <v>0</v>
      </c>
      <c r="N1078" s="29">
        <v>0</v>
      </c>
      <c r="O1078" s="29">
        <v>0</v>
      </c>
    </row>
    <row r="1079" spans="1:15" x14ac:dyDescent="0.3">
      <c r="A1079" s="28" t="s">
        <v>575</v>
      </c>
      <c r="B1079" s="28" t="s">
        <v>576</v>
      </c>
      <c r="C1079" s="28" t="s">
        <v>560</v>
      </c>
      <c r="D1079" s="28" t="s">
        <v>618</v>
      </c>
      <c r="E1079" s="28" t="s">
        <v>596</v>
      </c>
      <c r="F1079" s="28" t="s">
        <v>585</v>
      </c>
      <c r="G1079" s="29">
        <v>2887</v>
      </c>
      <c r="H1079" s="29">
        <v>8</v>
      </c>
      <c r="I1079" s="29">
        <v>1</v>
      </c>
      <c r="J1079" s="29">
        <v>1</v>
      </c>
      <c r="K1079" s="29">
        <v>0</v>
      </c>
      <c r="L1079" s="29">
        <v>0</v>
      </c>
      <c r="M1079" s="29">
        <v>0</v>
      </c>
      <c r="N1079" s="29">
        <v>0</v>
      </c>
      <c r="O1079" s="29">
        <v>0</v>
      </c>
    </row>
    <row r="1080" spans="1:15" x14ac:dyDescent="0.3">
      <c r="A1080" s="28" t="s">
        <v>575</v>
      </c>
      <c r="B1080" s="28" t="s">
        <v>576</v>
      </c>
      <c r="C1080" s="28" t="s">
        <v>560</v>
      </c>
      <c r="D1080" s="28" t="s">
        <v>618</v>
      </c>
      <c r="E1080" s="28" t="s">
        <v>596</v>
      </c>
      <c r="F1080" s="28" t="s">
        <v>586</v>
      </c>
      <c r="G1080" s="29">
        <v>2450</v>
      </c>
      <c r="H1080" s="29">
        <v>9</v>
      </c>
      <c r="I1080" s="29">
        <v>2</v>
      </c>
      <c r="J1080" s="29">
        <v>1</v>
      </c>
      <c r="K1080" s="29">
        <v>1</v>
      </c>
      <c r="L1080" s="29">
        <v>0</v>
      </c>
      <c r="M1080" s="29">
        <v>0</v>
      </c>
      <c r="N1080" s="29">
        <v>0</v>
      </c>
      <c r="O1080" s="29">
        <v>0</v>
      </c>
    </row>
    <row r="1081" spans="1:15" x14ac:dyDescent="0.3">
      <c r="A1081" s="28" t="s">
        <v>575</v>
      </c>
      <c r="B1081" s="28" t="s">
        <v>576</v>
      </c>
      <c r="C1081" s="28" t="s">
        <v>560</v>
      </c>
      <c r="D1081" s="28" t="s">
        <v>618</v>
      </c>
      <c r="E1081" s="28" t="s">
        <v>596</v>
      </c>
      <c r="F1081" s="28" t="s">
        <v>587</v>
      </c>
      <c r="G1081" s="29">
        <v>2208</v>
      </c>
      <c r="H1081" s="29">
        <v>7</v>
      </c>
      <c r="I1081" s="29">
        <v>6</v>
      </c>
      <c r="J1081" s="29">
        <v>0</v>
      </c>
      <c r="K1081" s="29">
        <v>6</v>
      </c>
      <c r="L1081" s="29">
        <v>1000</v>
      </c>
      <c r="M1081" s="29">
        <v>0</v>
      </c>
      <c r="N1081" s="29">
        <v>1000</v>
      </c>
      <c r="O1081" s="29">
        <v>0</v>
      </c>
    </row>
    <row r="1082" spans="1:15" x14ac:dyDescent="0.3">
      <c r="A1082" s="28" t="s">
        <v>575</v>
      </c>
      <c r="B1082" s="28" t="s">
        <v>576</v>
      </c>
      <c r="C1082" s="28" t="s">
        <v>560</v>
      </c>
      <c r="D1082" s="28" t="s">
        <v>618</v>
      </c>
      <c r="E1082" s="28" t="s">
        <v>596</v>
      </c>
      <c r="F1082" s="28" t="s">
        <v>579</v>
      </c>
      <c r="G1082" s="29">
        <v>2051</v>
      </c>
      <c r="H1082" s="29">
        <v>7</v>
      </c>
      <c r="I1082" s="29">
        <v>8</v>
      </c>
      <c r="J1082" s="29">
        <v>4</v>
      </c>
      <c r="K1082" s="29">
        <v>4</v>
      </c>
      <c r="L1082" s="29">
        <v>0</v>
      </c>
      <c r="M1082" s="29">
        <v>0</v>
      </c>
      <c r="N1082" s="29">
        <v>0</v>
      </c>
      <c r="O1082" s="29">
        <v>0</v>
      </c>
    </row>
    <row r="1083" spans="1:15" x14ac:dyDescent="0.3">
      <c r="A1083" s="28" t="s">
        <v>575</v>
      </c>
      <c r="B1083" s="28" t="s">
        <v>576</v>
      </c>
      <c r="C1083" s="28" t="s">
        <v>560</v>
      </c>
      <c r="D1083" s="28" t="s">
        <v>618</v>
      </c>
      <c r="E1083" s="28" t="s">
        <v>596</v>
      </c>
      <c r="F1083" s="28" t="s">
        <v>588</v>
      </c>
      <c r="G1083" s="29">
        <v>2023</v>
      </c>
      <c r="H1083" s="29">
        <v>5</v>
      </c>
      <c r="I1083" s="29">
        <v>4</v>
      </c>
      <c r="J1083" s="29">
        <v>0</v>
      </c>
      <c r="K1083" s="29">
        <v>4</v>
      </c>
      <c r="L1083" s="29">
        <v>0</v>
      </c>
      <c r="M1083" s="29">
        <v>0</v>
      </c>
      <c r="N1083" s="29">
        <v>0</v>
      </c>
      <c r="O1083" s="29">
        <v>0</v>
      </c>
    </row>
    <row r="1084" spans="1:15" x14ac:dyDescent="0.3">
      <c r="A1084" s="28" t="s">
        <v>575</v>
      </c>
      <c r="B1084" s="28" t="s">
        <v>576</v>
      </c>
      <c r="C1084" s="28" t="s">
        <v>560</v>
      </c>
      <c r="D1084" s="28" t="s">
        <v>618</v>
      </c>
      <c r="E1084" s="28" t="s">
        <v>596</v>
      </c>
      <c r="F1084" s="28" t="s">
        <v>589</v>
      </c>
      <c r="G1084" s="29">
        <v>1431</v>
      </c>
      <c r="H1084" s="29">
        <v>2</v>
      </c>
      <c r="I1084" s="29">
        <v>3</v>
      </c>
      <c r="J1084" s="29">
        <v>0</v>
      </c>
      <c r="K1084" s="29">
        <v>3</v>
      </c>
      <c r="L1084" s="29">
        <v>500</v>
      </c>
      <c r="M1084" s="29">
        <v>0</v>
      </c>
      <c r="N1084" s="29">
        <v>500</v>
      </c>
      <c r="O1084" s="29">
        <v>0</v>
      </c>
    </row>
    <row r="1085" spans="1:15" x14ac:dyDescent="0.3">
      <c r="A1085" s="28" t="s">
        <v>575</v>
      </c>
      <c r="B1085" s="28" t="s">
        <v>576</v>
      </c>
      <c r="C1085" s="28" t="s">
        <v>560</v>
      </c>
      <c r="D1085" s="28" t="s">
        <v>618</v>
      </c>
      <c r="E1085" s="28" t="s">
        <v>596</v>
      </c>
      <c r="F1085" s="28" t="s">
        <v>590</v>
      </c>
      <c r="G1085" s="29">
        <v>1322</v>
      </c>
      <c r="H1085" s="29">
        <v>0</v>
      </c>
      <c r="I1085" s="29">
        <v>0</v>
      </c>
      <c r="J1085" s="29">
        <v>0</v>
      </c>
      <c r="K1085" s="29">
        <v>0</v>
      </c>
      <c r="L1085" s="29">
        <v>0</v>
      </c>
      <c r="M1085" s="29">
        <v>0</v>
      </c>
      <c r="N1085" s="29">
        <v>0</v>
      </c>
      <c r="O1085" s="29">
        <v>0</v>
      </c>
    </row>
    <row r="1086" spans="1:15" x14ac:dyDescent="0.3">
      <c r="A1086" s="28" t="s">
        <v>575</v>
      </c>
      <c r="B1086" s="28" t="s">
        <v>576</v>
      </c>
      <c r="C1086" s="28" t="s">
        <v>560</v>
      </c>
      <c r="D1086" s="28" t="s">
        <v>618</v>
      </c>
      <c r="E1086" s="28" t="s">
        <v>596</v>
      </c>
      <c r="F1086" s="28" t="s">
        <v>591</v>
      </c>
      <c r="G1086" s="29">
        <v>1319</v>
      </c>
      <c r="H1086" s="29">
        <v>2</v>
      </c>
      <c r="I1086" s="29">
        <v>3</v>
      </c>
      <c r="J1086" s="29">
        <v>0</v>
      </c>
      <c r="K1086" s="29">
        <v>3</v>
      </c>
      <c r="L1086" s="29">
        <v>0</v>
      </c>
      <c r="M1086" s="29">
        <v>0</v>
      </c>
      <c r="N1086" s="29">
        <v>0</v>
      </c>
      <c r="O1086" s="29">
        <v>0</v>
      </c>
    </row>
    <row r="1087" spans="1:15" x14ac:dyDescent="0.3">
      <c r="A1087" s="28" t="s">
        <v>575</v>
      </c>
      <c r="B1087" s="28" t="s">
        <v>576</v>
      </c>
      <c r="C1087" s="28" t="s">
        <v>560</v>
      </c>
      <c r="D1087" s="28" t="s">
        <v>618</v>
      </c>
      <c r="E1087" s="28" t="s">
        <v>596</v>
      </c>
      <c r="F1087" s="28" t="s">
        <v>592</v>
      </c>
      <c r="G1087" s="29">
        <v>1177</v>
      </c>
      <c r="H1087" s="29">
        <v>4</v>
      </c>
      <c r="I1087" s="29">
        <v>1</v>
      </c>
      <c r="J1087" s="29">
        <v>1</v>
      </c>
      <c r="K1087" s="29">
        <v>0</v>
      </c>
      <c r="L1087" s="29">
        <v>0</v>
      </c>
      <c r="M1087" s="29">
        <v>0</v>
      </c>
      <c r="N1087" s="29">
        <v>0</v>
      </c>
      <c r="O1087" s="29">
        <v>0</v>
      </c>
    </row>
    <row r="1088" spans="1:15" x14ac:dyDescent="0.3">
      <c r="A1088" s="28" t="s">
        <v>575</v>
      </c>
      <c r="B1088" s="28" t="s">
        <v>576</v>
      </c>
      <c r="C1088" s="28" t="s">
        <v>560</v>
      </c>
      <c r="D1088" s="28" t="s">
        <v>618</v>
      </c>
      <c r="E1088" s="28" t="s">
        <v>596</v>
      </c>
      <c r="F1088" s="28" t="s">
        <v>593</v>
      </c>
      <c r="G1088" s="29">
        <v>832</v>
      </c>
      <c r="H1088" s="29">
        <v>4</v>
      </c>
      <c r="I1088" s="29">
        <v>0</v>
      </c>
      <c r="J1088" s="29">
        <v>0</v>
      </c>
      <c r="K1088" s="29">
        <v>0</v>
      </c>
      <c r="L1088" s="29">
        <v>0</v>
      </c>
      <c r="M1088" s="29">
        <v>0</v>
      </c>
      <c r="N1088" s="29">
        <v>0</v>
      </c>
      <c r="O1088" s="29">
        <v>0</v>
      </c>
    </row>
    <row r="1089" spans="1:15" x14ac:dyDescent="0.3">
      <c r="A1089" s="28" t="s">
        <v>575</v>
      </c>
      <c r="B1089" s="28" t="s">
        <v>576</v>
      </c>
      <c r="C1089" s="28" t="s">
        <v>560</v>
      </c>
      <c r="D1089" s="28" t="s">
        <v>618</v>
      </c>
      <c r="E1089" s="28" t="s">
        <v>596</v>
      </c>
      <c r="F1089" s="28" t="s">
        <v>594</v>
      </c>
      <c r="G1089" s="29">
        <v>638</v>
      </c>
      <c r="H1089" s="29">
        <v>1</v>
      </c>
      <c r="I1089" s="29">
        <v>0</v>
      </c>
      <c r="J1089" s="29">
        <v>0</v>
      </c>
      <c r="K1089" s="29">
        <v>0</v>
      </c>
      <c r="L1089" s="29">
        <v>0</v>
      </c>
      <c r="M1089" s="29">
        <v>0</v>
      </c>
      <c r="N1089" s="29">
        <v>0</v>
      </c>
      <c r="O1089" s="29">
        <v>0</v>
      </c>
    </row>
    <row r="1090" spans="1:15" x14ac:dyDescent="0.3">
      <c r="A1090" s="28" t="s">
        <v>575</v>
      </c>
      <c r="B1090" s="28" t="s">
        <v>576</v>
      </c>
      <c r="C1090" s="28" t="s">
        <v>560</v>
      </c>
      <c r="D1090" s="28" t="s">
        <v>618</v>
      </c>
      <c r="E1090" s="28" t="s">
        <v>596</v>
      </c>
      <c r="F1090" s="28" t="s">
        <v>595</v>
      </c>
      <c r="G1090" s="29">
        <v>314</v>
      </c>
      <c r="H1090" s="29">
        <v>1</v>
      </c>
      <c r="I1090" s="29">
        <v>0</v>
      </c>
      <c r="J1090" s="29">
        <v>0</v>
      </c>
      <c r="K1090" s="29">
        <v>0</v>
      </c>
      <c r="L1090" s="29">
        <v>0</v>
      </c>
      <c r="M1090" s="29">
        <v>0</v>
      </c>
      <c r="N1090" s="29">
        <v>0</v>
      </c>
      <c r="O1090" s="29">
        <v>0</v>
      </c>
    </row>
    <row r="1091" spans="1:15" x14ac:dyDescent="0.3">
      <c r="A1091" s="28" t="s">
        <v>575</v>
      </c>
      <c r="B1091" s="28" t="s">
        <v>576</v>
      </c>
      <c r="C1091" s="28" t="s">
        <v>560</v>
      </c>
      <c r="D1091" s="28" t="s">
        <v>618</v>
      </c>
      <c r="E1091" s="28" t="s">
        <v>605</v>
      </c>
      <c r="F1091" s="28" t="s">
        <v>597</v>
      </c>
      <c r="G1091" s="29">
        <v>176</v>
      </c>
      <c r="H1091" s="29">
        <v>0</v>
      </c>
      <c r="I1091" s="29">
        <v>0</v>
      </c>
      <c r="J1091" s="29">
        <v>0</v>
      </c>
      <c r="K1091" s="29">
        <v>0</v>
      </c>
      <c r="L1091" s="29">
        <v>0</v>
      </c>
      <c r="M1091" s="29">
        <v>0</v>
      </c>
      <c r="N1091" s="29">
        <v>0</v>
      </c>
      <c r="O1091" s="29">
        <v>0</v>
      </c>
    </row>
    <row r="1092" spans="1:15" x14ac:dyDescent="0.3">
      <c r="A1092" s="28" t="s">
        <v>575</v>
      </c>
      <c r="B1092" s="28" t="s">
        <v>576</v>
      </c>
      <c r="C1092" s="28" t="s">
        <v>560</v>
      </c>
      <c r="D1092" s="28" t="s">
        <v>618</v>
      </c>
      <c r="E1092" s="28" t="s">
        <v>605</v>
      </c>
      <c r="F1092" s="28" t="s">
        <v>598</v>
      </c>
      <c r="G1092" s="29">
        <v>105</v>
      </c>
      <c r="H1092" s="29">
        <v>0</v>
      </c>
      <c r="I1092" s="29">
        <v>0</v>
      </c>
      <c r="J1092" s="29">
        <v>0</v>
      </c>
      <c r="K1092" s="29">
        <v>0</v>
      </c>
      <c r="L1092" s="29">
        <v>0</v>
      </c>
      <c r="M1092" s="29">
        <v>0</v>
      </c>
      <c r="N1092" s="29">
        <v>0</v>
      </c>
      <c r="O1092" s="29">
        <v>0</v>
      </c>
    </row>
    <row r="1093" spans="1:15" x14ac:dyDescent="0.3">
      <c r="A1093" s="28" t="s">
        <v>575</v>
      </c>
      <c r="B1093" s="28" t="s">
        <v>576</v>
      </c>
      <c r="C1093" s="28" t="s">
        <v>560</v>
      </c>
      <c r="D1093" s="28" t="s">
        <v>618</v>
      </c>
      <c r="E1093" s="28" t="s">
        <v>605</v>
      </c>
      <c r="F1093" s="28" t="s">
        <v>599</v>
      </c>
      <c r="G1093" s="29">
        <v>81</v>
      </c>
      <c r="H1093" s="29">
        <v>0</v>
      </c>
      <c r="I1093" s="29">
        <v>0</v>
      </c>
      <c r="J1093" s="29">
        <v>0</v>
      </c>
      <c r="K1093" s="29">
        <v>0</v>
      </c>
      <c r="L1093" s="29">
        <v>0</v>
      </c>
      <c r="M1093" s="29">
        <v>0</v>
      </c>
      <c r="N1093" s="29">
        <v>0</v>
      </c>
      <c r="O1093" s="29">
        <v>0</v>
      </c>
    </row>
    <row r="1094" spans="1:15" x14ac:dyDescent="0.3">
      <c r="A1094" s="28" t="s">
        <v>575</v>
      </c>
      <c r="B1094" s="28" t="s">
        <v>576</v>
      </c>
      <c r="C1094" s="28" t="s">
        <v>560</v>
      </c>
      <c r="D1094" s="28" t="s">
        <v>618</v>
      </c>
      <c r="E1094" s="28" t="s">
        <v>605</v>
      </c>
      <c r="F1094" s="28" t="s">
        <v>600</v>
      </c>
      <c r="G1094" s="29">
        <v>87</v>
      </c>
      <c r="H1094" s="29">
        <v>1</v>
      </c>
      <c r="I1094" s="29">
        <v>0</v>
      </c>
      <c r="J1094" s="29">
        <v>0</v>
      </c>
      <c r="K1094" s="29">
        <v>0</v>
      </c>
      <c r="L1094" s="29">
        <v>0</v>
      </c>
      <c r="M1094" s="29">
        <v>0</v>
      </c>
      <c r="N1094" s="29">
        <v>0</v>
      </c>
      <c r="O1094" s="29">
        <v>0</v>
      </c>
    </row>
    <row r="1095" spans="1:15" x14ac:dyDescent="0.3">
      <c r="A1095" s="28" t="s">
        <v>575</v>
      </c>
      <c r="B1095" s="28" t="s">
        <v>576</v>
      </c>
      <c r="C1095" s="28" t="s">
        <v>560</v>
      </c>
      <c r="D1095" s="28" t="s">
        <v>618</v>
      </c>
      <c r="E1095" s="28" t="s">
        <v>605</v>
      </c>
      <c r="F1095" s="28" t="s">
        <v>601</v>
      </c>
      <c r="G1095" s="29">
        <v>177</v>
      </c>
      <c r="H1095" s="29">
        <v>0</v>
      </c>
      <c r="I1095" s="29">
        <v>0</v>
      </c>
      <c r="J1095" s="29">
        <v>0</v>
      </c>
      <c r="K1095" s="29">
        <v>0</v>
      </c>
      <c r="L1095" s="29">
        <v>0</v>
      </c>
      <c r="M1095" s="29">
        <v>0</v>
      </c>
      <c r="N1095" s="29">
        <v>0</v>
      </c>
      <c r="O1095" s="29">
        <v>0</v>
      </c>
    </row>
    <row r="1096" spans="1:15" x14ac:dyDescent="0.3">
      <c r="A1096" s="28" t="s">
        <v>575</v>
      </c>
      <c r="B1096" s="28" t="s">
        <v>576</v>
      </c>
      <c r="C1096" s="28" t="s">
        <v>560</v>
      </c>
      <c r="D1096" s="28" t="s">
        <v>618</v>
      </c>
      <c r="E1096" s="28" t="s">
        <v>605</v>
      </c>
      <c r="F1096" s="28" t="s">
        <v>602</v>
      </c>
      <c r="G1096" s="29">
        <v>458</v>
      </c>
      <c r="H1096" s="29">
        <v>0</v>
      </c>
      <c r="I1096" s="29">
        <v>0</v>
      </c>
      <c r="J1096" s="29">
        <v>0</v>
      </c>
      <c r="K1096" s="29">
        <v>0</v>
      </c>
      <c r="L1096" s="29">
        <v>0</v>
      </c>
      <c r="M1096" s="29">
        <v>0</v>
      </c>
      <c r="N1096" s="29">
        <v>0</v>
      </c>
      <c r="O1096" s="29">
        <v>0</v>
      </c>
    </row>
    <row r="1097" spans="1:15" x14ac:dyDescent="0.3">
      <c r="A1097" s="28" t="s">
        <v>575</v>
      </c>
      <c r="B1097" s="28" t="s">
        <v>576</v>
      </c>
      <c r="C1097" s="28" t="s">
        <v>560</v>
      </c>
      <c r="D1097" s="28" t="s">
        <v>618</v>
      </c>
      <c r="E1097" s="28" t="s">
        <v>605</v>
      </c>
      <c r="F1097" s="28" t="s">
        <v>603</v>
      </c>
      <c r="G1097" s="29">
        <v>1117</v>
      </c>
      <c r="H1097" s="29">
        <v>0</v>
      </c>
      <c r="I1097" s="29">
        <v>3</v>
      </c>
      <c r="J1097" s="29">
        <v>0</v>
      </c>
      <c r="K1097" s="29">
        <v>3</v>
      </c>
      <c r="L1097" s="29">
        <v>0</v>
      </c>
      <c r="M1097" s="29">
        <v>0</v>
      </c>
      <c r="N1097" s="29">
        <v>0</v>
      </c>
      <c r="O1097" s="29">
        <v>0</v>
      </c>
    </row>
    <row r="1098" spans="1:15" x14ac:dyDescent="0.3">
      <c r="A1098" s="28" t="s">
        <v>575</v>
      </c>
      <c r="B1098" s="28" t="s">
        <v>576</v>
      </c>
      <c r="C1098" s="28" t="s">
        <v>560</v>
      </c>
      <c r="D1098" s="28" t="s">
        <v>618</v>
      </c>
      <c r="E1098" s="28" t="s">
        <v>605</v>
      </c>
      <c r="F1098" s="28" t="s">
        <v>604</v>
      </c>
      <c r="G1098" s="29">
        <v>2125</v>
      </c>
      <c r="H1098" s="29">
        <v>5</v>
      </c>
      <c r="I1098" s="29">
        <v>10</v>
      </c>
      <c r="J1098" s="29">
        <v>4</v>
      </c>
      <c r="K1098" s="29">
        <v>6</v>
      </c>
      <c r="L1098" s="29">
        <v>0</v>
      </c>
      <c r="M1098" s="29">
        <v>0</v>
      </c>
      <c r="N1098" s="29">
        <v>0</v>
      </c>
      <c r="O1098" s="29">
        <v>0</v>
      </c>
    </row>
    <row r="1099" spans="1:15" x14ac:dyDescent="0.3">
      <c r="A1099" s="28" t="s">
        <v>575</v>
      </c>
      <c r="B1099" s="28" t="s">
        <v>576</v>
      </c>
      <c r="C1099" s="28" t="s">
        <v>560</v>
      </c>
      <c r="D1099" s="28" t="s">
        <v>618</v>
      </c>
      <c r="E1099" s="28" t="s">
        <v>605</v>
      </c>
      <c r="F1099" s="28" t="s">
        <v>581</v>
      </c>
      <c r="G1099" s="29">
        <v>1927</v>
      </c>
      <c r="H1099" s="29">
        <v>0</v>
      </c>
      <c r="I1099" s="29">
        <v>21</v>
      </c>
      <c r="J1099" s="29">
        <v>7</v>
      </c>
      <c r="K1099" s="29">
        <v>14</v>
      </c>
      <c r="L1099" s="29">
        <v>0</v>
      </c>
      <c r="M1099" s="29">
        <v>0</v>
      </c>
      <c r="N1099" s="29">
        <v>0</v>
      </c>
      <c r="O1099" s="29">
        <v>0</v>
      </c>
    </row>
    <row r="1100" spans="1:15" x14ac:dyDescent="0.3">
      <c r="A1100" s="28" t="s">
        <v>575</v>
      </c>
      <c r="B1100" s="28" t="s">
        <v>576</v>
      </c>
      <c r="C1100" s="28" t="s">
        <v>560</v>
      </c>
      <c r="D1100" s="28" t="s">
        <v>618</v>
      </c>
      <c r="E1100" s="28" t="s">
        <v>605</v>
      </c>
      <c r="F1100" s="28" t="s">
        <v>582</v>
      </c>
      <c r="G1100" s="29">
        <v>1523</v>
      </c>
      <c r="H1100" s="29">
        <v>0</v>
      </c>
      <c r="I1100" s="29">
        <v>5</v>
      </c>
      <c r="J1100" s="29">
        <v>0</v>
      </c>
      <c r="K1100" s="29">
        <v>5</v>
      </c>
      <c r="L1100" s="29">
        <v>0</v>
      </c>
      <c r="M1100" s="29">
        <v>0</v>
      </c>
      <c r="N1100" s="29">
        <v>0</v>
      </c>
      <c r="O1100" s="29">
        <v>0</v>
      </c>
    </row>
    <row r="1101" spans="1:15" x14ac:dyDescent="0.3">
      <c r="A1101" s="28" t="s">
        <v>575</v>
      </c>
      <c r="B1101" s="28" t="s">
        <v>576</v>
      </c>
      <c r="C1101" s="28" t="s">
        <v>560</v>
      </c>
      <c r="D1101" s="28" t="s">
        <v>618</v>
      </c>
      <c r="E1101" s="28" t="s">
        <v>605</v>
      </c>
      <c r="F1101" s="28" t="s">
        <v>583</v>
      </c>
      <c r="G1101" s="29">
        <v>1851</v>
      </c>
      <c r="H1101" s="29">
        <v>1</v>
      </c>
      <c r="I1101" s="29">
        <v>13</v>
      </c>
      <c r="J1101" s="29">
        <v>0</v>
      </c>
      <c r="K1101" s="29">
        <v>13</v>
      </c>
      <c r="L1101" s="29">
        <v>0</v>
      </c>
      <c r="M1101" s="29">
        <v>0</v>
      </c>
      <c r="N1101" s="29">
        <v>0</v>
      </c>
      <c r="O1101" s="29">
        <v>0</v>
      </c>
    </row>
    <row r="1102" spans="1:15" x14ac:dyDescent="0.3">
      <c r="A1102" s="28" t="s">
        <v>575</v>
      </c>
      <c r="B1102" s="28" t="s">
        <v>576</v>
      </c>
      <c r="C1102" s="28" t="s">
        <v>560</v>
      </c>
      <c r="D1102" s="28" t="s">
        <v>618</v>
      </c>
      <c r="E1102" s="28" t="s">
        <v>605</v>
      </c>
      <c r="F1102" s="28" t="s">
        <v>584</v>
      </c>
      <c r="G1102" s="29">
        <v>2264</v>
      </c>
      <c r="H1102" s="29">
        <v>2</v>
      </c>
      <c r="I1102" s="29">
        <v>8</v>
      </c>
      <c r="J1102" s="29">
        <v>0</v>
      </c>
      <c r="K1102" s="29">
        <v>8</v>
      </c>
      <c r="L1102" s="29">
        <v>1000</v>
      </c>
      <c r="M1102" s="29">
        <v>0</v>
      </c>
      <c r="N1102" s="29">
        <v>1000</v>
      </c>
      <c r="O1102" s="29">
        <v>0</v>
      </c>
    </row>
    <row r="1103" spans="1:15" x14ac:dyDescent="0.3">
      <c r="A1103" s="28" t="s">
        <v>575</v>
      </c>
      <c r="B1103" s="28" t="s">
        <v>576</v>
      </c>
      <c r="C1103" s="28" t="s">
        <v>560</v>
      </c>
      <c r="D1103" s="28" t="s">
        <v>618</v>
      </c>
      <c r="E1103" s="28" t="s">
        <v>605</v>
      </c>
      <c r="F1103" s="28" t="s">
        <v>585</v>
      </c>
      <c r="G1103" s="29">
        <v>2282</v>
      </c>
      <c r="H1103" s="29">
        <v>3</v>
      </c>
      <c r="I1103" s="29">
        <v>10</v>
      </c>
      <c r="J1103" s="29">
        <v>0</v>
      </c>
      <c r="K1103" s="29">
        <v>10</v>
      </c>
      <c r="L1103" s="29">
        <v>550</v>
      </c>
      <c r="M1103" s="29">
        <v>0</v>
      </c>
      <c r="N1103" s="29">
        <v>550</v>
      </c>
      <c r="O1103" s="29">
        <v>0</v>
      </c>
    </row>
    <row r="1104" spans="1:15" x14ac:dyDescent="0.3">
      <c r="A1104" s="28" t="s">
        <v>575</v>
      </c>
      <c r="B1104" s="28" t="s">
        <v>576</v>
      </c>
      <c r="C1104" s="28" t="s">
        <v>560</v>
      </c>
      <c r="D1104" s="28" t="s">
        <v>618</v>
      </c>
      <c r="E1104" s="28" t="s">
        <v>605</v>
      </c>
      <c r="F1104" s="28" t="s">
        <v>586</v>
      </c>
      <c r="G1104" s="29">
        <v>1800</v>
      </c>
      <c r="H1104" s="29">
        <v>2</v>
      </c>
      <c r="I1104" s="29">
        <v>6</v>
      </c>
      <c r="J1104" s="29">
        <v>2</v>
      </c>
      <c r="K1104" s="29">
        <v>4</v>
      </c>
      <c r="L1104" s="29">
        <v>0</v>
      </c>
      <c r="M1104" s="29">
        <v>0</v>
      </c>
      <c r="N1104" s="29">
        <v>0</v>
      </c>
      <c r="O1104" s="29">
        <v>0</v>
      </c>
    </row>
    <row r="1105" spans="1:15" x14ac:dyDescent="0.3">
      <c r="A1105" s="28" t="s">
        <v>575</v>
      </c>
      <c r="B1105" s="28" t="s">
        <v>576</v>
      </c>
      <c r="C1105" s="28" t="s">
        <v>560</v>
      </c>
      <c r="D1105" s="28" t="s">
        <v>618</v>
      </c>
      <c r="E1105" s="28" t="s">
        <v>605</v>
      </c>
      <c r="F1105" s="28" t="s">
        <v>587</v>
      </c>
      <c r="G1105" s="29">
        <v>1502</v>
      </c>
      <c r="H1105" s="29">
        <v>1</v>
      </c>
      <c r="I1105" s="29">
        <v>13</v>
      </c>
      <c r="J1105" s="29">
        <v>2</v>
      </c>
      <c r="K1105" s="29">
        <v>11</v>
      </c>
      <c r="L1105" s="29">
        <v>100</v>
      </c>
      <c r="M1105" s="29">
        <v>0</v>
      </c>
      <c r="N1105" s="29">
        <v>100</v>
      </c>
      <c r="O1105" s="29">
        <v>0</v>
      </c>
    </row>
    <row r="1106" spans="1:15" x14ac:dyDescent="0.3">
      <c r="A1106" s="28" t="s">
        <v>575</v>
      </c>
      <c r="B1106" s="28" t="s">
        <v>576</v>
      </c>
      <c r="C1106" s="28" t="s">
        <v>560</v>
      </c>
      <c r="D1106" s="28" t="s">
        <v>618</v>
      </c>
      <c r="E1106" s="28" t="s">
        <v>605</v>
      </c>
      <c r="F1106" s="28" t="s">
        <v>579</v>
      </c>
      <c r="G1106" s="29">
        <v>1533</v>
      </c>
      <c r="H1106" s="29">
        <v>1</v>
      </c>
      <c r="I1106" s="29">
        <v>2</v>
      </c>
      <c r="J1106" s="29">
        <v>0</v>
      </c>
      <c r="K1106" s="29">
        <v>2</v>
      </c>
      <c r="L1106" s="29">
        <v>500</v>
      </c>
      <c r="M1106" s="29">
        <v>0</v>
      </c>
      <c r="N1106" s="29">
        <v>500</v>
      </c>
      <c r="O1106" s="29">
        <v>0</v>
      </c>
    </row>
    <row r="1107" spans="1:15" x14ac:dyDescent="0.3">
      <c r="A1107" s="28" t="s">
        <v>575</v>
      </c>
      <c r="B1107" s="28" t="s">
        <v>576</v>
      </c>
      <c r="C1107" s="28" t="s">
        <v>560</v>
      </c>
      <c r="D1107" s="28" t="s">
        <v>618</v>
      </c>
      <c r="E1107" s="28" t="s">
        <v>605</v>
      </c>
      <c r="F1107" s="28" t="s">
        <v>588</v>
      </c>
      <c r="G1107" s="29">
        <v>1415</v>
      </c>
      <c r="H1107" s="29">
        <v>4</v>
      </c>
      <c r="I1107" s="29">
        <v>3</v>
      </c>
      <c r="J1107" s="29">
        <v>1</v>
      </c>
      <c r="K1107" s="29">
        <v>2</v>
      </c>
      <c r="L1107" s="29">
        <v>0</v>
      </c>
      <c r="M1107" s="29">
        <v>0</v>
      </c>
      <c r="N1107" s="29">
        <v>0</v>
      </c>
      <c r="O1107" s="29">
        <v>0</v>
      </c>
    </row>
    <row r="1108" spans="1:15" x14ac:dyDescent="0.3">
      <c r="A1108" s="28" t="s">
        <v>575</v>
      </c>
      <c r="B1108" s="28" t="s">
        <v>576</v>
      </c>
      <c r="C1108" s="28" t="s">
        <v>560</v>
      </c>
      <c r="D1108" s="28" t="s">
        <v>618</v>
      </c>
      <c r="E1108" s="28" t="s">
        <v>605</v>
      </c>
      <c r="F1108" s="28" t="s">
        <v>589</v>
      </c>
      <c r="G1108" s="29">
        <v>992</v>
      </c>
      <c r="H1108" s="29">
        <v>2</v>
      </c>
      <c r="I1108" s="29">
        <v>4</v>
      </c>
      <c r="J1108" s="29">
        <v>2</v>
      </c>
      <c r="K1108" s="29">
        <v>2</v>
      </c>
      <c r="L1108" s="29">
        <v>500</v>
      </c>
      <c r="M1108" s="29">
        <v>0</v>
      </c>
      <c r="N1108" s="29">
        <v>500</v>
      </c>
      <c r="O1108" s="29">
        <v>0</v>
      </c>
    </row>
    <row r="1109" spans="1:15" x14ac:dyDescent="0.3">
      <c r="A1109" s="28" t="s">
        <v>575</v>
      </c>
      <c r="B1109" s="28" t="s">
        <v>576</v>
      </c>
      <c r="C1109" s="28" t="s">
        <v>560</v>
      </c>
      <c r="D1109" s="28" t="s">
        <v>618</v>
      </c>
      <c r="E1109" s="28" t="s">
        <v>605</v>
      </c>
      <c r="F1109" s="28" t="s">
        <v>590</v>
      </c>
      <c r="G1109" s="29">
        <v>932</v>
      </c>
      <c r="H1109" s="29">
        <v>3</v>
      </c>
      <c r="I1109" s="29">
        <v>3</v>
      </c>
      <c r="J1109" s="29">
        <v>1</v>
      </c>
      <c r="K1109" s="29">
        <v>2</v>
      </c>
      <c r="L1109" s="29">
        <v>0</v>
      </c>
      <c r="M1109" s="29">
        <v>0</v>
      </c>
      <c r="N1109" s="29">
        <v>0</v>
      </c>
      <c r="O1109" s="29">
        <v>0</v>
      </c>
    </row>
    <row r="1110" spans="1:15" x14ac:dyDescent="0.3">
      <c r="A1110" s="28" t="s">
        <v>575</v>
      </c>
      <c r="B1110" s="28" t="s">
        <v>576</v>
      </c>
      <c r="C1110" s="28" t="s">
        <v>560</v>
      </c>
      <c r="D1110" s="28" t="s">
        <v>618</v>
      </c>
      <c r="E1110" s="28" t="s">
        <v>605</v>
      </c>
      <c r="F1110" s="28" t="s">
        <v>591</v>
      </c>
      <c r="G1110" s="29">
        <v>885</v>
      </c>
      <c r="H1110" s="29">
        <v>5</v>
      </c>
      <c r="I1110" s="29">
        <v>2</v>
      </c>
      <c r="J1110" s="29">
        <v>1</v>
      </c>
      <c r="K1110" s="29">
        <v>1</v>
      </c>
      <c r="L1110" s="29">
        <v>0</v>
      </c>
      <c r="M1110" s="29">
        <v>0</v>
      </c>
      <c r="N1110" s="29">
        <v>0</v>
      </c>
      <c r="O1110" s="29">
        <v>0</v>
      </c>
    </row>
    <row r="1111" spans="1:15" x14ac:dyDescent="0.3">
      <c r="A1111" s="28" t="s">
        <v>575</v>
      </c>
      <c r="B1111" s="28" t="s">
        <v>576</v>
      </c>
      <c r="C1111" s="28" t="s">
        <v>560</v>
      </c>
      <c r="D1111" s="28" t="s">
        <v>618</v>
      </c>
      <c r="E1111" s="28" t="s">
        <v>605</v>
      </c>
      <c r="F1111" s="28" t="s">
        <v>592</v>
      </c>
      <c r="G1111" s="29">
        <v>826</v>
      </c>
      <c r="H1111" s="29">
        <v>0</v>
      </c>
      <c r="I1111" s="29">
        <v>1</v>
      </c>
      <c r="J1111" s="29">
        <v>0</v>
      </c>
      <c r="K1111" s="29">
        <v>1</v>
      </c>
      <c r="L1111" s="29">
        <v>0</v>
      </c>
      <c r="M1111" s="29">
        <v>0</v>
      </c>
      <c r="N1111" s="29">
        <v>0</v>
      </c>
      <c r="O1111" s="29">
        <v>0</v>
      </c>
    </row>
    <row r="1112" spans="1:15" x14ac:dyDescent="0.3">
      <c r="A1112" s="28" t="s">
        <v>575</v>
      </c>
      <c r="B1112" s="28" t="s">
        <v>576</v>
      </c>
      <c r="C1112" s="28" t="s">
        <v>560</v>
      </c>
      <c r="D1112" s="28" t="s">
        <v>618</v>
      </c>
      <c r="E1112" s="28" t="s">
        <v>605</v>
      </c>
      <c r="F1112" s="28" t="s">
        <v>593</v>
      </c>
      <c r="G1112" s="29">
        <v>349</v>
      </c>
      <c r="H1112" s="29">
        <v>3</v>
      </c>
      <c r="I1112" s="29">
        <v>3</v>
      </c>
      <c r="J1112" s="29">
        <v>0</v>
      </c>
      <c r="K1112" s="29">
        <v>3</v>
      </c>
      <c r="L1112" s="29">
        <v>500</v>
      </c>
      <c r="M1112" s="29">
        <v>0</v>
      </c>
      <c r="N1112" s="29">
        <v>500</v>
      </c>
      <c r="O1112" s="29">
        <v>0</v>
      </c>
    </row>
    <row r="1113" spans="1:15" x14ac:dyDescent="0.3">
      <c r="A1113" s="28" t="s">
        <v>575</v>
      </c>
      <c r="B1113" s="28" t="s">
        <v>576</v>
      </c>
      <c r="C1113" s="28" t="s">
        <v>560</v>
      </c>
      <c r="D1113" s="28" t="s">
        <v>618</v>
      </c>
      <c r="E1113" s="28" t="s">
        <v>605</v>
      </c>
      <c r="F1113" s="28" t="s">
        <v>594</v>
      </c>
      <c r="G1113" s="29">
        <v>450</v>
      </c>
      <c r="H1113" s="29">
        <v>1</v>
      </c>
      <c r="I1113" s="29">
        <v>0</v>
      </c>
      <c r="J1113" s="29">
        <v>0</v>
      </c>
      <c r="K1113" s="29">
        <v>0</v>
      </c>
      <c r="L1113" s="29">
        <v>0</v>
      </c>
      <c r="M1113" s="29">
        <v>0</v>
      </c>
      <c r="N1113" s="29">
        <v>0</v>
      </c>
      <c r="O1113" s="29">
        <v>0</v>
      </c>
    </row>
    <row r="1114" spans="1:15" x14ac:dyDescent="0.3">
      <c r="A1114" s="28" t="s">
        <v>575</v>
      </c>
      <c r="B1114" s="28" t="s">
        <v>576</v>
      </c>
      <c r="C1114" s="28" t="s">
        <v>560</v>
      </c>
      <c r="D1114" s="28" t="s">
        <v>618</v>
      </c>
      <c r="E1114" s="28" t="s">
        <v>605</v>
      </c>
      <c r="F1114" s="28" t="s">
        <v>595</v>
      </c>
      <c r="G1114" s="29">
        <v>284</v>
      </c>
      <c r="H1114" s="29">
        <v>2</v>
      </c>
      <c r="I1114" s="29">
        <v>0</v>
      </c>
      <c r="J1114" s="29">
        <v>0</v>
      </c>
      <c r="K1114" s="29">
        <v>0</v>
      </c>
      <c r="L1114" s="29">
        <v>0</v>
      </c>
      <c r="M1114" s="29">
        <v>0</v>
      </c>
      <c r="N1114" s="29">
        <v>0</v>
      </c>
      <c r="O1114" s="29">
        <v>0</v>
      </c>
    </row>
    <row r="1115" spans="1:15" x14ac:dyDescent="0.3">
      <c r="A1115" s="28" t="s">
        <v>575</v>
      </c>
      <c r="B1115" s="28" t="s">
        <v>576</v>
      </c>
      <c r="C1115" s="28" t="s">
        <v>560</v>
      </c>
      <c r="D1115" s="28" t="s">
        <v>618</v>
      </c>
      <c r="E1115" s="28" t="s">
        <v>606</v>
      </c>
      <c r="F1115" s="28" t="s">
        <v>597</v>
      </c>
      <c r="G1115" s="29">
        <v>155</v>
      </c>
      <c r="H1115" s="29">
        <v>0</v>
      </c>
      <c r="I1115" s="29">
        <v>0</v>
      </c>
      <c r="J1115" s="29">
        <v>0</v>
      </c>
      <c r="K1115" s="29">
        <v>0</v>
      </c>
      <c r="L1115" s="29">
        <v>0</v>
      </c>
      <c r="M1115" s="29">
        <v>0</v>
      </c>
      <c r="N1115" s="29">
        <v>0</v>
      </c>
      <c r="O1115" s="29">
        <v>0</v>
      </c>
    </row>
    <row r="1116" spans="1:15" x14ac:dyDescent="0.3">
      <c r="A1116" s="28" t="s">
        <v>575</v>
      </c>
      <c r="B1116" s="28" t="s">
        <v>576</v>
      </c>
      <c r="C1116" s="28" t="s">
        <v>560</v>
      </c>
      <c r="D1116" s="28" t="s">
        <v>618</v>
      </c>
      <c r="E1116" s="28" t="s">
        <v>606</v>
      </c>
      <c r="F1116" s="28" t="s">
        <v>598</v>
      </c>
      <c r="G1116" s="29">
        <v>76</v>
      </c>
      <c r="H1116" s="29">
        <v>0</v>
      </c>
      <c r="I1116" s="29">
        <v>0</v>
      </c>
      <c r="J1116" s="29">
        <v>0</v>
      </c>
      <c r="K1116" s="29">
        <v>0</v>
      </c>
      <c r="L1116" s="29">
        <v>0</v>
      </c>
      <c r="M1116" s="29">
        <v>0</v>
      </c>
      <c r="N1116" s="29">
        <v>0</v>
      </c>
      <c r="O1116" s="29">
        <v>0</v>
      </c>
    </row>
    <row r="1117" spans="1:15" x14ac:dyDescent="0.3">
      <c r="A1117" s="28" t="s">
        <v>575</v>
      </c>
      <c r="B1117" s="28" t="s">
        <v>576</v>
      </c>
      <c r="C1117" s="28" t="s">
        <v>560</v>
      </c>
      <c r="D1117" s="28" t="s">
        <v>618</v>
      </c>
      <c r="E1117" s="28" t="s">
        <v>606</v>
      </c>
      <c r="F1117" s="28" t="s">
        <v>599</v>
      </c>
      <c r="G1117" s="29">
        <v>74</v>
      </c>
      <c r="H1117" s="29">
        <v>0</v>
      </c>
      <c r="I1117" s="29">
        <v>0</v>
      </c>
      <c r="J1117" s="29">
        <v>0</v>
      </c>
      <c r="K1117" s="29">
        <v>0</v>
      </c>
      <c r="L1117" s="29">
        <v>0</v>
      </c>
      <c r="M1117" s="29">
        <v>0</v>
      </c>
      <c r="N1117" s="29">
        <v>0</v>
      </c>
      <c r="O1117" s="29">
        <v>0</v>
      </c>
    </row>
    <row r="1118" spans="1:15" x14ac:dyDescent="0.3">
      <c r="A1118" s="28" t="s">
        <v>575</v>
      </c>
      <c r="B1118" s="28" t="s">
        <v>576</v>
      </c>
      <c r="C1118" s="28" t="s">
        <v>560</v>
      </c>
      <c r="D1118" s="28" t="s">
        <v>618</v>
      </c>
      <c r="E1118" s="28" t="s">
        <v>606</v>
      </c>
      <c r="F1118" s="28" t="s">
        <v>600</v>
      </c>
      <c r="G1118" s="29">
        <v>78</v>
      </c>
      <c r="H1118" s="29">
        <v>0</v>
      </c>
      <c r="I1118" s="29">
        <v>0</v>
      </c>
      <c r="J1118" s="29">
        <v>0</v>
      </c>
      <c r="K1118" s="29">
        <v>0</v>
      </c>
      <c r="L1118" s="29">
        <v>0</v>
      </c>
      <c r="M1118" s="29">
        <v>0</v>
      </c>
      <c r="N1118" s="29">
        <v>0</v>
      </c>
      <c r="O1118" s="29">
        <v>0</v>
      </c>
    </row>
    <row r="1119" spans="1:15" x14ac:dyDescent="0.3">
      <c r="A1119" s="28" t="s">
        <v>575</v>
      </c>
      <c r="B1119" s="28" t="s">
        <v>576</v>
      </c>
      <c r="C1119" s="28" t="s">
        <v>560</v>
      </c>
      <c r="D1119" s="28" t="s">
        <v>618</v>
      </c>
      <c r="E1119" s="28" t="s">
        <v>606</v>
      </c>
      <c r="F1119" s="28" t="s">
        <v>601</v>
      </c>
      <c r="G1119" s="29">
        <v>154</v>
      </c>
      <c r="H1119" s="29">
        <v>0</v>
      </c>
      <c r="I1119" s="29">
        <v>0</v>
      </c>
      <c r="J1119" s="29">
        <v>0</v>
      </c>
      <c r="K1119" s="29">
        <v>0</v>
      </c>
      <c r="L1119" s="29">
        <v>0</v>
      </c>
      <c r="M1119" s="29">
        <v>0</v>
      </c>
      <c r="N1119" s="29">
        <v>0</v>
      </c>
      <c r="O1119" s="29">
        <v>0</v>
      </c>
    </row>
    <row r="1120" spans="1:15" x14ac:dyDescent="0.3">
      <c r="A1120" s="28" t="s">
        <v>575</v>
      </c>
      <c r="B1120" s="28" t="s">
        <v>576</v>
      </c>
      <c r="C1120" s="28" t="s">
        <v>560</v>
      </c>
      <c r="D1120" s="28" t="s">
        <v>618</v>
      </c>
      <c r="E1120" s="28" t="s">
        <v>606</v>
      </c>
      <c r="F1120" s="28" t="s">
        <v>602</v>
      </c>
      <c r="G1120" s="29">
        <v>378</v>
      </c>
      <c r="H1120" s="29">
        <v>1</v>
      </c>
      <c r="I1120" s="29">
        <v>1</v>
      </c>
      <c r="J1120" s="29">
        <v>0</v>
      </c>
      <c r="K1120" s="29">
        <v>1</v>
      </c>
      <c r="L1120" s="29">
        <v>0</v>
      </c>
      <c r="M1120" s="29">
        <v>0</v>
      </c>
      <c r="N1120" s="29">
        <v>0</v>
      </c>
      <c r="O1120" s="29">
        <v>0</v>
      </c>
    </row>
    <row r="1121" spans="1:15" x14ac:dyDescent="0.3">
      <c r="A1121" s="28" t="s">
        <v>575</v>
      </c>
      <c r="B1121" s="28" t="s">
        <v>576</v>
      </c>
      <c r="C1121" s="28" t="s">
        <v>560</v>
      </c>
      <c r="D1121" s="28" t="s">
        <v>618</v>
      </c>
      <c r="E1121" s="28" t="s">
        <v>606</v>
      </c>
      <c r="F1121" s="28" t="s">
        <v>603</v>
      </c>
      <c r="G1121" s="29">
        <v>877</v>
      </c>
      <c r="H1121" s="29">
        <v>3</v>
      </c>
      <c r="I1121" s="29">
        <v>1</v>
      </c>
      <c r="J1121" s="29">
        <v>1</v>
      </c>
      <c r="K1121" s="29">
        <v>0</v>
      </c>
      <c r="L1121" s="29">
        <v>0</v>
      </c>
      <c r="M1121" s="29">
        <v>0</v>
      </c>
      <c r="N1121" s="29">
        <v>0</v>
      </c>
      <c r="O1121" s="29">
        <v>0</v>
      </c>
    </row>
    <row r="1122" spans="1:15" x14ac:dyDescent="0.3">
      <c r="A1122" s="28" t="s">
        <v>575</v>
      </c>
      <c r="B1122" s="28" t="s">
        <v>576</v>
      </c>
      <c r="C1122" s="28" t="s">
        <v>560</v>
      </c>
      <c r="D1122" s="28" t="s">
        <v>618</v>
      </c>
      <c r="E1122" s="28" t="s">
        <v>606</v>
      </c>
      <c r="F1122" s="28" t="s">
        <v>604</v>
      </c>
      <c r="G1122" s="29">
        <v>1659</v>
      </c>
      <c r="H1122" s="29">
        <v>2</v>
      </c>
      <c r="I1122" s="29">
        <v>4</v>
      </c>
      <c r="J1122" s="29">
        <v>0</v>
      </c>
      <c r="K1122" s="29">
        <v>4</v>
      </c>
      <c r="L1122" s="29">
        <v>0</v>
      </c>
      <c r="M1122" s="29">
        <v>0</v>
      </c>
      <c r="N1122" s="29">
        <v>0</v>
      </c>
      <c r="O1122" s="29">
        <v>0</v>
      </c>
    </row>
    <row r="1123" spans="1:15" x14ac:dyDescent="0.3">
      <c r="A1123" s="28" t="s">
        <v>575</v>
      </c>
      <c r="B1123" s="28" t="s">
        <v>576</v>
      </c>
      <c r="C1123" s="28" t="s">
        <v>560</v>
      </c>
      <c r="D1123" s="28" t="s">
        <v>618</v>
      </c>
      <c r="E1123" s="28" t="s">
        <v>606</v>
      </c>
      <c r="F1123" s="28" t="s">
        <v>581</v>
      </c>
      <c r="G1123" s="29">
        <v>3470</v>
      </c>
      <c r="H1123" s="29">
        <v>8</v>
      </c>
      <c r="I1123" s="29">
        <v>12</v>
      </c>
      <c r="J1123" s="29">
        <v>2</v>
      </c>
      <c r="K1123" s="29">
        <v>10</v>
      </c>
      <c r="L1123" s="29">
        <v>0</v>
      </c>
      <c r="M1123" s="29">
        <v>0</v>
      </c>
      <c r="N1123" s="29">
        <v>0</v>
      </c>
      <c r="O1123" s="29">
        <v>0</v>
      </c>
    </row>
    <row r="1124" spans="1:15" x14ac:dyDescent="0.3">
      <c r="A1124" s="28" t="s">
        <v>575</v>
      </c>
      <c r="B1124" s="28" t="s">
        <v>576</v>
      </c>
      <c r="C1124" s="28" t="s">
        <v>560</v>
      </c>
      <c r="D1124" s="28" t="s">
        <v>618</v>
      </c>
      <c r="E1124" s="28" t="s">
        <v>606</v>
      </c>
      <c r="F1124" s="28" t="s">
        <v>582</v>
      </c>
      <c r="G1124" s="29">
        <v>2097</v>
      </c>
      <c r="H1124" s="29">
        <v>11</v>
      </c>
      <c r="I1124" s="29">
        <v>4</v>
      </c>
      <c r="J1124" s="29">
        <v>3</v>
      </c>
      <c r="K1124" s="29">
        <v>1</v>
      </c>
      <c r="L1124" s="29">
        <v>1000</v>
      </c>
      <c r="M1124" s="29">
        <v>0</v>
      </c>
      <c r="N1124" s="29">
        <v>1000</v>
      </c>
      <c r="O1124" s="29">
        <v>0</v>
      </c>
    </row>
    <row r="1125" spans="1:15" x14ac:dyDescent="0.3">
      <c r="A1125" s="28" t="s">
        <v>575</v>
      </c>
      <c r="B1125" s="28" t="s">
        <v>576</v>
      </c>
      <c r="C1125" s="28" t="s">
        <v>560</v>
      </c>
      <c r="D1125" s="28" t="s">
        <v>618</v>
      </c>
      <c r="E1125" s="28" t="s">
        <v>606</v>
      </c>
      <c r="F1125" s="28" t="s">
        <v>583</v>
      </c>
      <c r="G1125" s="29">
        <v>1963</v>
      </c>
      <c r="H1125" s="29">
        <v>3</v>
      </c>
      <c r="I1125" s="29">
        <v>7</v>
      </c>
      <c r="J1125" s="29">
        <v>1</v>
      </c>
      <c r="K1125" s="29">
        <v>6</v>
      </c>
      <c r="L1125" s="29">
        <v>500</v>
      </c>
      <c r="M1125" s="29">
        <v>0</v>
      </c>
      <c r="N1125" s="29">
        <v>500</v>
      </c>
      <c r="O1125" s="29">
        <v>0</v>
      </c>
    </row>
    <row r="1126" spans="1:15" x14ac:dyDescent="0.3">
      <c r="A1126" s="28" t="s">
        <v>575</v>
      </c>
      <c r="B1126" s="28" t="s">
        <v>576</v>
      </c>
      <c r="C1126" s="28" t="s">
        <v>560</v>
      </c>
      <c r="D1126" s="28" t="s">
        <v>618</v>
      </c>
      <c r="E1126" s="28" t="s">
        <v>606</v>
      </c>
      <c r="F1126" s="28" t="s">
        <v>584</v>
      </c>
      <c r="G1126" s="29">
        <v>1935</v>
      </c>
      <c r="H1126" s="29">
        <v>2</v>
      </c>
      <c r="I1126" s="29">
        <v>5</v>
      </c>
      <c r="J1126" s="29">
        <v>1</v>
      </c>
      <c r="K1126" s="29">
        <v>4</v>
      </c>
      <c r="L1126" s="29">
        <v>0</v>
      </c>
      <c r="M1126" s="29">
        <v>0</v>
      </c>
      <c r="N1126" s="29">
        <v>0</v>
      </c>
      <c r="O1126" s="29">
        <v>0</v>
      </c>
    </row>
    <row r="1127" spans="1:15" x14ac:dyDescent="0.3">
      <c r="A1127" s="28" t="s">
        <v>575</v>
      </c>
      <c r="B1127" s="28" t="s">
        <v>576</v>
      </c>
      <c r="C1127" s="28" t="s">
        <v>560</v>
      </c>
      <c r="D1127" s="28" t="s">
        <v>618</v>
      </c>
      <c r="E1127" s="28" t="s">
        <v>606</v>
      </c>
      <c r="F1127" s="28" t="s">
        <v>585</v>
      </c>
      <c r="G1127" s="29">
        <v>2051</v>
      </c>
      <c r="H1127" s="29">
        <v>4</v>
      </c>
      <c r="I1127" s="29">
        <v>2</v>
      </c>
      <c r="J1127" s="29">
        <v>0</v>
      </c>
      <c r="K1127" s="29">
        <v>2</v>
      </c>
      <c r="L1127" s="29">
        <v>0</v>
      </c>
      <c r="M1127" s="29">
        <v>0</v>
      </c>
      <c r="N1127" s="29">
        <v>0</v>
      </c>
      <c r="O1127" s="29">
        <v>0</v>
      </c>
    </row>
    <row r="1128" spans="1:15" x14ac:dyDescent="0.3">
      <c r="A1128" s="28" t="s">
        <v>575</v>
      </c>
      <c r="B1128" s="28" t="s">
        <v>576</v>
      </c>
      <c r="C1128" s="28" t="s">
        <v>560</v>
      </c>
      <c r="D1128" s="28" t="s">
        <v>618</v>
      </c>
      <c r="E1128" s="28" t="s">
        <v>606</v>
      </c>
      <c r="F1128" s="28" t="s">
        <v>586</v>
      </c>
      <c r="G1128" s="29">
        <v>1842</v>
      </c>
      <c r="H1128" s="29">
        <v>1</v>
      </c>
      <c r="I1128" s="29">
        <v>4</v>
      </c>
      <c r="J1128" s="29">
        <v>0</v>
      </c>
      <c r="K1128" s="29">
        <v>4</v>
      </c>
      <c r="L1128" s="29">
        <v>0</v>
      </c>
      <c r="M1128" s="29">
        <v>0</v>
      </c>
      <c r="N1128" s="29">
        <v>0</v>
      </c>
      <c r="O1128" s="29">
        <v>0</v>
      </c>
    </row>
    <row r="1129" spans="1:15" x14ac:dyDescent="0.3">
      <c r="A1129" s="28" t="s">
        <v>575</v>
      </c>
      <c r="B1129" s="28" t="s">
        <v>576</v>
      </c>
      <c r="C1129" s="28" t="s">
        <v>560</v>
      </c>
      <c r="D1129" s="28" t="s">
        <v>618</v>
      </c>
      <c r="E1129" s="28" t="s">
        <v>606</v>
      </c>
      <c r="F1129" s="28" t="s">
        <v>587</v>
      </c>
      <c r="G1129" s="29">
        <v>1528</v>
      </c>
      <c r="H1129" s="29">
        <v>1</v>
      </c>
      <c r="I1129" s="29">
        <v>11</v>
      </c>
      <c r="J1129" s="29">
        <v>0</v>
      </c>
      <c r="K1129" s="29">
        <v>11</v>
      </c>
      <c r="L1129" s="29">
        <v>1100</v>
      </c>
      <c r="M1129" s="29">
        <v>0</v>
      </c>
      <c r="N1129" s="29">
        <v>1100</v>
      </c>
      <c r="O1129" s="29">
        <v>0</v>
      </c>
    </row>
    <row r="1130" spans="1:15" x14ac:dyDescent="0.3">
      <c r="A1130" s="28" t="s">
        <v>575</v>
      </c>
      <c r="B1130" s="28" t="s">
        <v>576</v>
      </c>
      <c r="C1130" s="28" t="s">
        <v>560</v>
      </c>
      <c r="D1130" s="28" t="s">
        <v>618</v>
      </c>
      <c r="E1130" s="28" t="s">
        <v>606</v>
      </c>
      <c r="F1130" s="28" t="s">
        <v>579</v>
      </c>
      <c r="G1130" s="29">
        <v>1345</v>
      </c>
      <c r="H1130" s="29">
        <v>2</v>
      </c>
      <c r="I1130" s="29">
        <v>2</v>
      </c>
      <c r="J1130" s="29">
        <v>0</v>
      </c>
      <c r="K1130" s="29">
        <v>2</v>
      </c>
      <c r="L1130" s="29">
        <v>0</v>
      </c>
      <c r="M1130" s="29">
        <v>0</v>
      </c>
      <c r="N1130" s="29">
        <v>0</v>
      </c>
      <c r="O1130" s="29">
        <v>0</v>
      </c>
    </row>
    <row r="1131" spans="1:15" x14ac:dyDescent="0.3">
      <c r="A1131" s="28" t="s">
        <v>575</v>
      </c>
      <c r="B1131" s="28" t="s">
        <v>576</v>
      </c>
      <c r="C1131" s="28" t="s">
        <v>560</v>
      </c>
      <c r="D1131" s="28" t="s">
        <v>618</v>
      </c>
      <c r="E1131" s="28" t="s">
        <v>606</v>
      </c>
      <c r="F1131" s="28" t="s">
        <v>588</v>
      </c>
      <c r="G1131" s="29">
        <v>1296</v>
      </c>
      <c r="H1131" s="29">
        <v>5</v>
      </c>
      <c r="I1131" s="29">
        <v>2</v>
      </c>
      <c r="J1131" s="29">
        <v>0</v>
      </c>
      <c r="K1131" s="29">
        <v>2</v>
      </c>
      <c r="L1131" s="29">
        <v>0</v>
      </c>
      <c r="M1131" s="29">
        <v>0</v>
      </c>
      <c r="N1131" s="29">
        <v>0</v>
      </c>
      <c r="O1131" s="29">
        <v>0</v>
      </c>
    </row>
    <row r="1132" spans="1:15" x14ac:dyDescent="0.3">
      <c r="A1132" s="28" t="s">
        <v>575</v>
      </c>
      <c r="B1132" s="28" t="s">
        <v>576</v>
      </c>
      <c r="C1132" s="28" t="s">
        <v>560</v>
      </c>
      <c r="D1132" s="28" t="s">
        <v>618</v>
      </c>
      <c r="E1132" s="28" t="s">
        <v>606</v>
      </c>
      <c r="F1132" s="28" t="s">
        <v>589</v>
      </c>
      <c r="G1132" s="29">
        <v>1121</v>
      </c>
      <c r="H1132" s="29">
        <v>4</v>
      </c>
      <c r="I1132" s="29">
        <v>1</v>
      </c>
      <c r="J1132" s="29">
        <v>1</v>
      </c>
      <c r="K1132" s="29">
        <v>0</v>
      </c>
      <c r="L1132" s="29">
        <v>0</v>
      </c>
      <c r="M1132" s="29">
        <v>0</v>
      </c>
      <c r="N1132" s="29">
        <v>0</v>
      </c>
      <c r="O1132" s="29">
        <v>0</v>
      </c>
    </row>
    <row r="1133" spans="1:15" x14ac:dyDescent="0.3">
      <c r="A1133" s="28" t="s">
        <v>575</v>
      </c>
      <c r="B1133" s="28" t="s">
        <v>576</v>
      </c>
      <c r="C1133" s="28" t="s">
        <v>560</v>
      </c>
      <c r="D1133" s="28" t="s">
        <v>618</v>
      </c>
      <c r="E1133" s="28" t="s">
        <v>606</v>
      </c>
      <c r="F1133" s="28" t="s">
        <v>590</v>
      </c>
      <c r="G1133" s="29">
        <v>966</v>
      </c>
      <c r="H1133" s="29">
        <v>2</v>
      </c>
      <c r="I1133" s="29">
        <v>6</v>
      </c>
      <c r="J1133" s="29">
        <v>2</v>
      </c>
      <c r="K1133" s="29">
        <v>4</v>
      </c>
      <c r="L1133" s="29">
        <v>0</v>
      </c>
      <c r="M1133" s="29">
        <v>0</v>
      </c>
      <c r="N1133" s="29">
        <v>0</v>
      </c>
      <c r="O1133" s="29">
        <v>0</v>
      </c>
    </row>
    <row r="1134" spans="1:15" x14ac:dyDescent="0.3">
      <c r="A1134" s="28" t="s">
        <v>575</v>
      </c>
      <c r="B1134" s="28" t="s">
        <v>576</v>
      </c>
      <c r="C1134" s="28" t="s">
        <v>560</v>
      </c>
      <c r="D1134" s="28" t="s">
        <v>618</v>
      </c>
      <c r="E1134" s="28" t="s">
        <v>606</v>
      </c>
      <c r="F1134" s="28" t="s">
        <v>591</v>
      </c>
      <c r="G1134" s="29">
        <v>870</v>
      </c>
      <c r="H1134" s="29">
        <v>1</v>
      </c>
      <c r="I1134" s="29">
        <v>5</v>
      </c>
      <c r="J1134" s="29">
        <v>1</v>
      </c>
      <c r="K1134" s="29">
        <v>4</v>
      </c>
      <c r="L1134" s="29">
        <v>0</v>
      </c>
      <c r="M1134" s="29">
        <v>0</v>
      </c>
      <c r="N1134" s="29">
        <v>0</v>
      </c>
      <c r="O1134" s="29">
        <v>0</v>
      </c>
    </row>
    <row r="1135" spans="1:15" x14ac:dyDescent="0.3">
      <c r="A1135" s="28" t="s">
        <v>575</v>
      </c>
      <c r="B1135" s="28" t="s">
        <v>576</v>
      </c>
      <c r="C1135" s="28" t="s">
        <v>560</v>
      </c>
      <c r="D1135" s="28" t="s">
        <v>618</v>
      </c>
      <c r="E1135" s="28" t="s">
        <v>606</v>
      </c>
      <c r="F1135" s="28" t="s">
        <v>592</v>
      </c>
      <c r="G1135" s="29">
        <v>779</v>
      </c>
      <c r="H1135" s="29">
        <v>2</v>
      </c>
      <c r="I1135" s="29">
        <v>2</v>
      </c>
      <c r="J1135" s="29">
        <v>0</v>
      </c>
      <c r="K1135" s="29">
        <v>2</v>
      </c>
      <c r="L1135" s="29">
        <v>0</v>
      </c>
      <c r="M1135" s="29">
        <v>0</v>
      </c>
      <c r="N1135" s="29">
        <v>0</v>
      </c>
      <c r="O1135" s="29">
        <v>0</v>
      </c>
    </row>
    <row r="1136" spans="1:15" x14ac:dyDescent="0.3">
      <c r="A1136" s="28" t="s">
        <v>575</v>
      </c>
      <c r="B1136" s="28" t="s">
        <v>576</v>
      </c>
      <c r="C1136" s="28" t="s">
        <v>560</v>
      </c>
      <c r="D1136" s="28" t="s">
        <v>618</v>
      </c>
      <c r="E1136" s="28" t="s">
        <v>606</v>
      </c>
      <c r="F1136" s="28" t="s">
        <v>593</v>
      </c>
      <c r="G1136" s="29">
        <v>431</v>
      </c>
      <c r="H1136" s="29">
        <v>3</v>
      </c>
      <c r="I1136" s="29">
        <v>2</v>
      </c>
      <c r="J1136" s="29">
        <v>0</v>
      </c>
      <c r="K1136" s="29">
        <v>2</v>
      </c>
      <c r="L1136" s="29">
        <v>0</v>
      </c>
      <c r="M1136" s="29">
        <v>0</v>
      </c>
      <c r="N1136" s="29">
        <v>0</v>
      </c>
      <c r="O1136" s="29">
        <v>0</v>
      </c>
    </row>
    <row r="1137" spans="1:15" x14ac:dyDescent="0.3">
      <c r="A1137" s="28" t="s">
        <v>575</v>
      </c>
      <c r="B1137" s="28" t="s">
        <v>576</v>
      </c>
      <c r="C1137" s="28" t="s">
        <v>560</v>
      </c>
      <c r="D1137" s="28" t="s">
        <v>618</v>
      </c>
      <c r="E1137" s="28" t="s">
        <v>606</v>
      </c>
      <c r="F1137" s="28" t="s">
        <v>594</v>
      </c>
      <c r="G1137" s="29">
        <v>432</v>
      </c>
      <c r="H1137" s="29">
        <v>0</v>
      </c>
      <c r="I1137" s="29">
        <v>2</v>
      </c>
      <c r="J1137" s="29">
        <v>0</v>
      </c>
      <c r="K1137" s="29">
        <v>2</v>
      </c>
      <c r="L1137" s="29">
        <v>0</v>
      </c>
      <c r="M1137" s="29">
        <v>0</v>
      </c>
      <c r="N1137" s="29">
        <v>0</v>
      </c>
      <c r="O1137" s="29">
        <v>0</v>
      </c>
    </row>
    <row r="1138" spans="1:15" x14ac:dyDescent="0.3">
      <c r="A1138" s="28" t="s">
        <v>575</v>
      </c>
      <c r="B1138" s="28" t="s">
        <v>576</v>
      </c>
      <c r="C1138" s="28" t="s">
        <v>560</v>
      </c>
      <c r="D1138" s="28" t="s">
        <v>618</v>
      </c>
      <c r="E1138" s="28" t="s">
        <v>606</v>
      </c>
      <c r="F1138" s="28" t="s">
        <v>595</v>
      </c>
      <c r="G1138" s="29">
        <v>272</v>
      </c>
      <c r="H1138" s="29">
        <v>1</v>
      </c>
      <c r="I1138" s="29">
        <v>0</v>
      </c>
      <c r="J1138" s="29">
        <v>0</v>
      </c>
      <c r="K1138" s="29">
        <v>0</v>
      </c>
      <c r="L1138" s="29">
        <v>0</v>
      </c>
      <c r="M1138" s="29">
        <v>0</v>
      </c>
      <c r="N1138" s="29">
        <v>0</v>
      </c>
      <c r="O1138" s="29">
        <v>0</v>
      </c>
    </row>
    <row r="1139" spans="1:15" x14ac:dyDescent="0.3">
      <c r="A1139" s="28" t="s">
        <v>575</v>
      </c>
      <c r="B1139" s="28" t="s">
        <v>576</v>
      </c>
      <c r="C1139" s="28" t="s">
        <v>560</v>
      </c>
      <c r="D1139" s="28" t="s">
        <v>618</v>
      </c>
      <c r="E1139" s="28" t="s">
        <v>607</v>
      </c>
      <c r="F1139" s="28" t="s">
        <v>597</v>
      </c>
      <c r="G1139" s="29">
        <v>193</v>
      </c>
      <c r="H1139" s="29">
        <v>0</v>
      </c>
      <c r="I1139" s="29">
        <v>0</v>
      </c>
      <c r="J1139" s="29">
        <v>0</v>
      </c>
      <c r="K1139" s="29">
        <v>0</v>
      </c>
      <c r="L1139" s="29">
        <v>0</v>
      </c>
      <c r="M1139" s="29">
        <v>0</v>
      </c>
      <c r="N1139" s="29">
        <v>0</v>
      </c>
      <c r="O1139" s="29">
        <v>0</v>
      </c>
    </row>
    <row r="1140" spans="1:15" x14ac:dyDescent="0.3">
      <c r="A1140" s="28" t="s">
        <v>575</v>
      </c>
      <c r="B1140" s="28" t="s">
        <v>576</v>
      </c>
      <c r="C1140" s="28" t="s">
        <v>560</v>
      </c>
      <c r="D1140" s="28" t="s">
        <v>618</v>
      </c>
      <c r="E1140" s="28" t="s">
        <v>607</v>
      </c>
      <c r="F1140" s="28" t="s">
        <v>598</v>
      </c>
      <c r="G1140" s="29">
        <v>122</v>
      </c>
      <c r="H1140" s="29">
        <v>3</v>
      </c>
      <c r="I1140" s="29">
        <v>0</v>
      </c>
      <c r="J1140" s="29">
        <v>0</v>
      </c>
      <c r="K1140" s="29">
        <v>0</v>
      </c>
      <c r="L1140" s="29">
        <v>0</v>
      </c>
      <c r="M1140" s="29">
        <v>0</v>
      </c>
      <c r="N1140" s="29">
        <v>0</v>
      </c>
      <c r="O1140" s="29">
        <v>0</v>
      </c>
    </row>
    <row r="1141" spans="1:15" x14ac:dyDescent="0.3">
      <c r="A1141" s="28" t="s">
        <v>575</v>
      </c>
      <c r="B1141" s="28" t="s">
        <v>576</v>
      </c>
      <c r="C1141" s="28" t="s">
        <v>560</v>
      </c>
      <c r="D1141" s="28" t="s">
        <v>618</v>
      </c>
      <c r="E1141" s="28" t="s">
        <v>607</v>
      </c>
      <c r="F1141" s="28" t="s">
        <v>599</v>
      </c>
      <c r="G1141" s="29">
        <v>87</v>
      </c>
      <c r="H1141" s="29">
        <v>0</v>
      </c>
      <c r="I1141" s="29">
        <v>0</v>
      </c>
      <c r="J1141" s="29">
        <v>0</v>
      </c>
      <c r="K1141" s="29">
        <v>0</v>
      </c>
      <c r="L1141" s="29">
        <v>0</v>
      </c>
      <c r="M1141" s="29">
        <v>0</v>
      </c>
      <c r="N1141" s="29">
        <v>0</v>
      </c>
      <c r="O1141" s="29">
        <v>0</v>
      </c>
    </row>
    <row r="1142" spans="1:15" x14ac:dyDescent="0.3">
      <c r="A1142" s="28" t="s">
        <v>575</v>
      </c>
      <c r="B1142" s="28" t="s">
        <v>576</v>
      </c>
      <c r="C1142" s="28" t="s">
        <v>560</v>
      </c>
      <c r="D1142" s="28" t="s">
        <v>618</v>
      </c>
      <c r="E1142" s="28" t="s">
        <v>607</v>
      </c>
      <c r="F1142" s="28" t="s">
        <v>600</v>
      </c>
      <c r="G1142" s="29">
        <v>83</v>
      </c>
      <c r="H1142" s="29">
        <v>0</v>
      </c>
      <c r="I1142" s="29">
        <v>0</v>
      </c>
      <c r="J1142" s="29">
        <v>0</v>
      </c>
      <c r="K1142" s="29">
        <v>0</v>
      </c>
      <c r="L1142" s="29">
        <v>0</v>
      </c>
      <c r="M1142" s="29">
        <v>0</v>
      </c>
      <c r="N1142" s="29">
        <v>0</v>
      </c>
      <c r="O1142" s="29">
        <v>0</v>
      </c>
    </row>
    <row r="1143" spans="1:15" x14ac:dyDescent="0.3">
      <c r="A1143" s="28" t="s">
        <v>575</v>
      </c>
      <c r="B1143" s="28" t="s">
        <v>576</v>
      </c>
      <c r="C1143" s="28" t="s">
        <v>560</v>
      </c>
      <c r="D1143" s="28" t="s">
        <v>618</v>
      </c>
      <c r="E1143" s="28" t="s">
        <v>607</v>
      </c>
      <c r="F1143" s="28" t="s">
        <v>601</v>
      </c>
      <c r="G1143" s="29">
        <v>233</v>
      </c>
      <c r="H1143" s="29">
        <v>1</v>
      </c>
      <c r="I1143" s="29">
        <v>0</v>
      </c>
      <c r="J1143" s="29">
        <v>0</v>
      </c>
      <c r="K1143" s="29">
        <v>0</v>
      </c>
      <c r="L1143" s="29">
        <v>0</v>
      </c>
      <c r="M1143" s="29">
        <v>0</v>
      </c>
      <c r="N1143" s="29">
        <v>0</v>
      </c>
      <c r="O1143" s="29">
        <v>0</v>
      </c>
    </row>
    <row r="1144" spans="1:15" x14ac:dyDescent="0.3">
      <c r="A1144" s="28" t="s">
        <v>575</v>
      </c>
      <c r="B1144" s="28" t="s">
        <v>576</v>
      </c>
      <c r="C1144" s="28" t="s">
        <v>560</v>
      </c>
      <c r="D1144" s="28" t="s">
        <v>618</v>
      </c>
      <c r="E1144" s="28" t="s">
        <v>607</v>
      </c>
      <c r="F1144" s="28" t="s">
        <v>602</v>
      </c>
      <c r="G1144" s="29">
        <v>653</v>
      </c>
      <c r="H1144" s="29">
        <v>3</v>
      </c>
      <c r="I1144" s="29">
        <v>0</v>
      </c>
      <c r="J1144" s="29">
        <v>0</v>
      </c>
      <c r="K1144" s="29">
        <v>0</v>
      </c>
      <c r="L1144" s="29">
        <v>0</v>
      </c>
      <c r="M1144" s="29">
        <v>0</v>
      </c>
      <c r="N1144" s="29">
        <v>0</v>
      </c>
      <c r="O1144" s="29">
        <v>0</v>
      </c>
    </row>
    <row r="1145" spans="1:15" x14ac:dyDescent="0.3">
      <c r="A1145" s="28" t="s">
        <v>575</v>
      </c>
      <c r="B1145" s="28" t="s">
        <v>576</v>
      </c>
      <c r="C1145" s="28" t="s">
        <v>560</v>
      </c>
      <c r="D1145" s="28" t="s">
        <v>618</v>
      </c>
      <c r="E1145" s="28" t="s">
        <v>607</v>
      </c>
      <c r="F1145" s="28" t="s">
        <v>603</v>
      </c>
      <c r="G1145" s="29">
        <v>1230</v>
      </c>
      <c r="H1145" s="29">
        <v>3</v>
      </c>
      <c r="I1145" s="29">
        <v>2</v>
      </c>
      <c r="J1145" s="29">
        <v>0</v>
      </c>
      <c r="K1145" s="29">
        <v>2</v>
      </c>
      <c r="L1145" s="29">
        <v>0</v>
      </c>
      <c r="M1145" s="29">
        <v>0</v>
      </c>
      <c r="N1145" s="29">
        <v>0</v>
      </c>
      <c r="O1145" s="29">
        <v>0</v>
      </c>
    </row>
    <row r="1146" spans="1:15" x14ac:dyDescent="0.3">
      <c r="A1146" s="28" t="s">
        <v>575</v>
      </c>
      <c r="B1146" s="28" t="s">
        <v>576</v>
      </c>
      <c r="C1146" s="28" t="s">
        <v>560</v>
      </c>
      <c r="D1146" s="28" t="s">
        <v>618</v>
      </c>
      <c r="E1146" s="28" t="s">
        <v>607</v>
      </c>
      <c r="F1146" s="28" t="s">
        <v>604</v>
      </c>
      <c r="G1146" s="29">
        <v>505</v>
      </c>
      <c r="H1146" s="29">
        <v>2</v>
      </c>
      <c r="I1146" s="29">
        <v>8</v>
      </c>
      <c r="J1146" s="29">
        <v>0</v>
      </c>
      <c r="K1146" s="29">
        <v>8</v>
      </c>
      <c r="L1146" s="29">
        <v>0</v>
      </c>
      <c r="M1146" s="29">
        <v>0</v>
      </c>
      <c r="N1146" s="29">
        <v>0</v>
      </c>
      <c r="O1146" s="29">
        <v>0</v>
      </c>
    </row>
    <row r="1147" spans="1:15" x14ac:dyDescent="0.3">
      <c r="A1147" s="28" t="s">
        <v>575</v>
      </c>
      <c r="B1147" s="28" t="s">
        <v>576</v>
      </c>
      <c r="C1147" s="28" t="s">
        <v>560</v>
      </c>
      <c r="D1147" s="28" t="s">
        <v>618</v>
      </c>
      <c r="E1147" s="28" t="s">
        <v>607</v>
      </c>
      <c r="F1147" s="28" t="s">
        <v>581</v>
      </c>
      <c r="G1147" s="29">
        <v>370</v>
      </c>
      <c r="H1147" s="29">
        <v>0</v>
      </c>
      <c r="I1147" s="29">
        <v>8</v>
      </c>
      <c r="J1147" s="29">
        <v>2</v>
      </c>
      <c r="K1147" s="29">
        <v>6</v>
      </c>
      <c r="L1147" s="29">
        <v>0</v>
      </c>
      <c r="M1147" s="29">
        <v>0</v>
      </c>
      <c r="N1147" s="29">
        <v>0</v>
      </c>
      <c r="O1147" s="29">
        <v>0</v>
      </c>
    </row>
    <row r="1148" spans="1:15" x14ac:dyDescent="0.3">
      <c r="A1148" s="28" t="s">
        <v>575</v>
      </c>
      <c r="B1148" s="28" t="s">
        <v>576</v>
      </c>
      <c r="C1148" s="28" t="s">
        <v>560</v>
      </c>
      <c r="D1148" s="28" t="s">
        <v>618</v>
      </c>
      <c r="E1148" s="28" t="s">
        <v>607</v>
      </c>
      <c r="F1148" s="28" t="s">
        <v>582</v>
      </c>
      <c r="G1148" s="29">
        <v>341</v>
      </c>
      <c r="H1148" s="29">
        <v>2</v>
      </c>
      <c r="I1148" s="29">
        <v>11</v>
      </c>
      <c r="J1148" s="29">
        <v>3</v>
      </c>
      <c r="K1148" s="29">
        <v>8</v>
      </c>
      <c r="L1148" s="29">
        <v>1500</v>
      </c>
      <c r="M1148" s="29">
        <v>0</v>
      </c>
      <c r="N1148" s="29">
        <v>1500</v>
      </c>
      <c r="O1148" s="29">
        <v>0</v>
      </c>
    </row>
    <row r="1149" spans="1:15" x14ac:dyDescent="0.3">
      <c r="A1149" s="28" t="s">
        <v>575</v>
      </c>
      <c r="B1149" s="28" t="s">
        <v>576</v>
      </c>
      <c r="C1149" s="28" t="s">
        <v>560</v>
      </c>
      <c r="D1149" s="28" t="s">
        <v>618</v>
      </c>
      <c r="E1149" s="28" t="s">
        <v>607</v>
      </c>
      <c r="F1149" s="28" t="s">
        <v>583</v>
      </c>
      <c r="G1149" s="29">
        <v>498</v>
      </c>
      <c r="H1149" s="29">
        <v>4</v>
      </c>
      <c r="I1149" s="29">
        <v>6</v>
      </c>
      <c r="J1149" s="29">
        <v>0</v>
      </c>
      <c r="K1149" s="29">
        <v>6</v>
      </c>
      <c r="L1149" s="29">
        <v>0</v>
      </c>
      <c r="M1149" s="29">
        <v>0</v>
      </c>
      <c r="N1149" s="29">
        <v>0</v>
      </c>
      <c r="O1149" s="29">
        <v>0</v>
      </c>
    </row>
    <row r="1150" spans="1:15" x14ac:dyDescent="0.3">
      <c r="A1150" s="28" t="s">
        <v>575</v>
      </c>
      <c r="B1150" s="28" t="s">
        <v>576</v>
      </c>
      <c r="C1150" s="28" t="s">
        <v>560</v>
      </c>
      <c r="D1150" s="28" t="s">
        <v>618</v>
      </c>
      <c r="E1150" s="28" t="s">
        <v>607</v>
      </c>
      <c r="F1150" s="28" t="s">
        <v>584</v>
      </c>
      <c r="G1150" s="29">
        <v>226</v>
      </c>
      <c r="H1150" s="29">
        <v>0</v>
      </c>
      <c r="I1150" s="29">
        <v>6</v>
      </c>
      <c r="J1150" s="29">
        <v>0</v>
      </c>
      <c r="K1150" s="29">
        <v>6</v>
      </c>
      <c r="L1150" s="29">
        <v>100</v>
      </c>
      <c r="M1150" s="29">
        <v>0</v>
      </c>
      <c r="N1150" s="29">
        <v>100</v>
      </c>
      <c r="O1150" s="29">
        <v>0</v>
      </c>
    </row>
    <row r="1151" spans="1:15" x14ac:dyDescent="0.3">
      <c r="A1151" s="28" t="s">
        <v>575</v>
      </c>
      <c r="B1151" s="28" t="s">
        <v>576</v>
      </c>
      <c r="C1151" s="28" t="s">
        <v>560</v>
      </c>
      <c r="D1151" s="28" t="s">
        <v>618</v>
      </c>
      <c r="E1151" s="28" t="s">
        <v>607</v>
      </c>
      <c r="F1151" s="28" t="s">
        <v>585</v>
      </c>
      <c r="G1151" s="29">
        <v>323</v>
      </c>
      <c r="H1151" s="29">
        <v>0</v>
      </c>
      <c r="I1151" s="29">
        <v>9</v>
      </c>
      <c r="J1151" s="29">
        <v>1</v>
      </c>
      <c r="K1151" s="29">
        <v>8</v>
      </c>
      <c r="L1151" s="29">
        <v>1000</v>
      </c>
      <c r="M1151" s="29">
        <v>0</v>
      </c>
      <c r="N1151" s="29">
        <v>1000</v>
      </c>
      <c r="O1151" s="29">
        <v>0</v>
      </c>
    </row>
    <row r="1152" spans="1:15" x14ac:dyDescent="0.3">
      <c r="A1152" s="28" t="s">
        <v>575</v>
      </c>
      <c r="B1152" s="28" t="s">
        <v>576</v>
      </c>
      <c r="C1152" s="28" t="s">
        <v>560</v>
      </c>
      <c r="D1152" s="28" t="s">
        <v>618</v>
      </c>
      <c r="E1152" s="28" t="s">
        <v>607</v>
      </c>
      <c r="F1152" s="28" t="s">
        <v>586</v>
      </c>
      <c r="G1152" s="29">
        <v>409</v>
      </c>
      <c r="H1152" s="29">
        <v>1</v>
      </c>
      <c r="I1152" s="29">
        <v>6</v>
      </c>
      <c r="J1152" s="29">
        <v>0</v>
      </c>
      <c r="K1152" s="29">
        <v>6</v>
      </c>
      <c r="L1152" s="29">
        <v>500</v>
      </c>
      <c r="M1152" s="29">
        <v>0</v>
      </c>
      <c r="N1152" s="29">
        <v>500</v>
      </c>
      <c r="O1152" s="29">
        <v>0</v>
      </c>
    </row>
    <row r="1153" spans="1:15" x14ac:dyDescent="0.3">
      <c r="A1153" s="28" t="s">
        <v>575</v>
      </c>
      <c r="B1153" s="28" t="s">
        <v>576</v>
      </c>
      <c r="C1153" s="28" t="s">
        <v>560</v>
      </c>
      <c r="D1153" s="28" t="s">
        <v>618</v>
      </c>
      <c r="E1153" s="28" t="s">
        <v>607</v>
      </c>
      <c r="F1153" s="28" t="s">
        <v>587</v>
      </c>
      <c r="G1153" s="29">
        <v>364</v>
      </c>
      <c r="H1153" s="29">
        <v>0</v>
      </c>
      <c r="I1153" s="29">
        <v>0</v>
      </c>
      <c r="J1153" s="29">
        <v>0</v>
      </c>
      <c r="K1153" s="29">
        <v>0</v>
      </c>
      <c r="L1153" s="29">
        <v>0</v>
      </c>
      <c r="M1153" s="29">
        <v>0</v>
      </c>
      <c r="N1153" s="29">
        <v>0</v>
      </c>
      <c r="O1153" s="29">
        <v>0</v>
      </c>
    </row>
    <row r="1154" spans="1:15" x14ac:dyDescent="0.3">
      <c r="A1154" s="28" t="s">
        <v>575</v>
      </c>
      <c r="B1154" s="28" t="s">
        <v>576</v>
      </c>
      <c r="C1154" s="28" t="s">
        <v>560</v>
      </c>
      <c r="D1154" s="28" t="s">
        <v>618</v>
      </c>
      <c r="E1154" s="28" t="s">
        <v>607</v>
      </c>
      <c r="F1154" s="28" t="s">
        <v>579</v>
      </c>
      <c r="G1154" s="29">
        <v>344</v>
      </c>
      <c r="H1154" s="29">
        <v>0</v>
      </c>
      <c r="I1154" s="29">
        <v>9</v>
      </c>
      <c r="J1154" s="29">
        <v>2</v>
      </c>
      <c r="K1154" s="29">
        <v>7</v>
      </c>
      <c r="L1154" s="29">
        <v>500</v>
      </c>
      <c r="M1154" s="29">
        <v>0</v>
      </c>
      <c r="N1154" s="29">
        <v>500</v>
      </c>
      <c r="O1154" s="29">
        <v>0</v>
      </c>
    </row>
    <row r="1155" spans="1:15" x14ac:dyDescent="0.3">
      <c r="A1155" s="28" t="s">
        <v>575</v>
      </c>
      <c r="B1155" s="28" t="s">
        <v>576</v>
      </c>
      <c r="C1155" s="28" t="s">
        <v>560</v>
      </c>
      <c r="D1155" s="28" t="s">
        <v>618</v>
      </c>
      <c r="E1155" s="28" t="s">
        <v>607</v>
      </c>
      <c r="F1155" s="28" t="s">
        <v>588</v>
      </c>
      <c r="G1155" s="29">
        <v>914</v>
      </c>
      <c r="H1155" s="29">
        <v>4</v>
      </c>
      <c r="I1155" s="29">
        <v>3</v>
      </c>
      <c r="J1155" s="29">
        <v>1</v>
      </c>
      <c r="K1155" s="29">
        <v>2</v>
      </c>
      <c r="L1155" s="29">
        <v>0</v>
      </c>
      <c r="M1155" s="29">
        <v>0</v>
      </c>
      <c r="N1155" s="29">
        <v>0</v>
      </c>
      <c r="O1155" s="29">
        <v>0</v>
      </c>
    </row>
    <row r="1156" spans="1:15" x14ac:dyDescent="0.3">
      <c r="A1156" s="28" t="s">
        <v>575</v>
      </c>
      <c r="B1156" s="28" t="s">
        <v>576</v>
      </c>
      <c r="C1156" s="28" t="s">
        <v>560</v>
      </c>
      <c r="D1156" s="28" t="s">
        <v>618</v>
      </c>
      <c r="E1156" s="28" t="s">
        <v>607</v>
      </c>
      <c r="F1156" s="28" t="s">
        <v>589</v>
      </c>
      <c r="G1156" s="29">
        <v>888</v>
      </c>
      <c r="H1156" s="29">
        <v>0</v>
      </c>
      <c r="I1156" s="29">
        <v>1</v>
      </c>
      <c r="J1156" s="29">
        <v>0</v>
      </c>
      <c r="K1156" s="29">
        <v>1</v>
      </c>
      <c r="L1156" s="29">
        <v>0</v>
      </c>
      <c r="M1156" s="29">
        <v>0</v>
      </c>
      <c r="N1156" s="29">
        <v>0</v>
      </c>
      <c r="O1156" s="29">
        <v>0</v>
      </c>
    </row>
    <row r="1157" spans="1:15" x14ac:dyDescent="0.3">
      <c r="A1157" s="28" t="s">
        <v>575</v>
      </c>
      <c r="B1157" s="28" t="s">
        <v>576</v>
      </c>
      <c r="C1157" s="28" t="s">
        <v>560</v>
      </c>
      <c r="D1157" s="28" t="s">
        <v>618</v>
      </c>
      <c r="E1157" s="28" t="s">
        <v>607</v>
      </c>
      <c r="F1157" s="28" t="s">
        <v>590</v>
      </c>
      <c r="G1157" s="29">
        <v>269</v>
      </c>
      <c r="H1157" s="29">
        <v>0</v>
      </c>
      <c r="I1157" s="29">
        <v>1</v>
      </c>
      <c r="J1157" s="29">
        <v>0</v>
      </c>
      <c r="K1157" s="29">
        <v>1</v>
      </c>
      <c r="L1157" s="29">
        <v>1000</v>
      </c>
      <c r="M1157" s="29">
        <v>0</v>
      </c>
      <c r="N1157" s="29">
        <v>1000</v>
      </c>
      <c r="O1157" s="29">
        <v>0</v>
      </c>
    </row>
    <row r="1158" spans="1:15" x14ac:dyDescent="0.3">
      <c r="A1158" s="28" t="s">
        <v>575</v>
      </c>
      <c r="B1158" s="28" t="s">
        <v>576</v>
      </c>
      <c r="C1158" s="28" t="s">
        <v>560</v>
      </c>
      <c r="D1158" s="28" t="s">
        <v>618</v>
      </c>
      <c r="E1158" s="28" t="s">
        <v>607</v>
      </c>
      <c r="F1158" s="28" t="s">
        <v>591</v>
      </c>
      <c r="G1158" s="29">
        <v>0</v>
      </c>
      <c r="H1158" s="29">
        <v>0</v>
      </c>
      <c r="I1158" s="29">
        <v>1</v>
      </c>
      <c r="J1158" s="29">
        <v>0</v>
      </c>
      <c r="K1158" s="29">
        <v>1</v>
      </c>
      <c r="L1158" s="29">
        <v>0</v>
      </c>
      <c r="M1158" s="29">
        <v>0</v>
      </c>
      <c r="N1158" s="29">
        <v>0</v>
      </c>
      <c r="O1158" s="29">
        <v>0</v>
      </c>
    </row>
    <row r="1159" spans="1:15" x14ac:dyDescent="0.3">
      <c r="A1159" s="28" t="s">
        <v>575</v>
      </c>
      <c r="B1159" s="28" t="s">
        <v>576</v>
      </c>
      <c r="C1159" s="28" t="s">
        <v>560</v>
      </c>
      <c r="D1159" s="28" t="s">
        <v>618</v>
      </c>
      <c r="E1159" s="28" t="s">
        <v>607</v>
      </c>
      <c r="F1159" s="28" t="s">
        <v>593</v>
      </c>
      <c r="G1159" s="29">
        <v>0</v>
      </c>
      <c r="H1159" s="29">
        <v>0</v>
      </c>
      <c r="I1159" s="29">
        <v>1</v>
      </c>
      <c r="J1159" s="29">
        <v>0</v>
      </c>
      <c r="K1159" s="29">
        <v>1</v>
      </c>
      <c r="L1159" s="29">
        <v>0</v>
      </c>
      <c r="M1159" s="29">
        <v>0</v>
      </c>
      <c r="N1159" s="29">
        <v>0</v>
      </c>
      <c r="O1159" s="29">
        <v>0</v>
      </c>
    </row>
    <row r="1160" spans="1:15" x14ac:dyDescent="0.3">
      <c r="A1160" s="28" t="s">
        <v>575</v>
      </c>
      <c r="B1160" s="28" t="s">
        <v>576</v>
      </c>
      <c r="C1160" s="28" t="s">
        <v>560</v>
      </c>
      <c r="D1160" s="28" t="s">
        <v>618</v>
      </c>
      <c r="E1160" s="28" t="s">
        <v>607</v>
      </c>
      <c r="F1160" s="28" t="s">
        <v>594</v>
      </c>
      <c r="G1160" s="29">
        <v>0</v>
      </c>
      <c r="H1160" s="29">
        <v>0</v>
      </c>
      <c r="I1160" s="29">
        <v>2</v>
      </c>
      <c r="J1160" s="29">
        <v>0</v>
      </c>
      <c r="K1160" s="29">
        <v>2</v>
      </c>
      <c r="L1160" s="29">
        <v>0</v>
      </c>
      <c r="M1160" s="29">
        <v>0</v>
      </c>
      <c r="N1160" s="29">
        <v>0</v>
      </c>
      <c r="O1160" s="29">
        <v>0</v>
      </c>
    </row>
    <row r="1161" spans="1:15" x14ac:dyDescent="0.3">
      <c r="A1161" s="28" t="s">
        <v>575</v>
      </c>
      <c r="B1161" s="28" t="s">
        <v>576</v>
      </c>
      <c r="C1161" s="28" t="s">
        <v>560</v>
      </c>
      <c r="D1161" s="28" t="s">
        <v>618</v>
      </c>
      <c r="E1161" s="28" t="s">
        <v>607</v>
      </c>
      <c r="F1161" s="28" t="s">
        <v>595</v>
      </c>
      <c r="G1161" s="29">
        <v>0</v>
      </c>
      <c r="H1161" s="29">
        <v>0</v>
      </c>
      <c r="I1161" s="29">
        <v>2</v>
      </c>
      <c r="J1161" s="29">
        <v>0</v>
      </c>
      <c r="K1161" s="29">
        <v>2</v>
      </c>
      <c r="L1161" s="29">
        <v>90</v>
      </c>
      <c r="M1161" s="29">
        <v>0</v>
      </c>
      <c r="N1161" s="29">
        <v>90</v>
      </c>
      <c r="O1161" s="29">
        <v>0</v>
      </c>
    </row>
    <row r="1162" spans="1:15" x14ac:dyDescent="0.3">
      <c r="A1162" s="28" t="s">
        <v>575</v>
      </c>
      <c r="B1162" s="28" t="s">
        <v>576</v>
      </c>
      <c r="C1162" s="28" t="s">
        <v>560</v>
      </c>
      <c r="D1162" s="28" t="s">
        <v>618</v>
      </c>
      <c r="E1162" s="28" t="s">
        <v>608</v>
      </c>
      <c r="F1162" s="28" t="s">
        <v>604</v>
      </c>
      <c r="G1162" s="29">
        <v>0</v>
      </c>
      <c r="H1162" s="29">
        <v>0</v>
      </c>
      <c r="I1162" s="29">
        <v>1</v>
      </c>
      <c r="J1162" s="29">
        <v>1</v>
      </c>
      <c r="K1162" s="29">
        <v>0</v>
      </c>
      <c r="L1162" s="29">
        <v>0</v>
      </c>
      <c r="M1162" s="29">
        <v>0</v>
      </c>
      <c r="N1162" s="29">
        <v>0</v>
      </c>
      <c r="O1162" s="29">
        <v>0</v>
      </c>
    </row>
    <row r="1163" spans="1:15" x14ac:dyDescent="0.3">
      <c r="A1163" s="28" t="s">
        <v>575</v>
      </c>
      <c r="B1163" s="28" t="s">
        <v>576</v>
      </c>
      <c r="C1163" s="28" t="s">
        <v>560</v>
      </c>
      <c r="D1163" s="28" t="s">
        <v>618</v>
      </c>
      <c r="E1163" s="28" t="s">
        <v>608</v>
      </c>
      <c r="F1163" s="28" t="s">
        <v>583</v>
      </c>
      <c r="G1163" s="29">
        <v>0</v>
      </c>
      <c r="H1163" s="29">
        <v>0</v>
      </c>
      <c r="I1163" s="29">
        <v>1</v>
      </c>
      <c r="J1163" s="29">
        <v>0</v>
      </c>
      <c r="K1163" s="29">
        <v>1</v>
      </c>
      <c r="L1163" s="29">
        <v>0</v>
      </c>
      <c r="M1163" s="29">
        <v>0</v>
      </c>
      <c r="N1163" s="29">
        <v>0</v>
      </c>
      <c r="O1163" s="29">
        <v>0</v>
      </c>
    </row>
    <row r="1164" spans="1:15" x14ac:dyDescent="0.3">
      <c r="A1164" s="28" t="s">
        <v>575</v>
      </c>
      <c r="B1164" s="28" t="s">
        <v>576</v>
      </c>
      <c r="C1164" s="28" t="s">
        <v>560</v>
      </c>
      <c r="D1164" s="28" t="s">
        <v>618</v>
      </c>
      <c r="E1164" s="28" t="s">
        <v>608</v>
      </c>
      <c r="F1164" s="28" t="s">
        <v>585</v>
      </c>
      <c r="G1164" s="29">
        <v>0</v>
      </c>
      <c r="H1164" s="29">
        <v>0</v>
      </c>
      <c r="I1164" s="29">
        <v>4</v>
      </c>
      <c r="J1164" s="29">
        <v>1</v>
      </c>
      <c r="K1164" s="29">
        <v>3</v>
      </c>
      <c r="L1164" s="29">
        <v>0</v>
      </c>
      <c r="M1164" s="29">
        <v>0</v>
      </c>
      <c r="N1164" s="29">
        <v>0</v>
      </c>
      <c r="O1164" s="29">
        <v>0</v>
      </c>
    </row>
    <row r="1165" spans="1:15" x14ac:dyDescent="0.3">
      <c r="A1165" s="28" t="s">
        <v>575</v>
      </c>
      <c r="B1165" s="28" t="s">
        <v>576</v>
      </c>
      <c r="C1165" s="28" t="s">
        <v>560</v>
      </c>
      <c r="D1165" s="28" t="s">
        <v>618</v>
      </c>
      <c r="E1165" s="28" t="s">
        <v>608</v>
      </c>
      <c r="F1165" s="28" t="s">
        <v>586</v>
      </c>
      <c r="G1165" s="29">
        <v>0</v>
      </c>
      <c r="H1165" s="29">
        <v>0</v>
      </c>
      <c r="I1165" s="29">
        <v>1</v>
      </c>
      <c r="J1165" s="29">
        <v>0</v>
      </c>
      <c r="K1165" s="29">
        <v>1</v>
      </c>
      <c r="L1165" s="29">
        <v>0</v>
      </c>
      <c r="M1165" s="29">
        <v>0</v>
      </c>
      <c r="N1165" s="29">
        <v>0</v>
      </c>
      <c r="O1165" s="29">
        <v>0</v>
      </c>
    </row>
    <row r="1166" spans="1:15" x14ac:dyDescent="0.3">
      <c r="A1166" s="28" t="s">
        <v>575</v>
      </c>
      <c r="B1166" s="28" t="s">
        <v>576</v>
      </c>
      <c r="C1166" s="28" t="s">
        <v>560</v>
      </c>
      <c r="D1166" s="28" t="s">
        <v>618</v>
      </c>
      <c r="E1166" s="28" t="s">
        <v>608</v>
      </c>
      <c r="F1166" s="28" t="s">
        <v>587</v>
      </c>
      <c r="G1166" s="29">
        <v>0</v>
      </c>
      <c r="H1166" s="29">
        <v>0</v>
      </c>
      <c r="I1166" s="29">
        <v>1</v>
      </c>
      <c r="J1166" s="29">
        <v>0</v>
      </c>
      <c r="K1166" s="29">
        <v>1</v>
      </c>
      <c r="L1166" s="29">
        <v>100</v>
      </c>
      <c r="M1166" s="29">
        <v>0</v>
      </c>
      <c r="N1166" s="29">
        <v>100</v>
      </c>
      <c r="O1166" s="29">
        <v>0</v>
      </c>
    </row>
    <row r="1167" spans="1:15" x14ac:dyDescent="0.3">
      <c r="A1167" s="28" t="s">
        <v>575</v>
      </c>
      <c r="B1167" s="28" t="s">
        <v>576</v>
      </c>
      <c r="C1167" s="28" t="s">
        <v>560</v>
      </c>
      <c r="D1167" s="28" t="s">
        <v>618</v>
      </c>
      <c r="E1167" s="28" t="s">
        <v>608</v>
      </c>
      <c r="F1167" s="28" t="s">
        <v>579</v>
      </c>
      <c r="G1167" s="29">
        <v>0</v>
      </c>
      <c r="H1167" s="29">
        <v>0</v>
      </c>
      <c r="I1167" s="29">
        <v>2</v>
      </c>
      <c r="J1167" s="29">
        <v>2</v>
      </c>
      <c r="K1167" s="29">
        <v>0</v>
      </c>
      <c r="L1167" s="29">
        <v>0</v>
      </c>
      <c r="M1167" s="29">
        <v>0</v>
      </c>
      <c r="N1167" s="29">
        <v>0</v>
      </c>
      <c r="O1167" s="29">
        <v>0</v>
      </c>
    </row>
    <row r="1168" spans="1:15" x14ac:dyDescent="0.3">
      <c r="A1168" s="28" t="s">
        <v>575</v>
      </c>
      <c r="B1168" s="28" t="s">
        <v>576</v>
      </c>
      <c r="C1168" s="28" t="s">
        <v>560</v>
      </c>
      <c r="D1168" s="28" t="s">
        <v>618</v>
      </c>
      <c r="E1168" s="28" t="s">
        <v>608</v>
      </c>
      <c r="F1168" s="28" t="s">
        <v>589</v>
      </c>
      <c r="G1168" s="29">
        <v>0</v>
      </c>
      <c r="H1168" s="29">
        <v>0</v>
      </c>
      <c r="I1168" s="29">
        <v>1</v>
      </c>
      <c r="J1168" s="29">
        <v>1</v>
      </c>
      <c r="K1168" s="29">
        <v>0</v>
      </c>
      <c r="L1168" s="29">
        <v>0</v>
      </c>
      <c r="M1168" s="29">
        <v>0</v>
      </c>
      <c r="N1168" s="29">
        <v>0</v>
      </c>
      <c r="O1168" s="29">
        <v>0</v>
      </c>
    </row>
    <row r="1169" spans="1:15" x14ac:dyDescent="0.3">
      <c r="A1169" s="28" t="s">
        <v>575</v>
      </c>
      <c r="B1169" s="28" t="s">
        <v>576</v>
      </c>
      <c r="C1169" s="28" t="s">
        <v>560</v>
      </c>
      <c r="D1169" s="28" t="s">
        <v>618</v>
      </c>
      <c r="E1169" s="28" t="s">
        <v>608</v>
      </c>
      <c r="F1169" s="28" t="s">
        <v>590</v>
      </c>
      <c r="G1169" s="29">
        <v>0</v>
      </c>
      <c r="H1169" s="29">
        <v>0</v>
      </c>
      <c r="I1169" s="29">
        <v>3</v>
      </c>
      <c r="J1169" s="29">
        <v>0</v>
      </c>
      <c r="K1169" s="29">
        <v>3</v>
      </c>
      <c r="L1169" s="29">
        <v>100</v>
      </c>
      <c r="M1169" s="29">
        <v>0</v>
      </c>
      <c r="N1169" s="29">
        <v>100</v>
      </c>
      <c r="O1169" s="29">
        <v>0</v>
      </c>
    </row>
    <row r="1170" spans="1:15" x14ac:dyDescent="0.3">
      <c r="A1170" s="28" t="s">
        <v>575</v>
      </c>
      <c r="B1170" s="28" t="s">
        <v>576</v>
      </c>
      <c r="C1170" s="28" t="s">
        <v>560</v>
      </c>
      <c r="D1170" s="28" t="s">
        <v>618</v>
      </c>
      <c r="E1170" s="28" t="s">
        <v>608</v>
      </c>
      <c r="F1170" s="28" t="s">
        <v>591</v>
      </c>
      <c r="G1170" s="29">
        <v>0</v>
      </c>
      <c r="H1170" s="29">
        <v>0</v>
      </c>
      <c r="I1170" s="29">
        <v>1</v>
      </c>
      <c r="J1170" s="29">
        <v>0</v>
      </c>
      <c r="K1170" s="29">
        <v>1</v>
      </c>
      <c r="L1170" s="29">
        <v>0</v>
      </c>
      <c r="M1170" s="29">
        <v>0</v>
      </c>
      <c r="N1170" s="29">
        <v>0</v>
      </c>
      <c r="O1170" s="29">
        <v>0</v>
      </c>
    </row>
    <row r="1171" spans="1:15" x14ac:dyDescent="0.3">
      <c r="A1171" s="28" t="s">
        <v>575</v>
      </c>
      <c r="B1171" s="28" t="s">
        <v>576</v>
      </c>
      <c r="C1171" s="28" t="s">
        <v>560</v>
      </c>
      <c r="D1171" s="28" t="s">
        <v>618</v>
      </c>
      <c r="E1171" s="28" t="s">
        <v>609</v>
      </c>
      <c r="F1171" s="28" t="s">
        <v>602</v>
      </c>
      <c r="G1171" s="29">
        <v>0</v>
      </c>
      <c r="H1171" s="29">
        <v>0</v>
      </c>
      <c r="I1171" s="29">
        <v>1</v>
      </c>
      <c r="J1171" s="29">
        <v>0</v>
      </c>
      <c r="K1171" s="29">
        <v>1</v>
      </c>
      <c r="L1171" s="29">
        <v>0</v>
      </c>
      <c r="M1171" s="29">
        <v>0</v>
      </c>
      <c r="N1171" s="29">
        <v>0</v>
      </c>
      <c r="O1171" s="29">
        <v>0</v>
      </c>
    </row>
    <row r="1172" spans="1:15" x14ac:dyDescent="0.3">
      <c r="A1172" s="28" t="s">
        <v>575</v>
      </c>
      <c r="B1172" s="28" t="s">
        <v>576</v>
      </c>
      <c r="C1172" s="28" t="s">
        <v>560</v>
      </c>
      <c r="D1172" s="28" t="s">
        <v>618</v>
      </c>
      <c r="E1172" s="28" t="s">
        <v>609</v>
      </c>
      <c r="F1172" s="28" t="s">
        <v>603</v>
      </c>
      <c r="G1172" s="29">
        <v>0</v>
      </c>
      <c r="H1172" s="29">
        <v>0</v>
      </c>
      <c r="I1172" s="29">
        <v>2</v>
      </c>
      <c r="J1172" s="29">
        <v>0</v>
      </c>
      <c r="K1172" s="29">
        <v>2</v>
      </c>
      <c r="L1172" s="29">
        <v>0</v>
      </c>
      <c r="M1172" s="29">
        <v>0</v>
      </c>
      <c r="N1172" s="29">
        <v>0</v>
      </c>
      <c r="O1172" s="29">
        <v>0</v>
      </c>
    </row>
    <row r="1173" spans="1:15" x14ac:dyDescent="0.3">
      <c r="A1173" s="28" t="s">
        <v>575</v>
      </c>
      <c r="B1173" s="28" t="s">
        <v>576</v>
      </c>
      <c r="C1173" s="28" t="s">
        <v>560</v>
      </c>
      <c r="D1173" s="28" t="s">
        <v>618</v>
      </c>
      <c r="E1173" s="28" t="s">
        <v>609</v>
      </c>
      <c r="F1173" s="28" t="s">
        <v>604</v>
      </c>
      <c r="G1173" s="29">
        <v>0</v>
      </c>
      <c r="H1173" s="29">
        <v>0</v>
      </c>
      <c r="I1173" s="29">
        <v>4</v>
      </c>
      <c r="J1173" s="29">
        <v>0</v>
      </c>
      <c r="K1173" s="29">
        <v>4</v>
      </c>
      <c r="L1173" s="29">
        <v>0</v>
      </c>
      <c r="M1173" s="29">
        <v>0</v>
      </c>
      <c r="N1173" s="29">
        <v>0</v>
      </c>
      <c r="O1173" s="29">
        <v>0</v>
      </c>
    </row>
    <row r="1174" spans="1:15" x14ac:dyDescent="0.3">
      <c r="A1174" s="28" t="s">
        <v>575</v>
      </c>
      <c r="B1174" s="28" t="s">
        <v>576</v>
      </c>
      <c r="C1174" s="28" t="s">
        <v>560</v>
      </c>
      <c r="D1174" s="28" t="s">
        <v>618</v>
      </c>
      <c r="E1174" s="28" t="s">
        <v>609</v>
      </c>
      <c r="F1174" s="28" t="s">
        <v>581</v>
      </c>
      <c r="G1174" s="29">
        <v>0</v>
      </c>
      <c r="H1174" s="29">
        <v>0</v>
      </c>
      <c r="I1174" s="29">
        <v>9</v>
      </c>
      <c r="J1174" s="29">
        <v>2</v>
      </c>
      <c r="K1174" s="29">
        <v>7</v>
      </c>
      <c r="L1174" s="29">
        <v>100</v>
      </c>
      <c r="M1174" s="29">
        <v>0</v>
      </c>
      <c r="N1174" s="29">
        <v>100</v>
      </c>
      <c r="O1174" s="29">
        <v>0</v>
      </c>
    </row>
    <row r="1175" spans="1:15" x14ac:dyDescent="0.3">
      <c r="A1175" s="28" t="s">
        <v>575</v>
      </c>
      <c r="B1175" s="28" t="s">
        <v>576</v>
      </c>
      <c r="C1175" s="28" t="s">
        <v>560</v>
      </c>
      <c r="D1175" s="28" t="s">
        <v>618</v>
      </c>
      <c r="E1175" s="28" t="s">
        <v>609</v>
      </c>
      <c r="F1175" s="28" t="s">
        <v>582</v>
      </c>
      <c r="G1175" s="29">
        <v>0</v>
      </c>
      <c r="H1175" s="29">
        <v>0</v>
      </c>
      <c r="I1175" s="29">
        <v>2</v>
      </c>
      <c r="J1175" s="29">
        <v>0</v>
      </c>
      <c r="K1175" s="29">
        <v>2</v>
      </c>
      <c r="L1175" s="29">
        <v>0</v>
      </c>
      <c r="M1175" s="29">
        <v>0</v>
      </c>
      <c r="N1175" s="29">
        <v>0</v>
      </c>
      <c r="O1175" s="29">
        <v>0</v>
      </c>
    </row>
    <row r="1176" spans="1:15" x14ac:dyDescent="0.3">
      <c r="A1176" s="28" t="s">
        <v>575</v>
      </c>
      <c r="B1176" s="28" t="s">
        <v>576</v>
      </c>
      <c r="C1176" s="28" t="s">
        <v>560</v>
      </c>
      <c r="D1176" s="28" t="s">
        <v>618</v>
      </c>
      <c r="E1176" s="28" t="s">
        <v>609</v>
      </c>
      <c r="F1176" s="28" t="s">
        <v>583</v>
      </c>
      <c r="G1176" s="29">
        <v>0</v>
      </c>
      <c r="H1176" s="29">
        <v>0</v>
      </c>
      <c r="I1176" s="29">
        <v>6</v>
      </c>
      <c r="J1176" s="29">
        <v>0</v>
      </c>
      <c r="K1176" s="29">
        <v>6</v>
      </c>
      <c r="L1176" s="29">
        <v>500</v>
      </c>
      <c r="M1176" s="29">
        <v>0</v>
      </c>
      <c r="N1176" s="29">
        <v>500</v>
      </c>
      <c r="O1176" s="29">
        <v>0</v>
      </c>
    </row>
    <row r="1177" spans="1:15" x14ac:dyDescent="0.3">
      <c r="A1177" s="28" t="s">
        <v>575</v>
      </c>
      <c r="B1177" s="28" t="s">
        <v>576</v>
      </c>
      <c r="C1177" s="28" t="s">
        <v>560</v>
      </c>
      <c r="D1177" s="28" t="s">
        <v>618</v>
      </c>
      <c r="E1177" s="28" t="s">
        <v>609</v>
      </c>
      <c r="F1177" s="28" t="s">
        <v>584</v>
      </c>
      <c r="G1177" s="29">
        <v>0</v>
      </c>
      <c r="H1177" s="29">
        <v>0</v>
      </c>
      <c r="I1177" s="29">
        <v>20</v>
      </c>
      <c r="J1177" s="29">
        <v>0</v>
      </c>
      <c r="K1177" s="29">
        <v>20</v>
      </c>
      <c r="L1177" s="29">
        <v>500</v>
      </c>
      <c r="M1177" s="29">
        <v>0</v>
      </c>
      <c r="N1177" s="29">
        <v>500</v>
      </c>
      <c r="O1177" s="29">
        <v>0</v>
      </c>
    </row>
    <row r="1178" spans="1:15" x14ac:dyDescent="0.3">
      <c r="A1178" s="28" t="s">
        <v>575</v>
      </c>
      <c r="B1178" s="28" t="s">
        <v>576</v>
      </c>
      <c r="C1178" s="28" t="s">
        <v>560</v>
      </c>
      <c r="D1178" s="28" t="s">
        <v>618</v>
      </c>
      <c r="E1178" s="28" t="s">
        <v>609</v>
      </c>
      <c r="F1178" s="28" t="s">
        <v>585</v>
      </c>
      <c r="G1178" s="29">
        <v>0</v>
      </c>
      <c r="H1178" s="29">
        <v>0</v>
      </c>
      <c r="I1178" s="29">
        <v>9</v>
      </c>
      <c r="J1178" s="29">
        <v>0</v>
      </c>
      <c r="K1178" s="29">
        <v>9</v>
      </c>
      <c r="L1178" s="29">
        <v>500</v>
      </c>
      <c r="M1178" s="29">
        <v>0</v>
      </c>
      <c r="N1178" s="29">
        <v>500</v>
      </c>
      <c r="O1178" s="29">
        <v>0</v>
      </c>
    </row>
    <row r="1179" spans="1:15" x14ac:dyDescent="0.3">
      <c r="A1179" s="28" t="s">
        <v>575</v>
      </c>
      <c r="B1179" s="28" t="s">
        <v>576</v>
      </c>
      <c r="C1179" s="28" t="s">
        <v>560</v>
      </c>
      <c r="D1179" s="28" t="s">
        <v>618</v>
      </c>
      <c r="E1179" s="28" t="s">
        <v>609</v>
      </c>
      <c r="F1179" s="28" t="s">
        <v>586</v>
      </c>
      <c r="G1179" s="29">
        <v>0</v>
      </c>
      <c r="H1179" s="29">
        <v>0</v>
      </c>
      <c r="I1179" s="29">
        <v>3</v>
      </c>
      <c r="J1179" s="29">
        <v>0</v>
      </c>
      <c r="K1179" s="29">
        <v>3</v>
      </c>
      <c r="L1179" s="29">
        <v>0</v>
      </c>
      <c r="M1179" s="29">
        <v>0</v>
      </c>
      <c r="N1179" s="29">
        <v>0</v>
      </c>
      <c r="O1179" s="29">
        <v>0</v>
      </c>
    </row>
    <row r="1180" spans="1:15" x14ac:dyDescent="0.3">
      <c r="A1180" s="28" t="s">
        <v>575</v>
      </c>
      <c r="B1180" s="28" t="s">
        <v>576</v>
      </c>
      <c r="C1180" s="28" t="s">
        <v>560</v>
      </c>
      <c r="D1180" s="28" t="s">
        <v>618</v>
      </c>
      <c r="E1180" s="28" t="s">
        <v>609</v>
      </c>
      <c r="F1180" s="28" t="s">
        <v>587</v>
      </c>
      <c r="G1180" s="29">
        <v>0</v>
      </c>
      <c r="H1180" s="29">
        <v>0</v>
      </c>
      <c r="I1180" s="29">
        <v>3</v>
      </c>
      <c r="J1180" s="29">
        <v>0</v>
      </c>
      <c r="K1180" s="29">
        <v>3</v>
      </c>
      <c r="L1180" s="29">
        <v>0</v>
      </c>
      <c r="M1180" s="29">
        <v>0</v>
      </c>
      <c r="N1180" s="29">
        <v>0</v>
      </c>
      <c r="O1180" s="29">
        <v>0</v>
      </c>
    </row>
    <row r="1181" spans="1:15" x14ac:dyDescent="0.3">
      <c r="A1181" s="28" t="s">
        <v>575</v>
      </c>
      <c r="B1181" s="28" t="s">
        <v>576</v>
      </c>
      <c r="C1181" s="28" t="s">
        <v>560</v>
      </c>
      <c r="D1181" s="28" t="s">
        <v>618</v>
      </c>
      <c r="E1181" s="28" t="s">
        <v>609</v>
      </c>
      <c r="F1181" s="28" t="s">
        <v>579</v>
      </c>
      <c r="G1181" s="29">
        <v>0</v>
      </c>
      <c r="H1181" s="29">
        <v>0</v>
      </c>
      <c r="I1181" s="29">
        <v>2</v>
      </c>
      <c r="J1181" s="29">
        <v>0</v>
      </c>
      <c r="K1181" s="29">
        <v>2</v>
      </c>
      <c r="L1181" s="29">
        <v>0</v>
      </c>
      <c r="M1181" s="29">
        <v>0</v>
      </c>
      <c r="N1181" s="29">
        <v>0</v>
      </c>
      <c r="O1181" s="29">
        <v>0</v>
      </c>
    </row>
    <row r="1182" spans="1:15" x14ac:dyDescent="0.3">
      <c r="A1182" s="28" t="s">
        <v>575</v>
      </c>
      <c r="B1182" s="28" t="s">
        <v>576</v>
      </c>
      <c r="C1182" s="28" t="s">
        <v>560</v>
      </c>
      <c r="D1182" s="28" t="s">
        <v>618</v>
      </c>
      <c r="E1182" s="28" t="s">
        <v>609</v>
      </c>
      <c r="F1182" s="28" t="s">
        <v>588</v>
      </c>
      <c r="G1182" s="29">
        <v>0</v>
      </c>
      <c r="H1182" s="29">
        <v>0</v>
      </c>
      <c r="I1182" s="29">
        <v>2</v>
      </c>
      <c r="J1182" s="29">
        <v>0</v>
      </c>
      <c r="K1182" s="29">
        <v>2</v>
      </c>
      <c r="L1182" s="29">
        <v>0</v>
      </c>
      <c r="M1182" s="29">
        <v>0</v>
      </c>
      <c r="N1182" s="29">
        <v>0</v>
      </c>
      <c r="O1182" s="29">
        <v>0</v>
      </c>
    </row>
    <row r="1183" spans="1:15" x14ac:dyDescent="0.3">
      <c r="A1183" s="28" t="s">
        <v>575</v>
      </c>
      <c r="B1183" s="28" t="s">
        <v>576</v>
      </c>
      <c r="C1183" s="28" t="s">
        <v>560</v>
      </c>
      <c r="D1183" s="28" t="s">
        <v>618</v>
      </c>
      <c r="E1183" s="28" t="s">
        <v>609</v>
      </c>
      <c r="F1183" s="28" t="s">
        <v>589</v>
      </c>
      <c r="G1183" s="29">
        <v>0</v>
      </c>
      <c r="H1183" s="29">
        <v>0</v>
      </c>
      <c r="I1183" s="29">
        <v>1</v>
      </c>
      <c r="J1183" s="29">
        <v>0</v>
      </c>
      <c r="K1183" s="29">
        <v>1</v>
      </c>
      <c r="L1183" s="29">
        <v>0</v>
      </c>
      <c r="M1183" s="29">
        <v>0</v>
      </c>
      <c r="N1183" s="29">
        <v>0</v>
      </c>
      <c r="O1183" s="29">
        <v>0</v>
      </c>
    </row>
    <row r="1184" spans="1:15" x14ac:dyDescent="0.3">
      <c r="A1184" s="28" t="s">
        <v>575</v>
      </c>
      <c r="B1184" s="28" t="s">
        <v>576</v>
      </c>
      <c r="C1184" s="28" t="s">
        <v>560</v>
      </c>
      <c r="D1184" s="28" t="s">
        <v>618</v>
      </c>
      <c r="E1184" s="28" t="s">
        <v>609</v>
      </c>
      <c r="F1184" s="28" t="s">
        <v>591</v>
      </c>
      <c r="G1184" s="29">
        <v>0</v>
      </c>
      <c r="H1184" s="29">
        <v>0</v>
      </c>
      <c r="I1184" s="29">
        <v>17</v>
      </c>
      <c r="J1184" s="29">
        <v>0</v>
      </c>
      <c r="K1184" s="29">
        <v>17</v>
      </c>
      <c r="L1184" s="29">
        <v>1000</v>
      </c>
      <c r="M1184" s="29">
        <v>0</v>
      </c>
      <c r="N1184" s="29">
        <v>1000</v>
      </c>
      <c r="O1184" s="29">
        <v>0</v>
      </c>
    </row>
    <row r="1185" spans="1:15" x14ac:dyDescent="0.3">
      <c r="A1185" s="28" t="s">
        <v>575</v>
      </c>
      <c r="B1185" s="28" t="s">
        <v>576</v>
      </c>
      <c r="C1185" s="28" t="s">
        <v>560</v>
      </c>
      <c r="D1185" s="28" t="s">
        <v>618</v>
      </c>
      <c r="E1185" s="28" t="s">
        <v>609</v>
      </c>
      <c r="F1185" s="28" t="s">
        <v>592</v>
      </c>
      <c r="G1185" s="29">
        <v>0</v>
      </c>
      <c r="H1185" s="29">
        <v>0</v>
      </c>
      <c r="I1185" s="29">
        <v>1</v>
      </c>
      <c r="J1185" s="29">
        <v>0</v>
      </c>
      <c r="K1185" s="29">
        <v>1</v>
      </c>
      <c r="L1185" s="29">
        <v>0</v>
      </c>
      <c r="M1185" s="29">
        <v>0</v>
      </c>
      <c r="N1185" s="29">
        <v>0</v>
      </c>
      <c r="O1185" s="29">
        <v>0</v>
      </c>
    </row>
    <row r="1186" spans="1:15" x14ac:dyDescent="0.3">
      <c r="A1186" s="28" t="s">
        <v>575</v>
      </c>
      <c r="B1186" s="28" t="s">
        <v>576</v>
      </c>
      <c r="C1186" s="28" t="s">
        <v>560</v>
      </c>
      <c r="D1186" s="28" t="s">
        <v>618</v>
      </c>
      <c r="E1186" s="28" t="s">
        <v>609</v>
      </c>
      <c r="F1186" s="28" t="s">
        <v>593</v>
      </c>
      <c r="G1186" s="29">
        <v>0</v>
      </c>
      <c r="H1186" s="29">
        <v>0</v>
      </c>
      <c r="I1186" s="29">
        <v>4</v>
      </c>
      <c r="J1186" s="29">
        <v>0</v>
      </c>
      <c r="K1186" s="29">
        <v>4</v>
      </c>
      <c r="L1186" s="29">
        <v>0</v>
      </c>
      <c r="M1186" s="29">
        <v>0</v>
      </c>
      <c r="N1186" s="29">
        <v>0</v>
      </c>
      <c r="O1186" s="29">
        <v>0</v>
      </c>
    </row>
    <row r="1187" spans="1:15" x14ac:dyDescent="0.3">
      <c r="A1187" s="28" t="s">
        <v>575</v>
      </c>
      <c r="B1187" s="28" t="s">
        <v>576</v>
      </c>
      <c r="C1187" s="28" t="s">
        <v>560</v>
      </c>
      <c r="D1187" s="28" t="s">
        <v>618</v>
      </c>
      <c r="E1187" s="28" t="s">
        <v>609</v>
      </c>
      <c r="F1187" s="28" t="s">
        <v>594</v>
      </c>
      <c r="G1187" s="29">
        <v>0</v>
      </c>
      <c r="H1187" s="29">
        <v>0</v>
      </c>
      <c r="I1187" s="29">
        <v>1</v>
      </c>
      <c r="J1187" s="29">
        <v>1</v>
      </c>
      <c r="K1187" s="29">
        <v>0</v>
      </c>
      <c r="L1187" s="29">
        <v>100</v>
      </c>
      <c r="M1187" s="29">
        <v>100</v>
      </c>
      <c r="N1187" s="29">
        <v>0</v>
      </c>
      <c r="O1187" s="29">
        <v>0</v>
      </c>
    </row>
    <row r="1188" spans="1:15" x14ac:dyDescent="0.3">
      <c r="A1188" s="28" t="s">
        <v>575</v>
      </c>
      <c r="B1188" s="28" t="s">
        <v>576</v>
      </c>
      <c r="C1188" s="28" t="s">
        <v>560</v>
      </c>
      <c r="D1188" s="28" t="s">
        <v>618</v>
      </c>
      <c r="E1188" s="28" t="s">
        <v>610</v>
      </c>
      <c r="F1188" s="28" t="s">
        <v>601</v>
      </c>
      <c r="G1188" s="29">
        <v>0</v>
      </c>
      <c r="H1188" s="29">
        <v>0</v>
      </c>
      <c r="I1188" s="29">
        <v>1</v>
      </c>
      <c r="J1188" s="29">
        <v>0</v>
      </c>
      <c r="K1188" s="29">
        <v>1</v>
      </c>
      <c r="L1188" s="29">
        <v>0</v>
      </c>
      <c r="M1188" s="29">
        <v>0</v>
      </c>
      <c r="N1188" s="29">
        <v>0</v>
      </c>
      <c r="O1188" s="29">
        <v>0</v>
      </c>
    </row>
    <row r="1189" spans="1:15" x14ac:dyDescent="0.3">
      <c r="A1189" s="28" t="s">
        <v>575</v>
      </c>
      <c r="B1189" s="28" t="s">
        <v>576</v>
      </c>
      <c r="C1189" s="28" t="s">
        <v>560</v>
      </c>
      <c r="D1189" s="28" t="s">
        <v>618</v>
      </c>
      <c r="E1189" s="28" t="s">
        <v>610</v>
      </c>
      <c r="F1189" s="28" t="s">
        <v>602</v>
      </c>
      <c r="G1189" s="29">
        <v>0</v>
      </c>
      <c r="H1189" s="29">
        <v>0</v>
      </c>
      <c r="I1189" s="29">
        <v>3</v>
      </c>
      <c r="J1189" s="29">
        <v>0</v>
      </c>
      <c r="K1189" s="29">
        <v>3</v>
      </c>
      <c r="L1189" s="29">
        <v>500</v>
      </c>
      <c r="M1189" s="29">
        <v>0</v>
      </c>
      <c r="N1189" s="29">
        <v>500</v>
      </c>
      <c r="O1189" s="29">
        <v>0</v>
      </c>
    </row>
    <row r="1190" spans="1:15" x14ac:dyDescent="0.3">
      <c r="A1190" s="28" t="s">
        <v>575</v>
      </c>
      <c r="B1190" s="28" t="s">
        <v>576</v>
      </c>
      <c r="C1190" s="28" t="s">
        <v>560</v>
      </c>
      <c r="D1190" s="28" t="s">
        <v>618</v>
      </c>
      <c r="E1190" s="28" t="s">
        <v>610</v>
      </c>
      <c r="F1190" s="28" t="s">
        <v>603</v>
      </c>
      <c r="G1190" s="29">
        <v>0</v>
      </c>
      <c r="H1190" s="29">
        <v>0</v>
      </c>
      <c r="I1190" s="29">
        <v>3</v>
      </c>
      <c r="J1190" s="29">
        <v>0</v>
      </c>
      <c r="K1190" s="29">
        <v>3</v>
      </c>
      <c r="L1190" s="29">
        <v>0</v>
      </c>
      <c r="M1190" s="29">
        <v>0</v>
      </c>
      <c r="N1190" s="29">
        <v>0</v>
      </c>
      <c r="O1190" s="29">
        <v>0</v>
      </c>
    </row>
    <row r="1191" spans="1:15" x14ac:dyDescent="0.3">
      <c r="A1191" s="28" t="s">
        <v>575</v>
      </c>
      <c r="B1191" s="28" t="s">
        <v>576</v>
      </c>
      <c r="C1191" s="28" t="s">
        <v>560</v>
      </c>
      <c r="D1191" s="28" t="s">
        <v>618</v>
      </c>
      <c r="E1191" s="28" t="s">
        <v>610</v>
      </c>
      <c r="F1191" s="28" t="s">
        <v>604</v>
      </c>
      <c r="G1191" s="29">
        <v>0</v>
      </c>
      <c r="H1191" s="29">
        <v>0</v>
      </c>
      <c r="I1191" s="29">
        <v>4</v>
      </c>
      <c r="J1191" s="29">
        <v>2</v>
      </c>
      <c r="K1191" s="29">
        <v>2</v>
      </c>
      <c r="L1191" s="29">
        <v>0</v>
      </c>
      <c r="M1191" s="29">
        <v>0</v>
      </c>
      <c r="N1191" s="29">
        <v>0</v>
      </c>
      <c r="O1191" s="29">
        <v>0</v>
      </c>
    </row>
    <row r="1192" spans="1:15" x14ac:dyDescent="0.3">
      <c r="A1192" s="28" t="s">
        <v>575</v>
      </c>
      <c r="B1192" s="28" t="s">
        <v>576</v>
      </c>
      <c r="C1192" s="28" t="s">
        <v>560</v>
      </c>
      <c r="D1192" s="28" t="s">
        <v>618</v>
      </c>
      <c r="E1192" s="28" t="s">
        <v>610</v>
      </c>
      <c r="F1192" s="28" t="s">
        <v>581</v>
      </c>
      <c r="G1192" s="29">
        <v>0</v>
      </c>
      <c r="H1192" s="29">
        <v>0</v>
      </c>
      <c r="I1192" s="29">
        <v>2</v>
      </c>
      <c r="J1192" s="29">
        <v>0</v>
      </c>
      <c r="K1192" s="29">
        <v>2</v>
      </c>
      <c r="L1192" s="29">
        <v>0</v>
      </c>
      <c r="M1192" s="29">
        <v>0</v>
      </c>
      <c r="N1192" s="29">
        <v>0</v>
      </c>
      <c r="O1192" s="29">
        <v>0</v>
      </c>
    </row>
    <row r="1193" spans="1:15" x14ac:dyDescent="0.3">
      <c r="A1193" s="28" t="s">
        <v>575</v>
      </c>
      <c r="B1193" s="28" t="s">
        <v>576</v>
      </c>
      <c r="C1193" s="28" t="s">
        <v>560</v>
      </c>
      <c r="D1193" s="28" t="s">
        <v>618</v>
      </c>
      <c r="E1193" s="28" t="s">
        <v>610</v>
      </c>
      <c r="F1193" s="28" t="s">
        <v>582</v>
      </c>
      <c r="G1193" s="29">
        <v>0</v>
      </c>
      <c r="H1193" s="29">
        <v>0</v>
      </c>
      <c r="I1193" s="29">
        <v>2</v>
      </c>
      <c r="J1193" s="29">
        <v>0</v>
      </c>
      <c r="K1193" s="29">
        <v>2</v>
      </c>
      <c r="L1193" s="29">
        <v>0</v>
      </c>
      <c r="M1193" s="29">
        <v>0</v>
      </c>
      <c r="N1193" s="29">
        <v>0</v>
      </c>
      <c r="O1193" s="29">
        <v>0</v>
      </c>
    </row>
    <row r="1194" spans="1:15" x14ac:dyDescent="0.3">
      <c r="A1194" s="28" t="s">
        <v>575</v>
      </c>
      <c r="B1194" s="28" t="s">
        <v>576</v>
      </c>
      <c r="C1194" s="28" t="s">
        <v>560</v>
      </c>
      <c r="D1194" s="28" t="s">
        <v>618</v>
      </c>
      <c r="E1194" s="28" t="s">
        <v>610</v>
      </c>
      <c r="F1194" s="28" t="s">
        <v>583</v>
      </c>
      <c r="G1194" s="29">
        <v>0</v>
      </c>
      <c r="H1194" s="29">
        <v>0</v>
      </c>
      <c r="I1194" s="29">
        <v>3</v>
      </c>
      <c r="J1194" s="29">
        <v>0</v>
      </c>
      <c r="K1194" s="29">
        <v>3</v>
      </c>
      <c r="L1194" s="29">
        <v>50</v>
      </c>
      <c r="M1194" s="29">
        <v>0</v>
      </c>
      <c r="N1194" s="29">
        <v>50</v>
      </c>
      <c r="O1194" s="29">
        <v>0</v>
      </c>
    </row>
    <row r="1195" spans="1:15" x14ac:dyDescent="0.3">
      <c r="A1195" s="28" t="s">
        <v>575</v>
      </c>
      <c r="B1195" s="28" t="s">
        <v>576</v>
      </c>
      <c r="C1195" s="28" t="s">
        <v>560</v>
      </c>
      <c r="D1195" s="28" t="s">
        <v>618</v>
      </c>
      <c r="E1195" s="28" t="s">
        <v>610</v>
      </c>
      <c r="F1195" s="28" t="s">
        <v>584</v>
      </c>
      <c r="G1195" s="29">
        <v>0</v>
      </c>
      <c r="H1195" s="29">
        <v>0</v>
      </c>
      <c r="I1195" s="29">
        <v>2</v>
      </c>
      <c r="J1195" s="29">
        <v>0</v>
      </c>
      <c r="K1195" s="29">
        <v>2</v>
      </c>
      <c r="L1195" s="29">
        <v>0</v>
      </c>
      <c r="M1195" s="29">
        <v>0</v>
      </c>
      <c r="N1195" s="29">
        <v>0</v>
      </c>
      <c r="O1195" s="29">
        <v>0</v>
      </c>
    </row>
    <row r="1196" spans="1:15" x14ac:dyDescent="0.3">
      <c r="A1196" s="28" t="s">
        <v>575</v>
      </c>
      <c r="B1196" s="28" t="s">
        <v>576</v>
      </c>
      <c r="C1196" s="28" t="s">
        <v>560</v>
      </c>
      <c r="D1196" s="28" t="s">
        <v>618</v>
      </c>
      <c r="E1196" s="28" t="s">
        <v>610</v>
      </c>
      <c r="F1196" s="28" t="s">
        <v>585</v>
      </c>
      <c r="G1196" s="29">
        <v>0</v>
      </c>
      <c r="H1196" s="29">
        <v>0</v>
      </c>
      <c r="I1196" s="29">
        <v>3</v>
      </c>
      <c r="J1196" s="29">
        <v>0</v>
      </c>
      <c r="K1196" s="29">
        <v>3</v>
      </c>
      <c r="L1196" s="29">
        <v>0</v>
      </c>
      <c r="M1196" s="29">
        <v>0</v>
      </c>
      <c r="N1196" s="29">
        <v>0</v>
      </c>
      <c r="O1196" s="29">
        <v>0</v>
      </c>
    </row>
    <row r="1197" spans="1:15" x14ac:dyDescent="0.3">
      <c r="A1197" s="28" t="s">
        <v>575</v>
      </c>
      <c r="B1197" s="28" t="s">
        <v>576</v>
      </c>
      <c r="C1197" s="28" t="s">
        <v>560</v>
      </c>
      <c r="D1197" s="28" t="s">
        <v>618</v>
      </c>
      <c r="E1197" s="28" t="s">
        <v>610</v>
      </c>
      <c r="F1197" s="28" t="s">
        <v>586</v>
      </c>
      <c r="G1197" s="29">
        <v>0</v>
      </c>
      <c r="H1197" s="29">
        <v>0</v>
      </c>
      <c r="I1197" s="29">
        <v>3</v>
      </c>
      <c r="J1197" s="29">
        <v>0</v>
      </c>
      <c r="K1197" s="29">
        <v>3</v>
      </c>
      <c r="L1197" s="29">
        <v>500</v>
      </c>
      <c r="M1197" s="29">
        <v>0</v>
      </c>
      <c r="N1197" s="29">
        <v>500</v>
      </c>
      <c r="O1197" s="29">
        <v>0</v>
      </c>
    </row>
    <row r="1198" spans="1:15" x14ac:dyDescent="0.3">
      <c r="A1198" s="28" t="s">
        <v>575</v>
      </c>
      <c r="B1198" s="28" t="s">
        <v>576</v>
      </c>
      <c r="C1198" s="28" t="s">
        <v>560</v>
      </c>
      <c r="D1198" s="28" t="s">
        <v>618</v>
      </c>
      <c r="E1198" s="28" t="s">
        <v>610</v>
      </c>
      <c r="F1198" s="28" t="s">
        <v>579</v>
      </c>
      <c r="G1198" s="29">
        <v>0</v>
      </c>
      <c r="H1198" s="29">
        <v>0</v>
      </c>
      <c r="I1198" s="29">
        <v>2</v>
      </c>
      <c r="J1198" s="29">
        <v>0</v>
      </c>
      <c r="K1198" s="29">
        <v>2</v>
      </c>
      <c r="L1198" s="29">
        <v>0</v>
      </c>
      <c r="M1198" s="29">
        <v>0</v>
      </c>
      <c r="N1198" s="29">
        <v>0</v>
      </c>
      <c r="O1198" s="29">
        <v>0</v>
      </c>
    </row>
    <row r="1199" spans="1:15" x14ac:dyDescent="0.3">
      <c r="A1199" s="28" t="s">
        <v>575</v>
      </c>
      <c r="B1199" s="28" t="s">
        <v>576</v>
      </c>
      <c r="C1199" s="28" t="s">
        <v>560</v>
      </c>
      <c r="D1199" s="28" t="s">
        <v>618</v>
      </c>
      <c r="E1199" s="28" t="s">
        <v>610</v>
      </c>
      <c r="F1199" s="28" t="s">
        <v>588</v>
      </c>
      <c r="G1199" s="29">
        <v>0</v>
      </c>
      <c r="H1199" s="29">
        <v>0</v>
      </c>
      <c r="I1199" s="29">
        <v>5</v>
      </c>
      <c r="J1199" s="29">
        <v>0</v>
      </c>
      <c r="K1199" s="29">
        <v>5</v>
      </c>
      <c r="L1199" s="29">
        <v>0</v>
      </c>
      <c r="M1199" s="29">
        <v>0</v>
      </c>
      <c r="N1199" s="29">
        <v>0</v>
      </c>
      <c r="O1199" s="29">
        <v>0</v>
      </c>
    </row>
    <row r="1200" spans="1:15" x14ac:dyDescent="0.3">
      <c r="A1200" s="28" t="s">
        <v>575</v>
      </c>
      <c r="B1200" s="28" t="s">
        <v>576</v>
      </c>
      <c r="C1200" s="28" t="s">
        <v>560</v>
      </c>
      <c r="D1200" s="28" t="s">
        <v>618</v>
      </c>
      <c r="E1200" s="28" t="s">
        <v>610</v>
      </c>
      <c r="F1200" s="28" t="s">
        <v>590</v>
      </c>
      <c r="G1200" s="29">
        <v>0</v>
      </c>
      <c r="H1200" s="29">
        <v>0</v>
      </c>
      <c r="I1200" s="29">
        <v>4</v>
      </c>
      <c r="J1200" s="29">
        <v>4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</row>
    <row r="1201" spans="1:15" x14ac:dyDescent="0.3">
      <c r="A1201" s="28" t="s">
        <v>575</v>
      </c>
      <c r="B1201" s="28" t="s">
        <v>576</v>
      </c>
      <c r="C1201" s="28" t="s">
        <v>560</v>
      </c>
      <c r="D1201" s="28" t="s">
        <v>618</v>
      </c>
      <c r="E1201" s="28" t="s">
        <v>610</v>
      </c>
      <c r="F1201" s="28" t="s">
        <v>591</v>
      </c>
      <c r="G1201" s="29">
        <v>0</v>
      </c>
      <c r="H1201" s="29">
        <v>0</v>
      </c>
      <c r="I1201" s="29">
        <v>5</v>
      </c>
      <c r="J1201" s="29">
        <v>0</v>
      </c>
      <c r="K1201" s="29">
        <v>5</v>
      </c>
      <c r="L1201" s="29">
        <v>0</v>
      </c>
      <c r="M1201" s="29">
        <v>0</v>
      </c>
      <c r="N1201" s="29">
        <v>0</v>
      </c>
      <c r="O1201" s="29">
        <v>0</v>
      </c>
    </row>
    <row r="1202" spans="1:15" x14ac:dyDescent="0.3">
      <c r="A1202" s="28" t="s">
        <v>575</v>
      </c>
      <c r="B1202" s="28" t="s">
        <v>576</v>
      </c>
      <c r="C1202" s="28" t="s">
        <v>560</v>
      </c>
      <c r="D1202" s="28" t="s">
        <v>618</v>
      </c>
      <c r="E1202" s="28" t="s">
        <v>610</v>
      </c>
      <c r="F1202" s="28" t="s">
        <v>592</v>
      </c>
      <c r="G1202" s="29">
        <v>0</v>
      </c>
      <c r="H1202" s="29">
        <v>0</v>
      </c>
      <c r="I1202" s="29">
        <v>3</v>
      </c>
      <c r="J1202" s="29">
        <v>1</v>
      </c>
      <c r="K1202" s="29">
        <v>2</v>
      </c>
      <c r="L1202" s="29">
        <v>0</v>
      </c>
      <c r="M1202" s="29">
        <v>0</v>
      </c>
      <c r="N1202" s="29">
        <v>0</v>
      </c>
      <c r="O1202" s="29">
        <v>0</v>
      </c>
    </row>
    <row r="1203" spans="1:15" x14ac:dyDescent="0.3">
      <c r="A1203" s="28" t="s">
        <v>575</v>
      </c>
      <c r="B1203" s="28" t="s">
        <v>576</v>
      </c>
      <c r="C1203" s="28" t="s">
        <v>560</v>
      </c>
      <c r="D1203" s="28" t="s">
        <v>618</v>
      </c>
      <c r="E1203" s="28" t="s">
        <v>610</v>
      </c>
      <c r="F1203" s="28" t="s">
        <v>593</v>
      </c>
      <c r="G1203" s="29">
        <v>0</v>
      </c>
      <c r="H1203" s="29">
        <v>0</v>
      </c>
      <c r="I1203" s="29">
        <v>3</v>
      </c>
      <c r="J1203" s="29">
        <v>0</v>
      </c>
      <c r="K1203" s="29">
        <v>3</v>
      </c>
      <c r="L1203" s="29">
        <v>1000</v>
      </c>
      <c r="M1203" s="29">
        <v>0</v>
      </c>
      <c r="N1203" s="29">
        <v>1000</v>
      </c>
      <c r="O1203" s="29">
        <v>0</v>
      </c>
    </row>
    <row r="1204" spans="1:15" x14ac:dyDescent="0.3">
      <c r="A1204" s="28" t="s">
        <v>575</v>
      </c>
      <c r="B1204" s="28" t="s">
        <v>576</v>
      </c>
      <c r="C1204" s="28" t="s">
        <v>560</v>
      </c>
      <c r="D1204" s="28" t="s">
        <v>618</v>
      </c>
      <c r="E1204" s="28" t="s">
        <v>610</v>
      </c>
      <c r="F1204" s="28" t="s">
        <v>595</v>
      </c>
      <c r="G1204" s="29">
        <v>0</v>
      </c>
      <c r="H1204" s="29">
        <v>0</v>
      </c>
      <c r="I1204" s="29">
        <v>1</v>
      </c>
      <c r="J1204" s="29">
        <v>0</v>
      </c>
      <c r="K1204" s="29">
        <v>1</v>
      </c>
      <c r="L1204" s="29">
        <v>0</v>
      </c>
      <c r="M1204" s="29">
        <v>0</v>
      </c>
      <c r="N1204" s="29">
        <v>0</v>
      </c>
      <c r="O1204" s="29">
        <v>0</v>
      </c>
    </row>
    <row r="1205" spans="1:15" x14ac:dyDescent="0.3">
      <c r="A1205" s="28" t="s">
        <v>575</v>
      </c>
      <c r="B1205" s="28" t="s">
        <v>576</v>
      </c>
      <c r="C1205" s="28" t="s">
        <v>560</v>
      </c>
      <c r="D1205" s="28" t="s">
        <v>618</v>
      </c>
      <c r="E1205" s="28" t="s">
        <v>611</v>
      </c>
      <c r="F1205" s="28" t="s">
        <v>597</v>
      </c>
      <c r="G1205" s="29">
        <v>0</v>
      </c>
      <c r="H1205" s="29">
        <v>0</v>
      </c>
      <c r="I1205" s="29">
        <v>1</v>
      </c>
      <c r="J1205" s="29">
        <v>0</v>
      </c>
      <c r="K1205" s="29">
        <v>1</v>
      </c>
      <c r="L1205" s="29">
        <v>0</v>
      </c>
      <c r="M1205" s="29">
        <v>0</v>
      </c>
      <c r="N1205" s="29">
        <v>0</v>
      </c>
      <c r="O1205" s="29">
        <v>0</v>
      </c>
    </row>
    <row r="1206" spans="1:15" x14ac:dyDescent="0.3">
      <c r="A1206" s="28" t="s">
        <v>575</v>
      </c>
      <c r="B1206" s="28" t="s">
        <v>576</v>
      </c>
      <c r="C1206" s="28" t="s">
        <v>560</v>
      </c>
      <c r="D1206" s="28" t="s">
        <v>618</v>
      </c>
      <c r="E1206" s="28" t="s">
        <v>611</v>
      </c>
      <c r="F1206" s="28" t="s">
        <v>598</v>
      </c>
      <c r="G1206" s="29">
        <v>0</v>
      </c>
      <c r="H1206" s="29">
        <v>0</v>
      </c>
      <c r="I1206" s="29">
        <v>3</v>
      </c>
      <c r="J1206" s="29">
        <v>0</v>
      </c>
      <c r="K1206" s="29">
        <v>3</v>
      </c>
      <c r="L1206" s="29">
        <v>0</v>
      </c>
      <c r="M1206" s="29">
        <v>0</v>
      </c>
      <c r="N1206" s="29">
        <v>0</v>
      </c>
      <c r="O1206" s="29">
        <v>0</v>
      </c>
    </row>
    <row r="1207" spans="1:15" x14ac:dyDescent="0.3">
      <c r="A1207" s="28" t="s">
        <v>575</v>
      </c>
      <c r="B1207" s="28" t="s">
        <v>576</v>
      </c>
      <c r="C1207" s="28" t="s">
        <v>560</v>
      </c>
      <c r="D1207" s="28" t="s">
        <v>618</v>
      </c>
      <c r="E1207" s="28" t="s">
        <v>611</v>
      </c>
      <c r="F1207" s="28" t="s">
        <v>600</v>
      </c>
      <c r="G1207" s="29">
        <v>0</v>
      </c>
      <c r="H1207" s="29">
        <v>0</v>
      </c>
      <c r="I1207" s="29">
        <v>2</v>
      </c>
      <c r="J1207" s="29">
        <v>0</v>
      </c>
      <c r="K1207" s="29">
        <v>2</v>
      </c>
      <c r="L1207" s="29">
        <v>0</v>
      </c>
      <c r="M1207" s="29">
        <v>0</v>
      </c>
      <c r="N1207" s="29">
        <v>0</v>
      </c>
      <c r="O1207" s="29">
        <v>0</v>
      </c>
    </row>
    <row r="1208" spans="1:15" x14ac:dyDescent="0.3">
      <c r="A1208" s="28" t="s">
        <v>575</v>
      </c>
      <c r="B1208" s="28" t="s">
        <v>576</v>
      </c>
      <c r="C1208" s="28" t="s">
        <v>560</v>
      </c>
      <c r="D1208" s="28" t="s">
        <v>618</v>
      </c>
      <c r="E1208" s="28" t="s">
        <v>611</v>
      </c>
      <c r="F1208" s="28" t="s">
        <v>603</v>
      </c>
      <c r="G1208" s="29">
        <v>0</v>
      </c>
      <c r="H1208" s="29">
        <v>0</v>
      </c>
      <c r="I1208" s="29">
        <v>3</v>
      </c>
      <c r="J1208" s="29">
        <v>0</v>
      </c>
      <c r="K1208" s="29">
        <v>3</v>
      </c>
      <c r="L1208" s="29">
        <v>0</v>
      </c>
      <c r="M1208" s="29">
        <v>0</v>
      </c>
      <c r="N1208" s="29">
        <v>0</v>
      </c>
      <c r="O1208" s="29">
        <v>0</v>
      </c>
    </row>
    <row r="1209" spans="1:15" x14ac:dyDescent="0.3">
      <c r="A1209" s="28" t="s">
        <v>575</v>
      </c>
      <c r="B1209" s="28" t="s">
        <v>576</v>
      </c>
      <c r="C1209" s="28" t="s">
        <v>560</v>
      </c>
      <c r="D1209" s="28" t="s">
        <v>618</v>
      </c>
      <c r="E1209" s="28" t="s">
        <v>611</v>
      </c>
      <c r="F1209" s="28" t="s">
        <v>604</v>
      </c>
      <c r="G1209" s="29">
        <v>0</v>
      </c>
      <c r="H1209" s="29">
        <v>0</v>
      </c>
      <c r="I1209" s="29">
        <v>5</v>
      </c>
      <c r="J1209" s="29">
        <v>0</v>
      </c>
      <c r="K1209" s="29">
        <v>5</v>
      </c>
      <c r="L1209" s="29">
        <v>0</v>
      </c>
      <c r="M1209" s="29">
        <v>0</v>
      </c>
      <c r="N1209" s="29">
        <v>0</v>
      </c>
      <c r="O1209" s="29">
        <v>0</v>
      </c>
    </row>
    <row r="1210" spans="1:15" x14ac:dyDescent="0.3">
      <c r="A1210" s="28" t="s">
        <v>575</v>
      </c>
      <c r="B1210" s="28" t="s">
        <v>576</v>
      </c>
      <c r="C1210" s="28" t="s">
        <v>560</v>
      </c>
      <c r="D1210" s="28" t="s">
        <v>618</v>
      </c>
      <c r="E1210" s="28" t="s">
        <v>611</v>
      </c>
      <c r="F1210" s="28" t="s">
        <v>581</v>
      </c>
      <c r="G1210" s="29">
        <v>0</v>
      </c>
      <c r="H1210" s="29">
        <v>0</v>
      </c>
      <c r="I1210" s="29">
        <v>7</v>
      </c>
      <c r="J1210" s="29">
        <v>0</v>
      </c>
      <c r="K1210" s="29">
        <v>7</v>
      </c>
      <c r="L1210" s="29">
        <v>0</v>
      </c>
      <c r="M1210" s="29">
        <v>0</v>
      </c>
      <c r="N1210" s="29">
        <v>0</v>
      </c>
      <c r="O1210" s="29">
        <v>0</v>
      </c>
    </row>
    <row r="1211" spans="1:15" x14ac:dyDescent="0.3">
      <c r="A1211" s="28" t="s">
        <v>575</v>
      </c>
      <c r="B1211" s="28" t="s">
        <v>576</v>
      </c>
      <c r="C1211" s="28" t="s">
        <v>560</v>
      </c>
      <c r="D1211" s="28" t="s">
        <v>618</v>
      </c>
      <c r="E1211" s="28" t="s">
        <v>611</v>
      </c>
      <c r="F1211" s="28" t="s">
        <v>582</v>
      </c>
      <c r="G1211" s="29">
        <v>0</v>
      </c>
      <c r="H1211" s="29">
        <v>0</v>
      </c>
      <c r="I1211" s="29">
        <v>3</v>
      </c>
      <c r="J1211" s="29">
        <v>0</v>
      </c>
      <c r="K1211" s="29">
        <v>3</v>
      </c>
      <c r="L1211" s="29">
        <v>500</v>
      </c>
      <c r="M1211" s="29">
        <v>0</v>
      </c>
      <c r="N1211" s="29">
        <v>500</v>
      </c>
      <c r="O1211" s="29">
        <v>0</v>
      </c>
    </row>
    <row r="1212" spans="1:15" x14ac:dyDescent="0.3">
      <c r="A1212" s="28" t="s">
        <v>575</v>
      </c>
      <c r="B1212" s="28" t="s">
        <v>576</v>
      </c>
      <c r="C1212" s="28" t="s">
        <v>560</v>
      </c>
      <c r="D1212" s="28" t="s">
        <v>618</v>
      </c>
      <c r="E1212" s="28" t="s">
        <v>611</v>
      </c>
      <c r="F1212" s="28" t="s">
        <v>583</v>
      </c>
      <c r="G1212" s="29">
        <v>0</v>
      </c>
      <c r="H1212" s="29">
        <v>0</v>
      </c>
      <c r="I1212" s="29">
        <v>10</v>
      </c>
      <c r="J1212" s="29">
        <v>0</v>
      </c>
      <c r="K1212" s="29">
        <v>10</v>
      </c>
      <c r="L1212" s="29">
        <v>500</v>
      </c>
      <c r="M1212" s="29">
        <v>0</v>
      </c>
      <c r="N1212" s="29">
        <v>500</v>
      </c>
      <c r="O1212" s="29">
        <v>0</v>
      </c>
    </row>
    <row r="1213" spans="1:15" x14ac:dyDescent="0.3">
      <c r="A1213" s="28" t="s">
        <v>575</v>
      </c>
      <c r="B1213" s="28" t="s">
        <v>576</v>
      </c>
      <c r="C1213" s="28" t="s">
        <v>560</v>
      </c>
      <c r="D1213" s="28" t="s">
        <v>618</v>
      </c>
      <c r="E1213" s="28" t="s">
        <v>611</v>
      </c>
      <c r="F1213" s="28" t="s">
        <v>584</v>
      </c>
      <c r="G1213" s="29">
        <v>0</v>
      </c>
      <c r="H1213" s="29">
        <v>0</v>
      </c>
      <c r="I1213" s="29">
        <v>2</v>
      </c>
      <c r="J1213" s="29">
        <v>0</v>
      </c>
      <c r="K1213" s="29">
        <v>2</v>
      </c>
      <c r="L1213" s="29">
        <v>0</v>
      </c>
      <c r="M1213" s="29">
        <v>0</v>
      </c>
      <c r="N1213" s="29">
        <v>0</v>
      </c>
      <c r="O1213" s="29">
        <v>0</v>
      </c>
    </row>
    <row r="1214" spans="1:15" x14ac:dyDescent="0.3">
      <c r="A1214" s="28" t="s">
        <v>575</v>
      </c>
      <c r="B1214" s="28" t="s">
        <v>576</v>
      </c>
      <c r="C1214" s="28" t="s">
        <v>560</v>
      </c>
      <c r="D1214" s="28" t="s">
        <v>618</v>
      </c>
      <c r="E1214" s="28" t="s">
        <v>611</v>
      </c>
      <c r="F1214" s="28" t="s">
        <v>585</v>
      </c>
      <c r="G1214" s="29">
        <v>0</v>
      </c>
      <c r="H1214" s="29">
        <v>0</v>
      </c>
      <c r="I1214" s="29">
        <v>1</v>
      </c>
      <c r="J1214" s="29">
        <v>0</v>
      </c>
      <c r="K1214" s="29">
        <v>1</v>
      </c>
      <c r="L1214" s="29">
        <v>0</v>
      </c>
      <c r="M1214" s="29">
        <v>0</v>
      </c>
      <c r="N1214" s="29">
        <v>0</v>
      </c>
      <c r="O1214" s="29">
        <v>0</v>
      </c>
    </row>
    <row r="1215" spans="1:15" x14ac:dyDescent="0.3">
      <c r="A1215" s="28" t="s">
        <v>575</v>
      </c>
      <c r="B1215" s="28" t="s">
        <v>576</v>
      </c>
      <c r="C1215" s="28" t="s">
        <v>560</v>
      </c>
      <c r="D1215" s="28" t="s">
        <v>618</v>
      </c>
      <c r="E1215" s="28" t="s">
        <v>611</v>
      </c>
      <c r="F1215" s="28" t="s">
        <v>586</v>
      </c>
      <c r="G1215" s="29">
        <v>0</v>
      </c>
      <c r="H1215" s="29">
        <v>0</v>
      </c>
      <c r="I1215" s="29">
        <v>5</v>
      </c>
      <c r="J1215" s="29">
        <v>0</v>
      </c>
      <c r="K1215" s="29">
        <v>5</v>
      </c>
      <c r="L1215" s="29">
        <v>500</v>
      </c>
      <c r="M1215" s="29">
        <v>0</v>
      </c>
      <c r="N1215" s="29">
        <v>500</v>
      </c>
      <c r="O1215" s="29">
        <v>0</v>
      </c>
    </row>
    <row r="1216" spans="1:15" x14ac:dyDescent="0.3">
      <c r="A1216" s="28" t="s">
        <v>575</v>
      </c>
      <c r="B1216" s="28" t="s">
        <v>576</v>
      </c>
      <c r="C1216" s="28" t="s">
        <v>560</v>
      </c>
      <c r="D1216" s="28" t="s">
        <v>618</v>
      </c>
      <c r="E1216" s="28" t="s">
        <v>611</v>
      </c>
      <c r="F1216" s="28" t="s">
        <v>587</v>
      </c>
      <c r="G1216" s="29">
        <v>0</v>
      </c>
      <c r="H1216" s="29">
        <v>0</v>
      </c>
      <c r="I1216" s="29">
        <v>1</v>
      </c>
      <c r="J1216" s="29">
        <v>0</v>
      </c>
      <c r="K1216" s="29">
        <v>1</v>
      </c>
      <c r="L1216" s="29">
        <v>0</v>
      </c>
      <c r="M1216" s="29">
        <v>0</v>
      </c>
      <c r="N1216" s="29">
        <v>0</v>
      </c>
      <c r="O1216" s="29">
        <v>0</v>
      </c>
    </row>
    <row r="1217" spans="1:15" x14ac:dyDescent="0.3">
      <c r="A1217" s="28" t="s">
        <v>575</v>
      </c>
      <c r="B1217" s="28" t="s">
        <v>576</v>
      </c>
      <c r="C1217" s="28" t="s">
        <v>560</v>
      </c>
      <c r="D1217" s="28" t="s">
        <v>618</v>
      </c>
      <c r="E1217" s="28" t="s">
        <v>611</v>
      </c>
      <c r="F1217" s="28" t="s">
        <v>579</v>
      </c>
      <c r="G1217" s="29">
        <v>0</v>
      </c>
      <c r="H1217" s="29">
        <v>0</v>
      </c>
      <c r="I1217" s="29">
        <v>3</v>
      </c>
      <c r="J1217" s="29">
        <v>0</v>
      </c>
      <c r="K1217" s="29">
        <v>3</v>
      </c>
      <c r="L1217" s="29">
        <v>0</v>
      </c>
      <c r="M1217" s="29">
        <v>0</v>
      </c>
      <c r="N1217" s="29">
        <v>0</v>
      </c>
      <c r="O1217" s="29">
        <v>0</v>
      </c>
    </row>
    <row r="1218" spans="1:15" x14ac:dyDescent="0.3">
      <c r="A1218" s="28" t="s">
        <v>575</v>
      </c>
      <c r="B1218" s="28" t="s">
        <v>576</v>
      </c>
      <c r="C1218" s="28" t="s">
        <v>560</v>
      </c>
      <c r="D1218" s="28" t="s">
        <v>618</v>
      </c>
      <c r="E1218" s="28" t="s">
        <v>611</v>
      </c>
      <c r="F1218" s="28" t="s">
        <v>588</v>
      </c>
      <c r="G1218" s="29">
        <v>0</v>
      </c>
      <c r="H1218" s="29">
        <v>0</v>
      </c>
      <c r="I1218" s="29">
        <v>6</v>
      </c>
      <c r="J1218" s="29">
        <v>1</v>
      </c>
      <c r="K1218" s="29">
        <v>5</v>
      </c>
      <c r="L1218" s="29">
        <v>0</v>
      </c>
      <c r="M1218" s="29">
        <v>0</v>
      </c>
      <c r="N1218" s="29">
        <v>0</v>
      </c>
      <c r="O1218" s="29">
        <v>0</v>
      </c>
    </row>
    <row r="1219" spans="1:15" x14ac:dyDescent="0.3">
      <c r="A1219" s="28" t="s">
        <v>575</v>
      </c>
      <c r="B1219" s="28" t="s">
        <v>576</v>
      </c>
      <c r="C1219" s="28" t="s">
        <v>560</v>
      </c>
      <c r="D1219" s="28" t="s">
        <v>618</v>
      </c>
      <c r="E1219" s="28" t="s">
        <v>611</v>
      </c>
      <c r="F1219" s="28" t="s">
        <v>589</v>
      </c>
      <c r="G1219" s="29">
        <v>0</v>
      </c>
      <c r="H1219" s="29">
        <v>0</v>
      </c>
      <c r="I1219" s="29">
        <v>3</v>
      </c>
      <c r="J1219" s="29">
        <v>0</v>
      </c>
      <c r="K1219" s="29">
        <v>3</v>
      </c>
      <c r="L1219" s="29">
        <v>1000</v>
      </c>
      <c r="M1219" s="29">
        <v>0</v>
      </c>
      <c r="N1219" s="29">
        <v>1000</v>
      </c>
      <c r="O1219" s="29">
        <v>0</v>
      </c>
    </row>
    <row r="1220" spans="1:15" x14ac:dyDescent="0.3">
      <c r="A1220" s="28" t="s">
        <v>575</v>
      </c>
      <c r="B1220" s="28" t="s">
        <v>576</v>
      </c>
      <c r="C1220" s="28" t="s">
        <v>560</v>
      </c>
      <c r="D1220" s="28" t="s">
        <v>618</v>
      </c>
      <c r="E1220" s="28" t="s">
        <v>611</v>
      </c>
      <c r="F1220" s="28" t="s">
        <v>590</v>
      </c>
      <c r="G1220" s="29">
        <v>0</v>
      </c>
      <c r="H1220" s="29">
        <v>0</v>
      </c>
      <c r="I1220" s="29">
        <v>1</v>
      </c>
      <c r="J1220" s="29">
        <v>0</v>
      </c>
      <c r="K1220" s="29">
        <v>1</v>
      </c>
      <c r="L1220" s="29">
        <v>0</v>
      </c>
      <c r="M1220" s="29">
        <v>0</v>
      </c>
      <c r="N1220" s="29">
        <v>0</v>
      </c>
      <c r="O1220" s="29">
        <v>0</v>
      </c>
    </row>
    <row r="1221" spans="1:15" x14ac:dyDescent="0.3">
      <c r="A1221" s="28" t="s">
        <v>575</v>
      </c>
      <c r="B1221" s="28" t="s">
        <v>576</v>
      </c>
      <c r="C1221" s="28" t="s">
        <v>560</v>
      </c>
      <c r="D1221" s="28" t="s">
        <v>618</v>
      </c>
      <c r="E1221" s="28" t="s">
        <v>611</v>
      </c>
      <c r="F1221" s="28" t="s">
        <v>591</v>
      </c>
      <c r="G1221" s="29">
        <v>0</v>
      </c>
      <c r="H1221" s="29">
        <v>0</v>
      </c>
      <c r="I1221" s="29">
        <v>2</v>
      </c>
      <c r="J1221" s="29">
        <v>0</v>
      </c>
      <c r="K1221" s="29">
        <v>2</v>
      </c>
      <c r="L1221" s="29">
        <v>0</v>
      </c>
      <c r="M1221" s="29">
        <v>0</v>
      </c>
      <c r="N1221" s="29">
        <v>0</v>
      </c>
      <c r="O1221" s="29">
        <v>0</v>
      </c>
    </row>
    <row r="1222" spans="1:15" x14ac:dyDescent="0.3">
      <c r="A1222" s="28" t="s">
        <v>575</v>
      </c>
      <c r="B1222" s="28" t="s">
        <v>576</v>
      </c>
      <c r="C1222" s="28" t="s">
        <v>560</v>
      </c>
      <c r="D1222" s="28" t="s">
        <v>618</v>
      </c>
      <c r="E1222" s="28" t="s">
        <v>611</v>
      </c>
      <c r="F1222" s="28" t="s">
        <v>593</v>
      </c>
      <c r="G1222" s="29">
        <v>0</v>
      </c>
      <c r="H1222" s="29">
        <v>0</v>
      </c>
      <c r="I1222" s="29">
        <v>1</v>
      </c>
      <c r="J1222" s="29">
        <v>0</v>
      </c>
      <c r="K1222" s="29">
        <v>1</v>
      </c>
      <c r="L1222" s="29">
        <v>0</v>
      </c>
      <c r="M1222" s="29">
        <v>0</v>
      </c>
      <c r="N1222" s="29">
        <v>0</v>
      </c>
      <c r="O1222" s="29">
        <v>0</v>
      </c>
    </row>
    <row r="1223" spans="1:15" x14ac:dyDescent="0.3">
      <c r="A1223" s="28" t="s">
        <v>575</v>
      </c>
      <c r="B1223" s="28" t="s">
        <v>576</v>
      </c>
      <c r="C1223" s="28" t="s">
        <v>560</v>
      </c>
      <c r="D1223" s="28" t="s">
        <v>618</v>
      </c>
      <c r="E1223" s="28" t="s">
        <v>612</v>
      </c>
      <c r="F1223" s="28" t="s">
        <v>603</v>
      </c>
      <c r="G1223" s="29">
        <v>0</v>
      </c>
      <c r="H1223" s="29">
        <v>0</v>
      </c>
      <c r="I1223" s="29">
        <v>2</v>
      </c>
      <c r="J1223" s="29">
        <v>0</v>
      </c>
      <c r="K1223" s="29">
        <v>2</v>
      </c>
      <c r="L1223" s="29">
        <v>0</v>
      </c>
      <c r="M1223" s="29">
        <v>0</v>
      </c>
      <c r="N1223" s="29">
        <v>0</v>
      </c>
      <c r="O1223" s="29">
        <v>0</v>
      </c>
    </row>
    <row r="1224" spans="1:15" x14ac:dyDescent="0.3">
      <c r="A1224" s="28" t="s">
        <v>575</v>
      </c>
      <c r="B1224" s="28" t="s">
        <v>576</v>
      </c>
      <c r="C1224" s="28" t="s">
        <v>560</v>
      </c>
      <c r="D1224" s="28" t="s">
        <v>618</v>
      </c>
      <c r="E1224" s="28" t="s">
        <v>612</v>
      </c>
      <c r="F1224" s="28" t="s">
        <v>604</v>
      </c>
      <c r="G1224" s="29">
        <v>0</v>
      </c>
      <c r="H1224" s="29">
        <v>0</v>
      </c>
      <c r="I1224" s="29">
        <v>1</v>
      </c>
      <c r="J1224" s="29">
        <v>0</v>
      </c>
      <c r="K1224" s="29">
        <v>1</v>
      </c>
      <c r="L1224" s="29">
        <v>0</v>
      </c>
      <c r="M1224" s="29">
        <v>0</v>
      </c>
      <c r="N1224" s="29">
        <v>0</v>
      </c>
      <c r="O1224" s="29">
        <v>0</v>
      </c>
    </row>
    <row r="1225" spans="1:15" x14ac:dyDescent="0.3">
      <c r="A1225" s="28" t="s">
        <v>575</v>
      </c>
      <c r="B1225" s="28" t="s">
        <v>576</v>
      </c>
      <c r="C1225" s="28" t="s">
        <v>560</v>
      </c>
      <c r="D1225" s="28" t="s">
        <v>618</v>
      </c>
      <c r="E1225" s="28" t="s">
        <v>612</v>
      </c>
      <c r="F1225" s="28" t="s">
        <v>581</v>
      </c>
      <c r="G1225" s="29">
        <v>0</v>
      </c>
      <c r="H1225" s="29">
        <v>0</v>
      </c>
      <c r="I1225" s="29">
        <v>2</v>
      </c>
      <c r="J1225" s="29">
        <v>0</v>
      </c>
      <c r="K1225" s="29">
        <v>2</v>
      </c>
      <c r="L1225" s="29">
        <v>0</v>
      </c>
      <c r="M1225" s="29">
        <v>0</v>
      </c>
      <c r="N1225" s="29">
        <v>0</v>
      </c>
      <c r="O1225" s="29">
        <v>0</v>
      </c>
    </row>
    <row r="1226" spans="1:15" x14ac:dyDescent="0.3">
      <c r="A1226" s="28" t="s">
        <v>575</v>
      </c>
      <c r="B1226" s="28" t="s">
        <v>576</v>
      </c>
      <c r="C1226" s="28" t="s">
        <v>560</v>
      </c>
      <c r="D1226" s="28" t="s">
        <v>618</v>
      </c>
      <c r="E1226" s="28" t="s">
        <v>612</v>
      </c>
      <c r="F1226" s="28" t="s">
        <v>582</v>
      </c>
      <c r="G1226" s="29">
        <v>0</v>
      </c>
      <c r="H1226" s="29">
        <v>0</v>
      </c>
      <c r="I1226" s="29">
        <v>1</v>
      </c>
      <c r="J1226" s="29">
        <v>0</v>
      </c>
      <c r="K1226" s="29">
        <v>1</v>
      </c>
      <c r="L1226" s="29">
        <v>0</v>
      </c>
      <c r="M1226" s="29">
        <v>0</v>
      </c>
      <c r="N1226" s="29">
        <v>0</v>
      </c>
      <c r="O1226" s="29">
        <v>0</v>
      </c>
    </row>
    <row r="1227" spans="1:15" x14ac:dyDescent="0.3">
      <c r="A1227" s="28" t="s">
        <v>575</v>
      </c>
      <c r="B1227" s="28" t="s">
        <v>576</v>
      </c>
      <c r="C1227" s="28" t="s">
        <v>560</v>
      </c>
      <c r="D1227" s="28" t="s">
        <v>618</v>
      </c>
      <c r="E1227" s="28" t="s">
        <v>612</v>
      </c>
      <c r="F1227" s="28" t="s">
        <v>583</v>
      </c>
      <c r="G1227" s="29">
        <v>0</v>
      </c>
      <c r="H1227" s="29">
        <v>0</v>
      </c>
      <c r="I1227" s="29">
        <v>3</v>
      </c>
      <c r="J1227" s="29">
        <v>0</v>
      </c>
      <c r="K1227" s="29">
        <v>3</v>
      </c>
      <c r="L1227" s="29">
        <v>0</v>
      </c>
      <c r="M1227" s="29">
        <v>0</v>
      </c>
      <c r="N1227" s="29">
        <v>0</v>
      </c>
      <c r="O1227" s="29">
        <v>0</v>
      </c>
    </row>
    <row r="1228" spans="1:15" x14ac:dyDescent="0.3">
      <c r="A1228" s="28" t="s">
        <v>575</v>
      </c>
      <c r="B1228" s="28" t="s">
        <v>576</v>
      </c>
      <c r="C1228" s="28" t="s">
        <v>560</v>
      </c>
      <c r="D1228" s="28" t="s">
        <v>618</v>
      </c>
      <c r="E1228" s="28" t="s">
        <v>612</v>
      </c>
      <c r="F1228" s="28" t="s">
        <v>584</v>
      </c>
      <c r="G1228" s="29">
        <v>0</v>
      </c>
      <c r="H1228" s="29">
        <v>0</v>
      </c>
      <c r="I1228" s="29">
        <v>6</v>
      </c>
      <c r="J1228" s="29">
        <v>0</v>
      </c>
      <c r="K1228" s="29">
        <v>6</v>
      </c>
      <c r="L1228" s="29">
        <v>0</v>
      </c>
      <c r="M1228" s="29">
        <v>0</v>
      </c>
      <c r="N1228" s="29">
        <v>0</v>
      </c>
      <c r="O1228" s="29">
        <v>0</v>
      </c>
    </row>
    <row r="1229" spans="1:15" x14ac:dyDescent="0.3">
      <c r="A1229" s="28" t="s">
        <v>575</v>
      </c>
      <c r="B1229" s="28" t="s">
        <v>576</v>
      </c>
      <c r="C1229" s="28" t="s">
        <v>560</v>
      </c>
      <c r="D1229" s="28" t="s">
        <v>618</v>
      </c>
      <c r="E1229" s="28" t="s">
        <v>612</v>
      </c>
      <c r="F1229" s="28" t="s">
        <v>585</v>
      </c>
      <c r="G1229" s="29">
        <v>0</v>
      </c>
      <c r="H1229" s="29">
        <v>0</v>
      </c>
      <c r="I1229" s="29">
        <v>4</v>
      </c>
      <c r="J1229" s="29">
        <v>0</v>
      </c>
      <c r="K1229" s="29">
        <v>4</v>
      </c>
      <c r="L1229" s="29">
        <v>0</v>
      </c>
      <c r="M1229" s="29">
        <v>0</v>
      </c>
      <c r="N1229" s="29">
        <v>0</v>
      </c>
      <c r="O1229" s="29">
        <v>0</v>
      </c>
    </row>
    <row r="1230" spans="1:15" x14ac:dyDescent="0.3">
      <c r="A1230" s="28" t="s">
        <v>575</v>
      </c>
      <c r="B1230" s="28" t="s">
        <v>576</v>
      </c>
      <c r="C1230" s="28" t="s">
        <v>560</v>
      </c>
      <c r="D1230" s="28" t="s">
        <v>618</v>
      </c>
      <c r="E1230" s="28" t="s">
        <v>612</v>
      </c>
      <c r="F1230" s="28" t="s">
        <v>586</v>
      </c>
      <c r="G1230" s="29">
        <v>0</v>
      </c>
      <c r="H1230" s="29">
        <v>0</v>
      </c>
      <c r="I1230" s="29">
        <v>9</v>
      </c>
      <c r="J1230" s="29">
        <v>5</v>
      </c>
      <c r="K1230" s="29">
        <v>4</v>
      </c>
      <c r="L1230" s="29">
        <v>600</v>
      </c>
      <c r="M1230" s="29">
        <v>500</v>
      </c>
      <c r="N1230" s="29">
        <v>100</v>
      </c>
      <c r="O1230" s="29">
        <v>0</v>
      </c>
    </row>
    <row r="1231" spans="1:15" x14ac:dyDescent="0.3">
      <c r="A1231" s="28" t="s">
        <v>575</v>
      </c>
      <c r="B1231" s="28" t="s">
        <v>576</v>
      </c>
      <c r="C1231" s="28" t="s">
        <v>560</v>
      </c>
      <c r="D1231" s="28" t="s">
        <v>618</v>
      </c>
      <c r="E1231" s="28" t="s">
        <v>612</v>
      </c>
      <c r="F1231" s="28" t="s">
        <v>587</v>
      </c>
      <c r="G1231" s="29">
        <v>0</v>
      </c>
      <c r="H1231" s="29">
        <v>0</v>
      </c>
      <c r="I1231" s="29">
        <v>3</v>
      </c>
      <c r="J1231" s="29">
        <v>0</v>
      </c>
      <c r="K1231" s="29">
        <v>3</v>
      </c>
      <c r="L1231" s="29">
        <v>0</v>
      </c>
      <c r="M1231" s="29">
        <v>0</v>
      </c>
      <c r="N1231" s="29">
        <v>0</v>
      </c>
      <c r="O1231" s="29">
        <v>0</v>
      </c>
    </row>
    <row r="1232" spans="1:15" x14ac:dyDescent="0.3">
      <c r="A1232" s="28" t="s">
        <v>575</v>
      </c>
      <c r="B1232" s="28" t="s">
        <v>576</v>
      </c>
      <c r="C1232" s="28" t="s">
        <v>560</v>
      </c>
      <c r="D1232" s="28" t="s">
        <v>618</v>
      </c>
      <c r="E1232" s="28" t="s">
        <v>612</v>
      </c>
      <c r="F1232" s="28" t="s">
        <v>579</v>
      </c>
      <c r="G1232" s="29">
        <v>0</v>
      </c>
      <c r="H1232" s="29">
        <v>0</v>
      </c>
      <c r="I1232" s="29">
        <v>3</v>
      </c>
      <c r="J1232" s="29">
        <v>0</v>
      </c>
      <c r="K1232" s="29">
        <v>3</v>
      </c>
      <c r="L1232" s="29">
        <v>0</v>
      </c>
      <c r="M1232" s="29">
        <v>0</v>
      </c>
      <c r="N1232" s="29">
        <v>0</v>
      </c>
      <c r="O1232" s="29">
        <v>0</v>
      </c>
    </row>
    <row r="1233" spans="1:15" x14ac:dyDescent="0.3">
      <c r="A1233" s="28" t="s">
        <v>575</v>
      </c>
      <c r="B1233" s="28" t="s">
        <v>576</v>
      </c>
      <c r="C1233" s="28" t="s">
        <v>560</v>
      </c>
      <c r="D1233" s="28" t="s">
        <v>618</v>
      </c>
      <c r="E1233" s="28" t="s">
        <v>612</v>
      </c>
      <c r="F1233" s="28" t="s">
        <v>588</v>
      </c>
      <c r="G1233" s="29">
        <v>0</v>
      </c>
      <c r="H1233" s="29">
        <v>0</v>
      </c>
      <c r="I1233" s="29">
        <v>1</v>
      </c>
      <c r="J1233" s="29">
        <v>0</v>
      </c>
      <c r="K1233" s="29">
        <v>1</v>
      </c>
      <c r="L1233" s="29">
        <v>0</v>
      </c>
      <c r="M1233" s="29">
        <v>0</v>
      </c>
      <c r="N1233" s="29">
        <v>0</v>
      </c>
      <c r="O1233" s="29">
        <v>0</v>
      </c>
    </row>
    <row r="1234" spans="1:15" x14ac:dyDescent="0.3">
      <c r="A1234" s="28" t="s">
        <v>575</v>
      </c>
      <c r="B1234" s="28" t="s">
        <v>576</v>
      </c>
      <c r="C1234" s="28" t="s">
        <v>560</v>
      </c>
      <c r="D1234" s="28" t="s">
        <v>618</v>
      </c>
      <c r="E1234" s="28" t="s">
        <v>612</v>
      </c>
      <c r="F1234" s="28" t="s">
        <v>594</v>
      </c>
      <c r="G1234" s="29">
        <v>0</v>
      </c>
      <c r="H1234" s="29">
        <v>0</v>
      </c>
      <c r="I1234" s="29">
        <v>1</v>
      </c>
      <c r="J1234" s="29">
        <v>0</v>
      </c>
      <c r="K1234" s="29">
        <v>1</v>
      </c>
      <c r="L1234" s="29">
        <v>0</v>
      </c>
      <c r="M1234" s="29">
        <v>0</v>
      </c>
      <c r="N1234" s="29">
        <v>0</v>
      </c>
      <c r="O1234" s="29">
        <v>0</v>
      </c>
    </row>
    <row r="1235" spans="1:15" x14ac:dyDescent="0.3">
      <c r="A1235" s="28" t="s">
        <v>575</v>
      </c>
      <c r="B1235" s="28" t="s">
        <v>576</v>
      </c>
      <c r="C1235" s="28" t="s">
        <v>560</v>
      </c>
      <c r="D1235" s="28" t="s">
        <v>618</v>
      </c>
      <c r="E1235" s="28" t="s">
        <v>613</v>
      </c>
      <c r="F1235" s="28" t="s">
        <v>599</v>
      </c>
      <c r="G1235" s="29">
        <v>0</v>
      </c>
      <c r="H1235" s="29">
        <v>0</v>
      </c>
      <c r="I1235" s="29">
        <v>1</v>
      </c>
      <c r="J1235" s="29">
        <v>0</v>
      </c>
      <c r="K1235" s="29">
        <v>1</v>
      </c>
      <c r="L1235" s="29">
        <v>0</v>
      </c>
      <c r="M1235" s="29">
        <v>0</v>
      </c>
      <c r="N1235" s="29">
        <v>0</v>
      </c>
      <c r="O1235" s="29">
        <v>0</v>
      </c>
    </row>
    <row r="1236" spans="1:15" x14ac:dyDescent="0.3">
      <c r="A1236" s="28" t="s">
        <v>575</v>
      </c>
      <c r="B1236" s="28" t="s">
        <v>576</v>
      </c>
      <c r="C1236" s="28" t="s">
        <v>560</v>
      </c>
      <c r="D1236" s="28" t="s">
        <v>618</v>
      </c>
      <c r="E1236" s="28" t="s">
        <v>613</v>
      </c>
      <c r="F1236" s="28" t="s">
        <v>602</v>
      </c>
      <c r="G1236" s="29">
        <v>0</v>
      </c>
      <c r="H1236" s="29">
        <v>0</v>
      </c>
      <c r="I1236" s="29">
        <v>1</v>
      </c>
      <c r="J1236" s="29">
        <v>0</v>
      </c>
      <c r="K1236" s="29">
        <v>1</v>
      </c>
      <c r="L1236" s="29">
        <v>0</v>
      </c>
      <c r="M1236" s="29">
        <v>0</v>
      </c>
      <c r="N1236" s="29">
        <v>0</v>
      </c>
      <c r="O1236" s="29">
        <v>0</v>
      </c>
    </row>
    <row r="1237" spans="1:15" x14ac:dyDescent="0.3">
      <c r="A1237" s="28" t="s">
        <v>575</v>
      </c>
      <c r="B1237" s="28" t="s">
        <v>576</v>
      </c>
      <c r="C1237" s="28" t="s">
        <v>560</v>
      </c>
      <c r="D1237" s="28" t="s">
        <v>618</v>
      </c>
      <c r="E1237" s="28" t="s">
        <v>613</v>
      </c>
      <c r="F1237" s="28" t="s">
        <v>603</v>
      </c>
      <c r="G1237" s="29">
        <v>0</v>
      </c>
      <c r="H1237" s="29">
        <v>0</v>
      </c>
      <c r="I1237" s="29">
        <v>1</v>
      </c>
      <c r="J1237" s="29">
        <v>0</v>
      </c>
      <c r="K1237" s="29">
        <v>1</v>
      </c>
      <c r="L1237" s="29">
        <v>0</v>
      </c>
      <c r="M1237" s="29">
        <v>0</v>
      </c>
      <c r="N1237" s="29">
        <v>0</v>
      </c>
      <c r="O1237" s="29">
        <v>0</v>
      </c>
    </row>
    <row r="1238" spans="1:15" x14ac:dyDescent="0.3">
      <c r="A1238" s="28" t="s">
        <v>575</v>
      </c>
      <c r="B1238" s="28" t="s">
        <v>576</v>
      </c>
      <c r="C1238" s="28" t="s">
        <v>560</v>
      </c>
      <c r="D1238" s="28" t="s">
        <v>618</v>
      </c>
      <c r="E1238" s="28" t="s">
        <v>613</v>
      </c>
      <c r="F1238" s="28" t="s">
        <v>604</v>
      </c>
      <c r="G1238" s="29">
        <v>0</v>
      </c>
      <c r="H1238" s="29">
        <v>0</v>
      </c>
      <c r="I1238" s="29">
        <v>2</v>
      </c>
      <c r="J1238" s="29">
        <v>0</v>
      </c>
      <c r="K1238" s="29">
        <v>2</v>
      </c>
      <c r="L1238" s="29">
        <v>0</v>
      </c>
      <c r="M1238" s="29">
        <v>0</v>
      </c>
      <c r="N1238" s="29">
        <v>0</v>
      </c>
      <c r="O1238" s="29">
        <v>0</v>
      </c>
    </row>
    <row r="1239" spans="1:15" x14ac:dyDescent="0.3">
      <c r="A1239" s="28" t="s">
        <v>575</v>
      </c>
      <c r="B1239" s="28" t="s">
        <v>576</v>
      </c>
      <c r="C1239" s="28" t="s">
        <v>560</v>
      </c>
      <c r="D1239" s="28" t="s">
        <v>618</v>
      </c>
      <c r="E1239" s="28" t="s">
        <v>613</v>
      </c>
      <c r="F1239" s="28" t="s">
        <v>581</v>
      </c>
      <c r="G1239" s="29">
        <v>0</v>
      </c>
      <c r="H1239" s="29">
        <v>0</v>
      </c>
      <c r="I1239" s="29">
        <v>4</v>
      </c>
      <c r="J1239" s="29">
        <v>0</v>
      </c>
      <c r="K1239" s="29">
        <v>4</v>
      </c>
      <c r="L1239" s="29">
        <v>0</v>
      </c>
      <c r="M1239" s="29">
        <v>0</v>
      </c>
      <c r="N1239" s="29">
        <v>0</v>
      </c>
      <c r="O1239" s="29">
        <v>0</v>
      </c>
    </row>
    <row r="1240" spans="1:15" x14ac:dyDescent="0.3">
      <c r="A1240" s="28" t="s">
        <v>575</v>
      </c>
      <c r="B1240" s="28" t="s">
        <v>576</v>
      </c>
      <c r="C1240" s="28" t="s">
        <v>560</v>
      </c>
      <c r="D1240" s="28" t="s">
        <v>618</v>
      </c>
      <c r="E1240" s="28" t="s">
        <v>613</v>
      </c>
      <c r="F1240" s="28" t="s">
        <v>583</v>
      </c>
      <c r="G1240" s="29">
        <v>0</v>
      </c>
      <c r="H1240" s="29">
        <v>0</v>
      </c>
      <c r="I1240" s="29">
        <v>5</v>
      </c>
      <c r="J1240" s="29">
        <v>0</v>
      </c>
      <c r="K1240" s="29">
        <v>5</v>
      </c>
      <c r="L1240" s="29">
        <v>0</v>
      </c>
      <c r="M1240" s="29">
        <v>0</v>
      </c>
      <c r="N1240" s="29">
        <v>0</v>
      </c>
      <c r="O1240" s="29">
        <v>0</v>
      </c>
    </row>
    <row r="1241" spans="1:15" x14ac:dyDescent="0.3">
      <c r="A1241" s="28" t="s">
        <v>575</v>
      </c>
      <c r="B1241" s="28" t="s">
        <v>576</v>
      </c>
      <c r="C1241" s="28" t="s">
        <v>560</v>
      </c>
      <c r="D1241" s="28" t="s">
        <v>618</v>
      </c>
      <c r="E1241" s="28" t="s">
        <v>613</v>
      </c>
      <c r="F1241" s="28" t="s">
        <v>584</v>
      </c>
      <c r="G1241" s="29">
        <v>0</v>
      </c>
      <c r="H1241" s="29">
        <v>0</v>
      </c>
      <c r="I1241" s="29">
        <v>4</v>
      </c>
      <c r="J1241" s="29">
        <v>0</v>
      </c>
      <c r="K1241" s="29">
        <v>4</v>
      </c>
      <c r="L1241" s="29">
        <v>1000</v>
      </c>
      <c r="M1241" s="29">
        <v>0</v>
      </c>
      <c r="N1241" s="29">
        <v>1000</v>
      </c>
      <c r="O1241" s="29">
        <v>0</v>
      </c>
    </row>
    <row r="1242" spans="1:15" x14ac:dyDescent="0.3">
      <c r="A1242" s="28" t="s">
        <v>575</v>
      </c>
      <c r="B1242" s="28" t="s">
        <v>576</v>
      </c>
      <c r="C1242" s="28" t="s">
        <v>560</v>
      </c>
      <c r="D1242" s="28" t="s">
        <v>618</v>
      </c>
      <c r="E1242" s="28" t="s">
        <v>613</v>
      </c>
      <c r="F1242" s="28" t="s">
        <v>585</v>
      </c>
      <c r="G1242" s="29">
        <v>0</v>
      </c>
      <c r="H1242" s="29">
        <v>0</v>
      </c>
      <c r="I1242" s="29">
        <v>2</v>
      </c>
      <c r="J1242" s="29">
        <v>0</v>
      </c>
      <c r="K1242" s="29">
        <v>2</v>
      </c>
      <c r="L1242" s="29">
        <v>0</v>
      </c>
      <c r="M1242" s="29">
        <v>0</v>
      </c>
      <c r="N1242" s="29">
        <v>0</v>
      </c>
      <c r="O1242" s="29">
        <v>0</v>
      </c>
    </row>
    <row r="1243" spans="1:15" x14ac:dyDescent="0.3">
      <c r="A1243" s="28" t="s">
        <v>575</v>
      </c>
      <c r="B1243" s="28" t="s">
        <v>576</v>
      </c>
      <c r="C1243" s="28" t="s">
        <v>560</v>
      </c>
      <c r="D1243" s="28" t="s">
        <v>618</v>
      </c>
      <c r="E1243" s="28" t="s">
        <v>613</v>
      </c>
      <c r="F1243" s="28" t="s">
        <v>586</v>
      </c>
      <c r="G1243" s="29">
        <v>0</v>
      </c>
      <c r="H1243" s="29">
        <v>0</v>
      </c>
      <c r="I1243" s="29">
        <v>6</v>
      </c>
      <c r="J1243" s="29">
        <v>0</v>
      </c>
      <c r="K1243" s="29">
        <v>6</v>
      </c>
      <c r="L1243" s="29">
        <v>500</v>
      </c>
      <c r="M1243" s="29">
        <v>0</v>
      </c>
      <c r="N1243" s="29">
        <v>500</v>
      </c>
      <c r="O1243" s="29">
        <v>0</v>
      </c>
    </row>
    <row r="1244" spans="1:15" x14ac:dyDescent="0.3">
      <c r="A1244" s="28" t="s">
        <v>575</v>
      </c>
      <c r="B1244" s="28" t="s">
        <v>576</v>
      </c>
      <c r="C1244" s="28" t="s">
        <v>560</v>
      </c>
      <c r="D1244" s="28" t="s">
        <v>618</v>
      </c>
      <c r="E1244" s="28" t="s">
        <v>613</v>
      </c>
      <c r="F1244" s="28" t="s">
        <v>587</v>
      </c>
      <c r="G1244" s="29">
        <v>0</v>
      </c>
      <c r="H1244" s="29">
        <v>0</v>
      </c>
      <c r="I1244" s="29">
        <v>14</v>
      </c>
      <c r="J1244" s="29">
        <v>0</v>
      </c>
      <c r="K1244" s="29">
        <v>14</v>
      </c>
      <c r="L1244" s="29">
        <v>500</v>
      </c>
      <c r="M1244" s="29">
        <v>0</v>
      </c>
      <c r="N1244" s="29">
        <v>500</v>
      </c>
      <c r="O1244" s="29">
        <v>0</v>
      </c>
    </row>
    <row r="1245" spans="1:15" x14ac:dyDescent="0.3">
      <c r="A1245" s="28" t="s">
        <v>575</v>
      </c>
      <c r="B1245" s="28" t="s">
        <v>576</v>
      </c>
      <c r="C1245" s="28" t="s">
        <v>560</v>
      </c>
      <c r="D1245" s="28" t="s">
        <v>618</v>
      </c>
      <c r="E1245" s="28" t="s">
        <v>613</v>
      </c>
      <c r="F1245" s="28" t="s">
        <v>579</v>
      </c>
      <c r="G1245" s="29">
        <v>0</v>
      </c>
      <c r="H1245" s="29">
        <v>0</v>
      </c>
      <c r="I1245" s="29">
        <v>5</v>
      </c>
      <c r="J1245" s="29">
        <v>0</v>
      </c>
      <c r="K1245" s="29">
        <v>5</v>
      </c>
      <c r="L1245" s="29">
        <v>0</v>
      </c>
      <c r="M1245" s="29">
        <v>0</v>
      </c>
      <c r="N1245" s="29">
        <v>0</v>
      </c>
      <c r="O1245" s="29">
        <v>0</v>
      </c>
    </row>
    <row r="1246" spans="1:15" x14ac:dyDescent="0.3">
      <c r="A1246" s="28" t="s">
        <v>575</v>
      </c>
      <c r="B1246" s="28" t="s">
        <v>576</v>
      </c>
      <c r="C1246" s="28" t="s">
        <v>560</v>
      </c>
      <c r="D1246" s="28" t="s">
        <v>618</v>
      </c>
      <c r="E1246" s="28" t="s">
        <v>613</v>
      </c>
      <c r="F1246" s="28" t="s">
        <v>588</v>
      </c>
      <c r="G1246" s="29">
        <v>0</v>
      </c>
      <c r="H1246" s="29">
        <v>0</v>
      </c>
      <c r="I1246" s="29">
        <v>1</v>
      </c>
      <c r="J1246" s="29">
        <v>0</v>
      </c>
      <c r="K1246" s="29">
        <v>1</v>
      </c>
      <c r="L1246" s="29">
        <v>0</v>
      </c>
      <c r="M1246" s="29">
        <v>0</v>
      </c>
      <c r="N1246" s="29">
        <v>0</v>
      </c>
      <c r="O1246" s="29">
        <v>0</v>
      </c>
    </row>
    <row r="1247" spans="1:15" x14ac:dyDescent="0.3">
      <c r="A1247" s="28" t="s">
        <v>575</v>
      </c>
      <c r="B1247" s="28" t="s">
        <v>576</v>
      </c>
      <c r="C1247" s="28" t="s">
        <v>560</v>
      </c>
      <c r="D1247" s="28" t="s">
        <v>618</v>
      </c>
      <c r="E1247" s="28" t="s">
        <v>613</v>
      </c>
      <c r="F1247" s="28" t="s">
        <v>589</v>
      </c>
      <c r="G1247" s="29">
        <v>0</v>
      </c>
      <c r="H1247" s="29">
        <v>0</v>
      </c>
      <c r="I1247" s="29">
        <v>1</v>
      </c>
      <c r="J1247" s="29">
        <v>0</v>
      </c>
      <c r="K1247" s="29">
        <v>1</v>
      </c>
      <c r="L1247" s="29">
        <v>0</v>
      </c>
      <c r="M1247" s="29">
        <v>0</v>
      </c>
      <c r="N1247" s="29">
        <v>0</v>
      </c>
      <c r="O1247" s="29">
        <v>0</v>
      </c>
    </row>
    <row r="1248" spans="1:15" x14ac:dyDescent="0.3">
      <c r="A1248" s="28" t="s">
        <v>575</v>
      </c>
      <c r="B1248" s="28" t="s">
        <v>576</v>
      </c>
      <c r="C1248" s="28" t="s">
        <v>560</v>
      </c>
      <c r="D1248" s="28" t="s">
        <v>618</v>
      </c>
      <c r="E1248" s="28" t="s">
        <v>614</v>
      </c>
      <c r="F1248" s="28" t="s">
        <v>603</v>
      </c>
      <c r="G1248" s="29">
        <v>0</v>
      </c>
      <c r="H1248" s="29">
        <v>0</v>
      </c>
      <c r="I1248" s="29">
        <v>1</v>
      </c>
      <c r="J1248" s="29">
        <v>0</v>
      </c>
      <c r="K1248" s="29">
        <v>1</v>
      </c>
      <c r="L1248" s="29">
        <v>0</v>
      </c>
      <c r="M1248" s="29">
        <v>0</v>
      </c>
      <c r="N1248" s="29">
        <v>0</v>
      </c>
      <c r="O1248" s="29">
        <v>0</v>
      </c>
    </row>
    <row r="1249" spans="1:15" x14ac:dyDescent="0.3">
      <c r="A1249" s="28" t="s">
        <v>575</v>
      </c>
      <c r="B1249" s="28" t="s">
        <v>576</v>
      </c>
      <c r="C1249" s="28" t="s">
        <v>560</v>
      </c>
      <c r="D1249" s="28" t="s">
        <v>618</v>
      </c>
      <c r="E1249" s="28" t="s">
        <v>614</v>
      </c>
      <c r="F1249" s="28" t="s">
        <v>604</v>
      </c>
      <c r="G1249" s="29">
        <v>0</v>
      </c>
      <c r="H1249" s="29">
        <v>0</v>
      </c>
      <c r="I1249" s="29">
        <v>2</v>
      </c>
      <c r="J1249" s="29">
        <v>0</v>
      </c>
      <c r="K1249" s="29">
        <v>2</v>
      </c>
      <c r="L1249" s="29">
        <v>0</v>
      </c>
      <c r="M1249" s="29">
        <v>0</v>
      </c>
      <c r="N1249" s="29">
        <v>0</v>
      </c>
      <c r="O1249" s="29">
        <v>0</v>
      </c>
    </row>
    <row r="1250" spans="1:15" x14ac:dyDescent="0.3">
      <c r="A1250" s="28" t="s">
        <v>575</v>
      </c>
      <c r="B1250" s="28" t="s">
        <v>576</v>
      </c>
      <c r="C1250" s="28" t="s">
        <v>560</v>
      </c>
      <c r="D1250" s="28" t="s">
        <v>618</v>
      </c>
      <c r="E1250" s="28" t="s">
        <v>614</v>
      </c>
      <c r="F1250" s="28" t="s">
        <v>581</v>
      </c>
      <c r="G1250" s="29">
        <v>0</v>
      </c>
      <c r="H1250" s="29">
        <v>0</v>
      </c>
      <c r="I1250" s="29">
        <v>2</v>
      </c>
      <c r="J1250" s="29">
        <v>0</v>
      </c>
      <c r="K1250" s="29">
        <v>2</v>
      </c>
      <c r="L1250" s="29">
        <v>0</v>
      </c>
      <c r="M1250" s="29">
        <v>0</v>
      </c>
      <c r="N1250" s="29">
        <v>0</v>
      </c>
      <c r="O1250" s="29">
        <v>0</v>
      </c>
    </row>
    <row r="1251" spans="1:15" x14ac:dyDescent="0.3">
      <c r="A1251" s="28" t="s">
        <v>575</v>
      </c>
      <c r="B1251" s="28" t="s">
        <v>576</v>
      </c>
      <c r="C1251" s="28" t="s">
        <v>560</v>
      </c>
      <c r="D1251" s="28" t="s">
        <v>618</v>
      </c>
      <c r="E1251" s="28" t="s">
        <v>614</v>
      </c>
      <c r="F1251" s="28" t="s">
        <v>582</v>
      </c>
      <c r="G1251" s="29">
        <v>0</v>
      </c>
      <c r="H1251" s="29">
        <v>0</v>
      </c>
      <c r="I1251" s="29">
        <v>1</v>
      </c>
      <c r="J1251" s="29">
        <v>0</v>
      </c>
      <c r="K1251" s="29">
        <v>1</v>
      </c>
      <c r="L1251" s="29">
        <v>0</v>
      </c>
      <c r="M1251" s="29">
        <v>0</v>
      </c>
      <c r="N1251" s="29">
        <v>0</v>
      </c>
      <c r="O1251" s="29">
        <v>0</v>
      </c>
    </row>
    <row r="1252" spans="1:15" x14ac:dyDescent="0.3">
      <c r="A1252" s="28" t="s">
        <v>575</v>
      </c>
      <c r="B1252" s="28" t="s">
        <v>576</v>
      </c>
      <c r="C1252" s="28" t="s">
        <v>560</v>
      </c>
      <c r="D1252" s="28" t="s">
        <v>618</v>
      </c>
      <c r="E1252" s="28" t="s">
        <v>614</v>
      </c>
      <c r="F1252" s="28" t="s">
        <v>583</v>
      </c>
      <c r="G1252" s="29">
        <v>0</v>
      </c>
      <c r="H1252" s="29">
        <v>0</v>
      </c>
      <c r="I1252" s="29">
        <v>4</v>
      </c>
      <c r="J1252" s="29">
        <v>0</v>
      </c>
      <c r="K1252" s="29">
        <v>4</v>
      </c>
      <c r="L1252" s="29">
        <v>0</v>
      </c>
      <c r="M1252" s="29">
        <v>0</v>
      </c>
      <c r="N1252" s="29">
        <v>0</v>
      </c>
      <c r="O1252" s="29">
        <v>0</v>
      </c>
    </row>
    <row r="1253" spans="1:15" x14ac:dyDescent="0.3">
      <c r="A1253" s="28" t="s">
        <v>575</v>
      </c>
      <c r="B1253" s="28" t="s">
        <v>576</v>
      </c>
      <c r="C1253" s="28" t="s">
        <v>560</v>
      </c>
      <c r="D1253" s="28" t="s">
        <v>618</v>
      </c>
      <c r="E1253" s="28" t="s">
        <v>614</v>
      </c>
      <c r="F1253" s="28" t="s">
        <v>584</v>
      </c>
      <c r="G1253" s="29">
        <v>0</v>
      </c>
      <c r="H1253" s="29">
        <v>0</v>
      </c>
      <c r="I1253" s="29">
        <v>1</v>
      </c>
      <c r="J1253" s="29">
        <v>0</v>
      </c>
      <c r="K1253" s="29">
        <v>1</v>
      </c>
      <c r="L1253" s="29">
        <v>0</v>
      </c>
      <c r="M1253" s="29">
        <v>0</v>
      </c>
      <c r="N1253" s="29">
        <v>0</v>
      </c>
      <c r="O1253" s="29">
        <v>0</v>
      </c>
    </row>
    <row r="1254" spans="1:15" x14ac:dyDescent="0.3">
      <c r="A1254" s="28" t="s">
        <v>575</v>
      </c>
      <c r="B1254" s="28" t="s">
        <v>576</v>
      </c>
      <c r="C1254" s="28" t="s">
        <v>560</v>
      </c>
      <c r="D1254" s="28" t="s">
        <v>618</v>
      </c>
      <c r="E1254" s="28" t="s">
        <v>614</v>
      </c>
      <c r="F1254" s="28" t="s">
        <v>585</v>
      </c>
      <c r="G1254" s="29">
        <v>0</v>
      </c>
      <c r="H1254" s="29">
        <v>0</v>
      </c>
      <c r="I1254" s="29">
        <v>1</v>
      </c>
      <c r="J1254" s="29">
        <v>0</v>
      </c>
      <c r="K1254" s="29">
        <v>1</v>
      </c>
      <c r="L1254" s="29">
        <v>0</v>
      </c>
      <c r="M1254" s="29">
        <v>0</v>
      </c>
      <c r="N1254" s="29">
        <v>0</v>
      </c>
      <c r="O1254" s="29">
        <v>0</v>
      </c>
    </row>
    <row r="1255" spans="1:15" x14ac:dyDescent="0.3">
      <c r="A1255" s="28" t="s">
        <v>575</v>
      </c>
      <c r="B1255" s="28" t="s">
        <v>576</v>
      </c>
      <c r="C1255" s="28" t="s">
        <v>560</v>
      </c>
      <c r="D1255" s="28" t="s">
        <v>618</v>
      </c>
      <c r="E1255" s="28" t="s">
        <v>614</v>
      </c>
      <c r="F1255" s="28" t="s">
        <v>586</v>
      </c>
      <c r="G1255" s="29">
        <v>0</v>
      </c>
      <c r="H1255" s="29">
        <v>0</v>
      </c>
      <c r="I1255" s="29">
        <v>2</v>
      </c>
      <c r="J1255" s="29">
        <v>0</v>
      </c>
      <c r="K1255" s="29">
        <v>2</v>
      </c>
      <c r="L1255" s="29">
        <v>0</v>
      </c>
      <c r="M1255" s="29">
        <v>0</v>
      </c>
      <c r="N1255" s="29">
        <v>0</v>
      </c>
      <c r="O1255" s="29">
        <v>0</v>
      </c>
    </row>
    <row r="1256" spans="1:15" x14ac:dyDescent="0.3">
      <c r="A1256" s="28" t="s">
        <v>575</v>
      </c>
      <c r="B1256" s="28" t="s">
        <v>576</v>
      </c>
      <c r="C1256" s="28" t="s">
        <v>560</v>
      </c>
      <c r="D1256" s="28" t="s">
        <v>618</v>
      </c>
      <c r="E1256" s="28" t="s">
        <v>614</v>
      </c>
      <c r="F1256" s="28" t="s">
        <v>587</v>
      </c>
      <c r="G1256" s="29">
        <v>0</v>
      </c>
      <c r="H1256" s="29">
        <v>0</v>
      </c>
      <c r="I1256" s="29">
        <v>2</v>
      </c>
      <c r="J1256" s="29">
        <v>0</v>
      </c>
      <c r="K1256" s="29">
        <v>2</v>
      </c>
      <c r="L1256" s="29">
        <v>0</v>
      </c>
      <c r="M1256" s="29">
        <v>0</v>
      </c>
      <c r="N1256" s="29">
        <v>0</v>
      </c>
      <c r="O1256" s="29">
        <v>0</v>
      </c>
    </row>
    <row r="1257" spans="1:15" x14ac:dyDescent="0.3">
      <c r="A1257" s="28" t="s">
        <v>575</v>
      </c>
      <c r="B1257" s="28" t="s">
        <v>576</v>
      </c>
      <c r="C1257" s="28" t="s">
        <v>560</v>
      </c>
      <c r="D1257" s="28" t="s">
        <v>618</v>
      </c>
      <c r="E1257" s="28" t="s">
        <v>614</v>
      </c>
      <c r="F1257" s="28" t="s">
        <v>588</v>
      </c>
      <c r="G1257" s="29">
        <v>0</v>
      </c>
      <c r="H1257" s="29">
        <v>0</v>
      </c>
      <c r="I1257" s="29">
        <v>6</v>
      </c>
      <c r="J1257" s="29">
        <v>0</v>
      </c>
      <c r="K1257" s="29">
        <v>6</v>
      </c>
      <c r="L1257" s="29">
        <v>1000</v>
      </c>
      <c r="M1257" s="29">
        <v>0</v>
      </c>
      <c r="N1257" s="29">
        <v>1000</v>
      </c>
      <c r="O1257" s="29">
        <v>0</v>
      </c>
    </row>
    <row r="1258" spans="1:15" x14ac:dyDescent="0.3">
      <c r="A1258" s="28" t="s">
        <v>575</v>
      </c>
      <c r="B1258" s="28" t="s">
        <v>576</v>
      </c>
      <c r="C1258" s="28" t="s">
        <v>560</v>
      </c>
      <c r="D1258" s="28" t="s">
        <v>618</v>
      </c>
      <c r="E1258" s="28" t="s">
        <v>614</v>
      </c>
      <c r="F1258" s="28" t="s">
        <v>590</v>
      </c>
      <c r="G1258" s="29">
        <v>0</v>
      </c>
      <c r="H1258" s="29">
        <v>0</v>
      </c>
      <c r="I1258" s="29">
        <v>2</v>
      </c>
      <c r="J1258" s="29">
        <v>0</v>
      </c>
      <c r="K1258" s="29">
        <v>2</v>
      </c>
      <c r="L1258" s="29">
        <v>0</v>
      </c>
      <c r="M1258" s="29">
        <v>0</v>
      </c>
      <c r="N1258" s="29">
        <v>0</v>
      </c>
      <c r="O1258" s="29">
        <v>0</v>
      </c>
    </row>
    <row r="1259" spans="1:15" x14ac:dyDescent="0.3">
      <c r="A1259" s="28" t="s">
        <v>575</v>
      </c>
      <c r="B1259" s="28" t="s">
        <v>576</v>
      </c>
      <c r="C1259" s="28" t="s">
        <v>560</v>
      </c>
      <c r="D1259" s="28" t="s">
        <v>618</v>
      </c>
      <c r="E1259" s="28" t="s">
        <v>614</v>
      </c>
      <c r="F1259" s="28" t="s">
        <v>591</v>
      </c>
      <c r="G1259" s="29">
        <v>0</v>
      </c>
      <c r="H1259" s="29">
        <v>0</v>
      </c>
      <c r="I1259" s="29">
        <v>3</v>
      </c>
      <c r="J1259" s="29">
        <v>0</v>
      </c>
      <c r="K1259" s="29">
        <v>3</v>
      </c>
      <c r="L1259" s="29">
        <v>0</v>
      </c>
      <c r="M1259" s="29">
        <v>0</v>
      </c>
      <c r="N1259" s="29">
        <v>0</v>
      </c>
      <c r="O1259" s="29">
        <v>0</v>
      </c>
    </row>
    <row r="1260" spans="1:15" x14ac:dyDescent="0.3">
      <c r="A1260" s="28" t="s">
        <v>575</v>
      </c>
      <c r="B1260" s="28" t="s">
        <v>576</v>
      </c>
      <c r="C1260" s="28" t="s">
        <v>560</v>
      </c>
      <c r="D1260" s="28" t="s">
        <v>618</v>
      </c>
      <c r="E1260" s="28" t="s">
        <v>614</v>
      </c>
      <c r="F1260" s="28" t="s">
        <v>593</v>
      </c>
      <c r="G1260" s="29">
        <v>0</v>
      </c>
      <c r="H1260" s="29">
        <v>0</v>
      </c>
      <c r="I1260" s="29">
        <v>3</v>
      </c>
      <c r="J1260" s="29">
        <v>0</v>
      </c>
      <c r="K1260" s="29">
        <v>3</v>
      </c>
      <c r="L1260" s="29">
        <v>1000</v>
      </c>
      <c r="M1260" s="29">
        <v>0</v>
      </c>
      <c r="N1260" s="29">
        <v>1000</v>
      </c>
      <c r="O1260" s="29">
        <v>0</v>
      </c>
    </row>
    <row r="1261" spans="1:15" x14ac:dyDescent="0.3">
      <c r="A1261" s="28" t="s">
        <v>575</v>
      </c>
      <c r="B1261" s="28" t="s">
        <v>576</v>
      </c>
      <c r="C1261" s="28" t="s">
        <v>560</v>
      </c>
      <c r="D1261" s="28" t="s">
        <v>618</v>
      </c>
      <c r="E1261" s="28" t="s">
        <v>615</v>
      </c>
      <c r="F1261" s="28" t="s">
        <v>604</v>
      </c>
      <c r="G1261" s="29">
        <v>0</v>
      </c>
      <c r="H1261" s="29">
        <v>0</v>
      </c>
      <c r="I1261" s="29">
        <v>6</v>
      </c>
      <c r="J1261" s="29">
        <v>0</v>
      </c>
      <c r="K1261" s="29">
        <v>6</v>
      </c>
      <c r="L1261" s="29">
        <v>0</v>
      </c>
      <c r="M1261" s="29">
        <v>0</v>
      </c>
      <c r="N1261" s="29">
        <v>0</v>
      </c>
      <c r="O1261" s="29">
        <v>0</v>
      </c>
    </row>
    <row r="1262" spans="1:15" x14ac:dyDescent="0.3">
      <c r="A1262" s="28" t="s">
        <v>575</v>
      </c>
      <c r="B1262" s="28" t="s">
        <v>576</v>
      </c>
      <c r="C1262" s="28" t="s">
        <v>560</v>
      </c>
      <c r="D1262" s="28" t="s">
        <v>618</v>
      </c>
      <c r="E1262" s="28" t="s">
        <v>615</v>
      </c>
      <c r="F1262" s="28" t="s">
        <v>582</v>
      </c>
      <c r="G1262" s="29">
        <v>0</v>
      </c>
      <c r="H1262" s="29">
        <v>0</v>
      </c>
      <c r="I1262" s="29">
        <v>1</v>
      </c>
      <c r="J1262" s="29">
        <v>0</v>
      </c>
      <c r="K1262" s="29">
        <v>1</v>
      </c>
      <c r="L1262" s="29">
        <v>0</v>
      </c>
      <c r="M1262" s="29">
        <v>0</v>
      </c>
      <c r="N1262" s="29">
        <v>0</v>
      </c>
      <c r="O1262" s="29">
        <v>0</v>
      </c>
    </row>
    <row r="1263" spans="1:15" x14ac:dyDescent="0.3">
      <c r="A1263" s="28" t="s">
        <v>575</v>
      </c>
      <c r="B1263" s="28" t="s">
        <v>576</v>
      </c>
      <c r="C1263" s="28" t="s">
        <v>560</v>
      </c>
      <c r="D1263" s="28" t="s">
        <v>618</v>
      </c>
      <c r="E1263" s="28" t="s">
        <v>615</v>
      </c>
      <c r="F1263" s="28" t="s">
        <v>583</v>
      </c>
      <c r="G1263" s="29">
        <v>0</v>
      </c>
      <c r="H1263" s="29">
        <v>0</v>
      </c>
      <c r="I1263" s="29">
        <v>1</v>
      </c>
      <c r="J1263" s="29">
        <v>0</v>
      </c>
      <c r="K1263" s="29">
        <v>1</v>
      </c>
      <c r="L1263" s="29">
        <v>0</v>
      </c>
      <c r="M1263" s="29">
        <v>0</v>
      </c>
      <c r="N1263" s="29">
        <v>0</v>
      </c>
      <c r="O1263" s="29">
        <v>0</v>
      </c>
    </row>
    <row r="1264" spans="1:15" x14ac:dyDescent="0.3">
      <c r="A1264" s="28" t="s">
        <v>575</v>
      </c>
      <c r="B1264" s="28" t="s">
        <v>576</v>
      </c>
      <c r="C1264" s="28" t="s">
        <v>560</v>
      </c>
      <c r="D1264" s="28" t="s">
        <v>618</v>
      </c>
      <c r="E1264" s="28" t="s">
        <v>615</v>
      </c>
      <c r="F1264" s="28" t="s">
        <v>587</v>
      </c>
      <c r="G1264" s="29">
        <v>0</v>
      </c>
      <c r="H1264" s="29">
        <v>0</v>
      </c>
      <c r="I1264" s="29">
        <v>2</v>
      </c>
      <c r="J1264" s="29">
        <v>0</v>
      </c>
      <c r="K1264" s="29">
        <v>2</v>
      </c>
      <c r="L1264" s="29">
        <v>0</v>
      </c>
      <c r="M1264" s="29">
        <v>0</v>
      </c>
      <c r="N1264" s="29">
        <v>0</v>
      </c>
      <c r="O1264" s="29">
        <v>0</v>
      </c>
    </row>
    <row r="1265" spans="1:15" x14ac:dyDescent="0.3">
      <c r="A1265" s="28" t="s">
        <v>575</v>
      </c>
      <c r="B1265" s="28" t="s">
        <v>576</v>
      </c>
      <c r="C1265" s="28" t="s">
        <v>560</v>
      </c>
      <c r="D1265" s="28" t="s">
        <v>618</v>
      </c>
      <c r="E1265" s="28" t="s">
        <v>615</v>
      </c>
      <c r="F1265" s="28" t="s">
        <v>579</v>
      </c>
      <c r="G1265" s="29">
        <v>0</v>
      </c>
      <c r="H1265" s="29">
        <v>0</v>
      </c>
      <c r="I1265" s="29">
        <v>5</v>
      </c>
      <c r="J1265" s="29">
        <v>0</v>
      </c>
      <c r="K1265" s="29">
        <v>5</v>
      </c>
      <c r="L1265" s="29">
        <v>0</v>
      </c>
      <c r="M1265" s="29">
        <v>0</v>
      </c>
      <c r="N1265" s="29">
        <v>0</v>
      </c>
      <c r="O1265" s="29">
        <v>0</v>
      </c>
    </row>
    <row r="1266" spans="1:15" x14ac:dyDescent="0.3">
      <c r="A1266" s="28" t="s">
        <v>575</v>
      </c>
      <c r="B1266" s="28" t="s">
        <v>576</v>
      </c>
      <c r="C1266" s="28" t="s">
        <v>560</v>
      </c>
      <c r="D1266" s="28" t="s">
        <v>618</v>
      </c>
      <c r="E1266" s="28" t="s">
        <v>615</v>
      </c>
      <c r="F1266" s="28" t="s">
        <v>589</v>
      </c>
      <c r="G1266" s="29">
        <v>0</v>
      </c>
      <c r="H1266" s="29">
        <v>0</v>
      </c>
      <c r="I1266" s="29">
        <v>11</v>
      </c>
      <c r="J1266" s="29">
        <v>0</v>
      </c>
      <c r="K1266" s="29">
        <v>11</v>
      </c>
      <c r="L1266" s="29">
        <v>1000</v>
      </c>
      <c r="M1266" s="29">
        <v>0</v>
      </c>
      <c r="N1266" s="29">
        <v>1000</v>
      </c>
      <c r="O1266" s="29">
        <v>0</v>
      </c>
    </row>
    <row r="1267" spans="1:15" x14ac:dyDescent="0.3">
      <c r="A1267" s="28" t="s">
        <v>575</v>
      </c>
      <c r="B1267" s="28" t="s">
        <v>576</v>
      </c>
      <c r="C1267" s="28" t="s">
        <v>560</v>
      </c>
      <c r="D1267" s="28" t="s">
        <v>618</v>
      </c>
      <c r="E1267" s="28" t="s">
        <v>615</v>
      </c>
      <c r="F1267" s="28" t="s">
        <v>590</v>
      </c>
      <c r="G1267" s="29">
        <v>0</v>
      </c>
      <c r="H1267" s="29">
        <v>0</v>
      </c>
      <c r="I1267" s="29">
        <v>3</v>
      </c>
      <c r="J1267" s="29">
        <v>0</v>
      </c>
      <c r="K1267" s="29">
        <v>3</v>
      </c>
      <c r="L1267" s="29">
        <v>100</v>
      </c>
      <c r="M1267" s="29">
        <v>0</v>
      </c>
      <c r="N1267" s="29">
        <v>100</v>
      </c>
      <c r="O1267" s="29">
        <v>0</v>
      </c>
    </row>
    <row r="1268" spans="1:15" x14ac:dyDescent="0.3">
      <c r="A1268" s="28" t="s">
        <v>575</v>
      </c>
      <c r="B1268" s="28" t="s">
        <v>576</v>
      </c>
      <c r="C1268" s="28" t="s">
        <v>560</v>
      </c>
      <c r="D1268" s="28" t="s">
        <v>618</v>
      </c>
      <c r="E1268" s="28" t="s">
        <v>615</v>
      </c>
      <c r="F1268" s="28" t="s">
        <v>593</v>
      </c>
      <c r="G1268" s="29">
        <v>0</v>
      </c>
      <c r="H1268" s="29">
        <v>0</v>
      </c>
      <c r="I1268" s="29">
        <v>2</v>
      </c>
      <c r="J1268" s="29">
        <v>0</v>
      </c>
      <c r="K1268" s="29">
        <v>2</v>
      </c>
      <c r="L1268" s="29">
        <v>0</v>
      </c>
      <c r="M1268" s="29">
        <v>0</v>
      </c>
      <c r="N1268" s="29">
        <v>0</v>
      </c>
      <c r="O1268" s="29">
        <v>0</v>
      </c>
    </row>
    <row r="1269" spans="1:15" x14ac:dyDescent="0.3">
      <c r="A1269" s="28" t="s">
        <v>575</v>
      </c>
      <c r="B1269" s="28" t="s">
        <v>576</v>
      </c>
      <c r="C1269" s="28" t="s">
        <v>560</v>
      </c>
      <c r="D1269" s="28" t="s">
        <v>618</v>
      </c>
      <c r="E1269" s="28" t="s">
        <v>615</v>
      </c>
      <c r="F1269" s="28" t="s">
        <v>594</v>
      </c>
      <c r="G1269" s="29">
        <v>0</v>
      </c>
      <c r="H1269" s="29">
        <v>0</v>
      </c>
      <c r="I1269" s="29">
        <v>2</v>
      </c>
      <c r="J1269" s="29">
        <v>0</v>
      </c>
      <c r="K1269" s="29">
        <v>2</v>
      </c>
      <c r="L1269" s="29">
        <v>500</v>
      </c>
      <c r="M1269" s="29">
        <v>0</v>
      </c>
      <c r="N1269" s="29">
        <v>500</v>
      </c>
      <c r="O1269" s="29">
        <v>0</v>
      </c>
    </row>
    <row r="1270" spans="1:15" x14ac:dyDescent="0.3">
      <c r="A1270" s="28" t="s">
        <v>575</v>
      </c>
      <c r="B1270" s="28" t="s">
        <v>576</v>
      </c>
      <c r="C1270" s="28" t="s">
        <v>560</v>
      </c>
      <c r="D1270" s="28" t="s">
        <v>618</v>
      </c>
      <c r="E1270" s="28" t="s">
        <v>616</v>
      </c>
      <c r="F1270" s="28" t="s">
        <v>603</v>
      </c>
      <c r="G1270" s="29">
        <v>0</v>
      </c>
      <c r="H1270" s="29">
        <v>0</v>
      </c>
      <c r="I1270" s="29">
        <v>1</v>
      </c>
      <c r="J1270" s="29">
        <v>0</v>
      </c>
      <c r="K1270" s="29">
        <v>1</v>
      </c>
      <c r="L1270" s="29">
        <v>0</v>
      </c>
      <c r="M1270" s="29">
        <v>0</v>
      </c>
      <c r="N1270" s="29">
        <v>0</v>
      </c>
      <c r="O1270" s="29">
        <v>0</v>
      </c>
    </row>
    <row r="1271" spans="1:15" x14ac:dyDescent="0.3">
      <c r="A1271" s="28" t="s">
        <v>575</v>
      </c>
      <c r="B1271" s="28" t="s">
        <v>576</v>
      </c>
      <c r="C1271" s="28" t="s">
        <v>560</v>
      </c>
      <c r="D1271" s="28" t="s">
        <v>618</v>
      </c>
      <c r="E1271" s="28" t="s">
        <v>616</v>
      </c>
      <c r="F1271" s="28" t="s">
        <v>604</v>
      </c>
      <c r="G1271" s="29">
        <v>0</v>
      </c>
      <c r="H1271" s="29">
        <v>0</v>
      </c>
      <c r="I1271" s="29">
        <v>3</v>
      </c>
      <c r="J1271" s="29">
        <v>0</v>
      </c>
      <c r="K1271" s="29">
        <v>3</v>
      </c>
      <c r="L1271" s="29">
        <v>0</v>
      </c>
      <c r="M1271" s="29">
        <v>0</v>
      </c>
      <c r="N1271" s="29">
        <v>0</v>
      </c>
      <c r="O1271" s="29">
        <v>0</v>
      </c>
    </row>
    <row r="1272" spans="1:15" x14ac:dyDescent="0.3">
      <c r="A1272" s="28" t="s">
        <v>575</v>
      </c>
      <c r="B1272" s="28" t="s">
        <v>576</v>
      </c>
      <c r="C1272" s="28" t="s">
        <v>560</v>
      </c>
      <c r="D1272" s="28" t="s">
        <v>618</v>
      </c>
      <c r="E1272" s="28" t="s">
        <v>616</v>
      </c>
      <c r="F1272" s="28" t="s">
        <v>581</v>
      </c>
      <c r="G1272" s="29">
        <v>0</v>
      </c>
      <c r="H1272" s="29">
        <v>0</v>
      </c>
      <c r="I1272" s="29">
        <v>3</v>
      </c>
      <c r="J1272" s="29">
        <v>0</v>
      </c>
      <c r="K1272" s="29">
        <v>3</v>
      </c>
      <c r="L1272" s="29">
        <v>0</v>
      </c>
      <c r="M1272" s="29">
        <v>0</v>
      </c>
      <c r="N1272" s="29">
        <v>0</v>
      </c>
      <c r="O1272" s="29">
        <v>0</v>
      </c>
    </row>
    <row r="1273" spans="1:15" x14ac:dyDescent="0.3">
      <c r="A1273" s="28" t="s">
        <v>575</v>
      </c>
      <c r="B1273" s="28" t="s">
        <v>576</v>
      </c>
      <c r="C1273" s="28" t="s">
        <v>560</v>
      </c>
      <c r="D1273" s="28" t="s">
        <v>618</v>
      </c>
      <c r="E1273" s="28" t="s">
        <v>616</v>
      </c>
      <c r="F1273" s="28" t="s">
        <v>582</v>
      </c>
      <c r="G1273" s="29">
        <v>0</v>
      </c>
      <c r="H1273" s="29">
        <v>0</v>
      </c>
      <c r="I1273" s="29">
        <v>2</v>
      </c>
      <c r="J1273" s="29">
        <v>0</v>
      </c>
      <c r="K1273" s="29">
        <v>2</v>
      </c>
      <c r="L1273" s="29">
        <v>0</v>
      </c>
      <c r="M1273" s="29">
        <v>0</v>
      </c>
      <c r="N1273" s="29">
        <v>0</v>
      </c>
      <c r="O1273" s="29">
        <v>0</v>
      </c>
    </row>
    <row r="1274" spans="1:15" x14ac:dyDescent="0.3">
      <c r="A1274" s="28" t="s">
        <v>575</v>
      </c>
      <c r="B1274" s="28" t="s">
        <v>576</v>
      </c>
      <c r="C1274" s="28" t="s">
        <v>560</v>
      </c>
      <c r="D1274" s="28" t="s">
        <v>618</v>
      </c>
      <c r="E1274" s="28" t="s">
        <v>616</v>
      </c>
      <c r="F1274" s="28" t="s">
        <v>583</v>
      </c>
      <c r="G1274" s="29">
        <v>0</v>
      </c>
      <c r="H1274" s="29">
        <v>0</v>
      </c>
      <c r="I1274" s="29">
        <v>1</v>
      </c>
      <c r="J1274" s="29">
        <v>0</v>
      </c>
      <c r="K1274" s="29">
        <v>1</v>
      </c>
      <c r="L1274" s="29">
        <v>0</v>
      </c>
      <c r="M1274" s="29">
        <v>0</v>
      </c>
      <c r="N1274" s="29">
        <v>0</v>
      </c>
      <c r="O1274" s="29">
        <v>0</v>
      </c>
    </row>
    <row r="1275" spans="1:15" x14ac:dyDescent="0.3">
      <c r="A1275" s="28" t="s">
        <v>575</v>
      </c>
      <c r="B1275" s="28" t="s">
        <v>576</v>
      </c>
      <c r="C1275" s="28" t="s">
        <v>560</v>
      </c>
      <c r="D1275" s="28" t="s">
        <v>618</v>
      </c>
      <c r="E1275" s="28" t="s">
        <v>616</v>
      </c>
      <c r="F1275" s="28" t="s">
        <v>584</v>
      </c>
      <c r="G1275" s="29">
        <v>0</v>
      </c>
      <c r="H1275" s="29">
        <v>0</v>
      </c>
      <c r="I1275" s="29">
        <v>4</v>
      </c>
      <c r="J1275" s="29">
        <v>0</v>
      </c>
      <c r="K1275" s="29">
        <v>4</v>
      </c>
      <c r="L1275" s="29">
        <v>0</v>
      </c>
      <c r="M1275" s="29">
        <v>0</v>
      </c>
      <c r="N1275" s="29">
        <v>0</v>
      </c>
      <c r="O1275" s="29">
        <v>0</v>
      </c>
    </row>
    <row r="1276" spans="1:15" x14ac:dyDescent="0.3">
      <c r="A1276" s="28" t="s">
        <v>575</v>
      </c>
      <c r="B1276" s="28" t="s">
        <v>576</v>
      </c>
      <c r="C1276" s="28" t="s">
        <v>560</v>
      </c>
      <c r="D1276" s="28" t="s">
        <v>618</v>
      </c>
      <c r="E1276" s="28" t="s">
        <v>616</v>
      </c>
      <c r="F1276" s="28" t="s">
        <v>585</v>
      </c>
      <c r="G1276" s="29">
        <v>0</v>
      </c>
      <c r="H1276" s="29">
        <v>0</v>
      </c>
      <c r="I1276" s="29">
        <v>2</v>
      </c>
      <c r="J1276" s="29">
        <v>0</v>
      </c>
      <c r="K1276" s="29">
        <v>2</v>
      </c>
      <c r="L1276" s="29">
        <v>0</v>
      </c>
      <c r="M1276" s="29">
        <v>0</v>
      </c>
      <c r="N1276" s="29">
        <v>0</v>
      </c>
      <c r="O1276" s="29">
        <v>0</v>
      </c>
    </row>
    <row r="1277" spans="1:15" x14ac:dyDescent="0.3">
      <c r="A1277" s="28" t="s">
        <v>575</v>
      </c>
      <c r="B1277" s="28" t="s">
        <v>576</v>
      </c>
      <c r="C1277" s="28" t="s">
        <v>560</v>
      </c>
      <c r="D1277" s="28" t="s">
        <v>618</v>
      </c>
      <c r="E1277" s="28" t="s">
        <v>616</v>
      </c>
      <c r="F1277" s="28" t="s">
        <v>586</v>
      </c>
      <c r="G1277" s="29">
        <v>0</v>
      </c>
      <c r="H1277" s="29">
        <v>0</v>
      </c>
      <c r="I1277" s="29">
        <v>9</v>
      </c>
      <c r="J1277" s="29">
        <v>0</v>
      </c>
      <c r="K1277" s="29">
        <v>9</v>
      </c>
      <c r="L1277" s="29">
        <v>500</v>
      </c>
      <c r="M1277" s="29">
        <v>0</v>
      </c>
      <c r="N1277" s="29">
        <v>500</v>
      </c>
      <c r="O1277" s="29">
        <v>0</v>
      </c>
    </row>
    <row r="1278" spans="1:15" x14ac:dyDescent="0.3">
      <c r="A1278" s="28" t="s">
        <v>575</v>
      </c>
      <c r="B1278" s="28" t="s">
        <v>576</v>
      </c>
      <c r="C1278" s="28" t="s">
        <v>560</v>
      </c>
      <c r="D1278" s="28" t="s">
        <v>618</v>
      </c>
      <c r="E1278" s="28" t="s">
        <v>616</v>
      </c>
      <c r="F1278" s="28" t="s">
        <v>587</v>
      </c>
      <c r="G1278" s="29">
        <v>0</v>
      </c>
      <c r="H1278" s="29">
        <v>0</v>
      </c>
      <c r="I1278" s="29">
        <v>4</v>
      </c>
      <c r="J1278" s="29">
        <v>0</v>
      </c>
      <c r="K1278" s="29">
        <v>4</v>
      </c>
      <c r="L1278" s="29">
        <v>0</v>
      </c>
      <c r="M1278" s="29">
        <v>0</v>
      </c>
      <c r="N1278" s="29">
        <v>0</v>
      </c>
      <c r="O1278" s="29">
        <v>0</v>
      </c>
    </row>
    <row r="1279" spans="1:15" x14ac:dyDescent="0.3">
      <c r="A1279" s="28" t="s">
        <v>575</v>
      </c>
      <c r="B1279" s="28" t="s">
        <v>576</v>
      </c>
      <c r="C1279" s="28" t="s">
        <v>560</v>
      </c>
      <c r="D1279" s="28" t="s">
        <v>618</v>
      </c>
      <c r="E1279" s="28" t="s">
        <v>616</v>
      </c>
      <c r="F1279" s="28" t="s">
        <v>579</v>
      </c>
      <c r="G1279" s="29">
        <v>0</v>
      </c>
      <c r="H1279" s="29">
        <v>0</v>
      </c>
      <c r="I1279" s="29">
        <v>5</v>
      </c>
      <c r="J1279" s="29">
        <v>0</v>
      </c>
      <c r="K1279" s="29">
        <v>5</v>
      </c>
      <c r="L1279" s="29">
        <v>1000</v>
      </c>
      <c r="M1279" s="29">
        <v>0</v>
      </c>
      <c r="N1279" s="29">
        <v>1000</v>
      </c>
      <c r="O1279" s="29">
        <v>0</v>
      </c>
    </row>
    <row r="1280" spans="1:15" x14ac:dyDescent="0.3">
      <c r="A1280" s="28" t="s">
        <v>575</v>
      </c>
      <c r="B1280" s="28" t="s">
        <v>576</v>
      </c>
      <c r="C1280" s="28" t="s">
        <v>560</v>
      </c>
      <c r="D1280" s="28" t="s">
        <v>618</v>
      </c>
      <c r="E1280" s="28" t="s">
        <v>616</v>
      </c>
      <c r="F1280" s="28" t="s">
        <v>591</v>
      </c>
      <c r="G1280" s="29">
        <v>0</v>
      </c>
      <c r="H1280" s="29">
        <v>0</v>
      </c>
      <c r="I1280" s="29">
        <v>1</v>
      </c>
      <c r="J1280" s="29">
        <v>0</v>
      </c>
      <c r="K1280" s="29">
        <v>1</v>
      </c>
      <c r="L1280" s="29">
        <v>0</v>
      </c>
      <c r="M1280" s="29">
        <v>0</v>
      </c>
      <c r="N1280" s="29">
        <v>0</v>
      </c>
      <c r="O1280" s="29">
        <v>0</v>
      </c>
    </row>
    <row r="1281" spans="1:15" x14ac:dyDescent="0.3">
      <c r="A1281" s="28" t="s">
        <v>575</v>
      </c>
      <c r="B1281" s="28" t="s">
        <v>576</v>
      </c>
      <c r="C1281" s="28" t="s">
        <v>560</v>
      </c>
      <c r="D1281" s="28" t="s">
        <v>618</v>
      </c>
      <c r="E1281" s="28" t="s">
        <v>616</v>
      </c>
      <c r="F1281" s="28" t="s">
        <v>593</v>
      </c>
      <c r="G1281" s="29">
        <v>0</v>
      </c>
      <c r="H1281" s="29">
        <v>0</v>
      </c>
      <c r="I1281" s="29">
        <v>3</v>
      </c>
      <c r="J1281" s="29">
        <v>0</v>
      </c>
      <c r="K1281" s="29">
        <v>3</v>
      </c>
      <c r="L1281" s="29">
        <v>1000</v>
      </c>
      <c r="M1281" s="29">
        <v>0</v>
      </c>
      <c r="N1281" s="29">
        <v>1000</v>
      </c>
      <c r="O1281" s="29">
        <v>0</v>
      </c>
    </row>
    <row r="1282" spans="1:15" x14ac:dyDescent="0.3">
      <c r="A1282" s="28" t="s">
        <v>575</v>
      </c>
      <c r="B1282" s="28" t="s">
        <v>576</v>
      </c>
      <c r="C1282" s="28" t="s">
        <v>560</v>
      </c>
      <c r="D1282" s="28" t="s">
        <v>618</v>
      </c>
      <c r="E1282" s="28" t="s">
        <v>617</v>
      </c>
      <c r="F1282" s="28" t="s">
        <v>603</v>
      </c>
      <c r="G1282" s="29">
        <v>0</v>
      </c>
      <c r="H1282" s="29">
        <v>0</v>
      </c>
      <c r="I1282" s="29">
        <v>2</v>
      </c>
      <c r="J1282" s="29">
        <v>0</v>
      </c>
      <c r="K1282" s="29">
        <v>2</v>
      </c>
      <c r="L1282" s="29">
        <v>0</v>
      </c>
      <c r="M1282" s="29">
        <v>0</v>
      </c>
      <c r="N1282" s="29">
        <v>0</v>
      </c>
      <c r="O1282" s="29">
        <v>0</v>
      </c>
    </row>
    <row r="1283" spans="1:15" x14ac:dyDescent="0.3">
      <c r="A1283" s="28" t="s">
        <v>575</v>
      </c>
      <c r="B1283" s="28" t="s">
        <v>576</v>
      </c>
      <c r="C1283" s="28" t="s">
        <v>560</v>
      </c>
      <c r="D1283" s="28" t="s">
        <v>618</v>
      </c>
      <c r="E1283" s="28" t="s">
        <v>617</v>
      </c>
      <c r="F1283" s="28" t="s">
        <v>604</v>
      </c>
      <c r="G1283" s="29">
        <v>0</v>
      </c>
      <c r="H1283" s="29">
        <v>0</v>
      </c>
      <c r="I1283" s="29">
        <v>1</v>
      </c>
      <c r="J1283" s="29">
        <v>0</v>
      </c>
      <c r="K1283" s="29">
        <v>1</v>
      </c>
      <c r="L1283" s="29">
        <v>0</v>
      </c>
      <c r="M1283" s="29">
        <v>0</v>
      </c>
      <c r="N1283" s="29">
        <v>0</v>
      </c>
      <c r="O1283" s="29">
        <v>0</v>
      </c>
    </row>
    <row r="1284" spans="1:15" x14ac:dyDescent="0.3">
      <c r="A1284" s="28" t="s">
        <v>575</v>
      </c>
      <c r="B1284" s="28" t="s">
        <v>576</v>
      </c>
      <c r="C1284" s="28" t="s">
        <v>560</v>
      </c>
      <c r="D1284" s="28" t="s">
        <v>618</v>
      </c>
      <c r="E1284" s="28" t="s">
        <v>617</v>
      </c>
      <c r="F1284" s="28" t="s">
        <v>581</v>
      </c>
      <c r="G1284" s="29">
        <v>0</v>
      </c>
      <c r="H1284" s="29">
        <v>0</v>
      </c>
      <c r="I1284" s="29">
        <v>4</v>
      </c>
      <c r="J1284" s="29">
        <v>0</v>
      </c>
      <c r="K1284" s="29">
        <v>4</v>
      </c>
      <c r="L1284" s="29">
        <v>0</v>
      </c>
      <c r="M1284" s="29">
        <v>0</v>
      </c>
      <c r="N1284" s="29">
        <v>0</v>
      </c>
      <c r="O1284" s="29">
        <v>0</v>
      </c>
    </row>
    <row r="1285" spans="1:15" x14ac:dyDescent="0.3">
      <c r="A1285" s="28" t="s">
        <v>575</v>
      </c>
      <c r="B1285" s="28" t="s">
        <v>576</v>
      </c>
      <c r="C1285" s="28" t="s">
        <v>560</v>
      </c>
      <c r="D1285" s="28" t="s">
        <v>618</v>
      </c>
      <c r="E1285" s="28" t="s">
        <v>617</v>
      </c>
      <c r="F1285" s="28" t="s">
        <v>582</v>
      </c>
      <c r="G1285" s="29">
        <v>0</v>
      </c>
      <c r="H1285" s="29">
        <v>0</v>
      </c>
      <c r="I1285" s="29">
        <v>2</v>
      </c>
      <c r="J1285" s="29">
        <v>0</v>
      </c>
      <c r="K1285" s="29">
        <v>2</v>
      </c>
      <c r="L1285" s="29">
        <v>100</v>
      </c>
      <c r="M1285" s="29">
        <v>0</v>
      </c>
      <c r="N1285" s="29">
        <v>100</v>
      </c>
      <c r="O1285" s="29">
        <v>0</v>
      </c>
    </row>
    <row r="1286" spans="1:15" x14ac:dyDescent="0.3">
      <c r="A1286" s="28" t="s">
        <v>575</v>
      </c>
      <c r="B1286" s="28" t="s">
        <v>576</v>
      </c>
      <c r="C1286" s="28" t="s">
        <v>560</v>
      </c>
      <c r="D1286" s="28" t="s">
        <v>618</v>
      </c>
      <c r="E1286" s="28" t="s">
        <v>617</v>
      </c>
      <c r="F1286" s="28" t="s">
        <v>583</v>
      </c>
      <c r="G1286" s="29">
        <v>0</v>
      </c>
      <c r="H1286" s="29">
        <v>0</v>
      </c>
      <c r="I1286" s="29">
        <v>4</v>
      </c>
      <c r="J1286" s="29">
        <v>0</v>
      </c>
      <c r="K1286" s="29">
        <v>4</v>
      </c>
      <c r="L1286" s="29">
        <v>0</v>
      </c>
      <c r="M1286" s="29">
        <v>0</v>
      </c>
      <c r="N1286" s="29">
        <v>0</v>
      </c>
      <c r="O1286" s="29">
        <v>0</v>
      </c>
    </row>
    <row r="1287" spans="1:15" x14ac:dyDescent="0.3">
      <c r="A1287" s="28" t="s">
        <v>575</v>
      </c>
      <c r="B1287" s="28" t="s">
        <v>576</v>
      </c>
      <c r="C1287" s="28" t="s">
        <v>560</v>
      </c>
      <c r="D1287" s="28" t="s">
        <v>618</v>
      </c>
      <c r="E1287" s="28" t="s">
        <v>617</v>
      </c>
      <c r="F1287" s="28" t="s">
        <v>584</v>
      </c>
      <c r="G1287" s="29">
        <v>0</v>
      </c>
      <c r="H1287" s="29">
        <v>0</v>
      </c>
      <c r="I1287" s="29">
        <v>1</v>
      </c>
      <c r="J1287" s="29">
        <v>0</v>
      </c>
      <c r="K1287" s="29">
        <v>1</v>
      </c>
      <c r="L1287" s="29">
        <v>0</v>
      </c>
      <c r="M1287" s="29">
        <v>0</v>
      </c>
      <c r="N1287" s="29">
        <v>0</v>
      </c>
      <c r="O1287" s="29">
        <v>0</v>
      </c>
    </row>
    <row r="1288" spans="1:15" x14ac:dyDescent="0.3">
      <c r="A1288" s="28" t="s">
        <v>575</v>
      </c>
      <c r="B1288" s="28" t="s">
        <v>576</v>
      </c>
      <c r="C1288" s="28" t="s">
        <v>561</v>
      </c>
      <c r="D1288" s="28" t="s">
        <v>577</v>
      </c>
      <c r="E1288" s="28" t="s">
        <v>578</v>
      </c>
      <c r="F1288" s="28" t="s">
        <v>579</v>
      </c>
      <c r="G1288" s="29">
        <v>0</v>
      </c>
      <c r="H1288" s="29">
        <v>2</v>
      </c>
      <c r="I1288" s="29">
        <v>0</v>
      </c>
      <c r="J1288" s="29">
        <v>0</v>
      </c>
      <c r="K1288" s="29">
        <v>0</v>
      </c>
      <c r="L1288" s="29">
        <v>0</v>
      </c>
      <c r="M1288" s="29">
        <v>0</v>
      </c>
      <c r="N1288" s="29">
        <v>0</v>
      </c>
      <c r="O1288" s="29">
        <v>0</v>
      </c>
    </row>
    <row r="1289" spans="1:15" x14ac:dyDescent="0.3">
      <c r="A1289" s="28" t="s">
        <v>575</v>
      </c>
      <c r="B1289" s="28" t="s">
        <v>576</v>
      </c>
      <c r="C1289" s="28" t="s">
        <v>561</v>
      </c>
      <c r="D1289" s="28" t="s">
        <v>577</v>
      </c>
      <c r="E1289" s="28" t="s">
        <v>620</v>
      </c>
      <c r="F1289" s="28" t="s">
        <v>582</v>
      </c>
      <c r="G1289" s="29">
        <v>0</v>
      </c>
      <c r="H1289" s="29">
        <v>1</v>
      </c>
      <c r="I1289" s="29">
        <v>0</v>
      </c>
      <c r="J1289" s="29">
        <v>0</v>
      </c>
      <c r="K1289" s="29">
        <v>0</v>
      </c>
      <c r="L1289" s="29">
        <v>0</v>
      </c>
      <c r="M1289" s="29">
        <v>0</v>
      </c>
      <c r="N1289" s="29">
        <v>0</v>
      </c>
      <c r="O1289" s="29">
        <v>0</v>
      </c>
    </row>
    <row r="1290" spans="1:15" x14ac:dyDescent="0.3">
      <c r="A1290" s="28" t="s">
        <v>575</v>
      </c>
      <c r="B1290" s="28" t="s">
        <v>576</v>
      </c>
      <c r="C1290" s="28" t="s">
        <v>561</v>
      </c>
      <c r="D1290" s="28" t="s">
        <v>577</v>
      </c>
      <c r="E1290" s="28" t="s">
        <v>620</v>
      </c>
      <c r="F1290" s="28" t="s">
        <v>594</v>
      </c>
      <c r="G1290" s="29">
        <v>0</v>
      </c>
      <c r="H1290" s="29">
        <v>2</v>
      </c>
      <c r="I1290" s="29">
        <v>0</v>
      </c>
      <c r="J1290" s="29">
        <v>0</v>
      </c>
      <c r="K1290" s="29">
        <v>0</v>
      </c>
      <c r="L1290" s="29">
        <v>0</v>
      </c>
      <c r="M1290" s="29">
        <v>0</v>
      </c>
      <c r="N1290" s="29">
        <v>0</v>
      </c>
      <c r="O1290" s="29">
        <v>0</v>
      </c>
    </row>
    <row r="1291" spans="1:15" x14ac:dyDescent="0.3">
      <c r="A1291" s="28" t="s">
        <v>575</v>
      </c>
      <c r="B1291" s="28" t="s">
        <v>576</v>
      </c>
      <c r="C1291" s="28" t="s">
        <v>561</v>
      </c>
      <c r="D1291" s="28" t="s">
        <v>577</v>
      </c>
      <c r="E1291" s="28" t="s">
        <v>619</v>
      </c>
      <c r="F1291" s="28" t="s">
        <v>593</v>
      </c>
      <c r="G1291" s="29">
        <v>567</v>
      </c>
      <c r="H1291" s="29">
        <v>2</v>
      </c>
      <c r="I1291" s="29">
        <v>0</v>
      </c>
      <c r="J1291" s="29">
        <v>0</v>
      </c>
      <c r="K1291" s="29">
        <v>0</v>
      </c>
      <c r="L1291" s="29">
        <v>0</v>
      </c>
      <c r="M1291" s="29">
        <v>0</v>
      </c>
      <c r="N1291" s="29">
        <v>0</v>
      </c>
      <c r="O1291" s="29">
        <v>0</v>
      </c>
    </row>
    <row r="1292" spans="1:15" x14ac:dyDescent="0.3">
      <c r="A1292" s="28" t="s">
        <v>575</v>
      </c>
      <c r="B1292" s="28" t="s">
        <v>576</v>
      </c>
      <c r="C1292" s="28" t="s">
        <v>561</v>
      </c>
      <c r="D1292" s="28" t="s">
        <v>577</v>
      </c>
      <c r="E1292" s="28" t="s">
        <v>619</v>
      </c>
      <c r="F1292" s="28" t="s">
        <v>594</v>
      </c>
      <c r="G1292" s="29">
        <v>2789</v>
      </c>
      <c r="H1292" s="29">
        <v>4</v>
      </c>
      <c r="I1292" s="29">
        <v>1</v>
      </c>
      <c r="J1292" s="29">
        <v>1</v>
      </c>
      <c r="K1292" s="29">
        <v>0</v>
      </c>
      <c r="L1292" s="29">
        <v>0</v>
      </c>
      <c r="M1292" s="29">
        <v>0</v>
      </c>
      <c r="N1292" s="29">
        <v>0</v>
      </c>
      <c r="O1292" s="29">
        <v>0</v>
      </c>
    </row>
    <row r="1293" spans="1:15" x14ac:dyDescent="0.3">
      <c r="A1293" s="28" t="s">
        <v>575</v>
      </c>
      <c r="B1293" s="28" t="s">
        <v>576</v>
      </c>
      <c r="C1293" s="28" t="s">
        <v>561</v>
      </c>
      <c r="D1293" s="28" t="s">
        <v>577</v>
      </c>
      <c r="E1293" s="28" t="s">
        <v>619</v>
      </c>
      <c r="F1293" s="28" t="s">
        <v>595</v>
      </c>
      <c r="G1293" s="29">
        <v>1365</v>
      </c>
      <c r="H1293" s="29">
        <v>5</v>
      </c>
      <c r="I1293" s="29">
        <v>1</v>
      </c>
      <c r="J1293" s="29">
        <v>1</v>
      </c>
      <c r="K1293" s="29">
        <v>0</v>
      </c>
      <c r="L1293" s="29">
        <v>0</v>
      </c>
      <c r="M1293" s="29">
        <v>0</v>
      </c>
      <c r="N1293" s="29">
        <v>0</v>
      </c>
      <c r="O1293" s="29">
        <v>0</v>
      </c>
    </row>
    <row r="1294" spans="1:15" x14ac:dyDescent="0.3">
      <c r="A1294" s="28" t="s">
        <v>575</v>
      </c>
      <c r="B1294" s="28" t="s">
        <v>576</v>
      </c>
      <c r="C1294" s="28" t="s">
        <v>561</v>
      </c>
      <c r="D1294" s="28" t="s">
        <v>577</v>
      </c>
      <c r="E1294" s="28" t="s">
        <v>580</v>
      </c>
      <c r="F1294" s="28" t="s">
        <v>597</v>
      </c>
      <c r="G1294" s="29">
        <v>645</v>
      </c>
      <c r="H1294" s="29">
        <v>1</v>
      </c>
      <c r="I1294" s="29">
        <v>0</v>
      </c>
      <c r="J1294" s="29">
        <v>0</v>
      </c>
      <c r="K1294" s="29">
        <v>0</v>
      </c>
      <c r="L1294" s="29">
        <v>0</v>
      </c>
      <c r="M1294" s="29">
        <v>0</v>
      </c>
      <c r="N1294" s="29">
        <v>0</v>
      </c>
      <c r="O1294" s="29">
        <v>0</v>
      </c>
    </row>
    <row r="1295" spans="1:15" x14ac:dyDescent="0.3">
      <c r="A1295" s="28" t="s">
        <v>575</v>
      </c>
      <c r="B1295" s="28" t="s">
        <v>576</v>
      </c>
      <c r="C1295" s="28" t="s">
        <v>561</v>
      </c>
      <c r="D1295" s="28" t="s">
        <v>577</v>
      </c>
      <c r="E1295" s="28" t="s">
        <v>580</v>
      </c>
      <c r="F1295" s="28" t="s">
        <v>598</v>
      </c>
      <c r="G1295" s="29">
        <v>307</v>
      </c>
      <c r="H1295" s="29">
        <v>0</v>
      </c>
      <c r="I1295" s="29">
        <v>0</v>
      </c>
      <c r="J1295" s="29">
        <v>0</v>
      </c>
      <c r="K1295" s="29">
        <v>0</v>
      </c>
      <c r="L1295" s="29">
        <v>0</v>
      </c>
      <c r="M1295" s="29">
        <v>0</v>
      </c>
      <c r="N1295" s="29">
        <v>0</v>
      </c>
      <c r="O1295" s="29">
        <v>0</v>
      </c>
    </row>
    <row r="1296" spans="1:15" x14ac:dyDescent="0.3">
      <c r="A1296" s="28" t="s">
        <v>575</v>
      </c>
      <c r="B1296" s="28" t="s">
        <v>576</v>
      </c>
      <c r="C1296" s="28" t="s">
        <v>561</v>
      </c>
      <c r="D1296" s="28" t="s">
        <v>577</v>
      </c>
      <c r="E1296" s="28" t="s">
        <v>580</v>
      </c>
      <c r="F1296" s="28" t="s">
        <v>599</v>
      </c>
      <c r="G1296" s="29">
        <v>179</v>
      </c>
      <c r="H1296" s="29">
        <v>0</v>
      </c>
      <c r="I1296" s="29">
        <v>0</v>
      </c>
      <c r="J1296" s="29">
        <v>0</v>
      </c>
      <c r="K1296" s="29">
        <v>0</v>
      </c>
      <c r="L1296" s="29">
        <v>0</v>
      </c>
      <c r="M1296" s="29">
        <v>0</v>
      </c>
      <c r="N1296" s="29">
        <v>0</v>
      </c>
      <c r="O1296" s="29">
        <v>0</v>
      </c>
    </row>
    <row r="1297" spans="1:15" x14ac:dyDescent="0.3">
      <c r="A1297" s="28" t="s">
        <v>575</v>
      </c>
      <c r="B1297" s="28" t="s">
        <v>576</v>
      </c>
      <c r="C1297" s="28" t="s">
        <v>561</v>
      </c>
      <c r="D1297" s="28" t="s">
        <v>577</v>
      </c>
      <c r="E1297" s="28" t="s">
        <v>580</v>
      </c>
      <c r="F1297" s="28" t="s">
        <v>600</v>
      </c>
      <c r="G1297" s="29">
        <v>132</v>
      </c>
      <c r="H1297" s="29">
        <v>0</v>
      </c>
      <c r="I1297" s="29">
        <v>0</v>
      </c>
      <c r="J1297" s="29">
        <v>0</v>
      </c>
      <c r="K1297" s="29">
        <v>0</v>
      </c>
      <c r="L1297" s="29">
        <v>0</v>
      </c>
      <c r="M1297" s="29">
        <v>0</v>
      </c>
      <c r="N1297" s="29">
        <v>0</v>
      </c>
      <c r="O1297" s="29">
        <v>0</v>
      </c>
    </row>
    <row r="1298" spans="1:15" x14ac:dyDescent="0.3">
      <c r="A1298" s="28" t="s">
        <v>575</v>
      </c>
      <c r="B1298" s="28" t="s">
        <v>576</v>
      </c>
      <c r="C1298" s="28" t="s">
        <v>561</v>
      </c>
      <c r="D1298" s="28" t="s">
        <v>577</v>
      </c>
      <c r="E1298" s="28" t="s">
        <v>580</v>
      </c>
      <c r="F1298" s="28" t="s">
        <v>601</v>
      </c>
      <c r="G1298" s="29">
        <v>241</v>
      </c>
      <c r="H1298" s="29">
        <v>0</v>
      </c>
      <c r="I1298" s="29">
        <v>0</v>
      </c>
      <c r="J1298" s="29">
        <v>0</v>
      </c>
      <c r="K1298" s="29">
        <v>0</v>
      </c>
      <c r="L1298" s="29">
        <v>0</v>
      </c>
      <c r="M1298" s="29">
        <v>0</v>
      </c>
      <c r="N1298" s="29">
        <v>0</v>
      </c>
      <c r="O1298" s="29">
        <v>0</v>
      </c>
    </row>
    <row r="1299" spans="1:15" x14ac:dyDescent="0.3">
      <c r="A1299" s="28" t="s">
        <v>575</v>
      </c>
      <c r="B1299" s="28" t="s">
        <v>576</v>
      </c>
      <c r="C1299" s="28" t="s">
        <v>561</v>
      </c>
      <c r="D1299" s="28" t="s">
        <v>577</v>
      </c>
      <c r="E1299" s="28" t="s">
        <v>580</v>
      </c>
      <c r="F1299" s="28" t="s">
        <v>602</v>
      </c>
      <c r="G1299" s="29">
        <v>595</v>
      </c>
      <c r="H1299" s="29">
        <v>1</v>
      </c>
      <c r="I1299" s="29">
        <v>0</v>
      </c>
      <c r="J1299" s="29">
        <v>0</v>
      </c>
      <c r="K1299" s="29">
        <v>0</v>
      </c>
      <c r="L1299" s="29">
        <v>0</v>
      </c>
      <c r="M1299" s="29">
        <v>0</v>
      </c>
      <c r="N1299" s="29">
        <v>0</v>
      </c>
      <c r="O1299" s="29">
        <v>0</v>
      </c>
    </row>
    <row r="1300" spans="1:15" x14ac:dyDescent="0.3">
      <c r="A1300" s="28" t="s">
        <v>575</v>
      </c>
      <c r="B1300" s="28" t="s">
        <v>576</v>
      </c>
      <c r="C1300" s="28" t="s">
        <v>561</v>
      </c>
      <c r="D1300" s="28" t="s">
        <v>577</v>
      </c>
      <c r="E1300" s="28" t="s">
        <v>580</v>
      </c>
      <c r="F1300" s="28" t="s">
        <v>603</v>
      </c>
      <c r="G1300" s="29">
        <v>1364</v>
      </c>
      <c r="H1300" s="29">
        <v>3</v>
      </c>
      <c r="I1300" s="29">
        <v>1</v>
      </c>
      <c r="J1300" s="29">
        <v>1</v>
      </c>
      <c r="K1300" s="29">
        <v>0</v>
      </c>
      <c r="L1300" s="29">
        <v>0</v>
      </c>
      <c r="M1300" s="29">
        <v>0</v>
      </c>
      <c r="N1300" s="29">
        <v>0</v>
      </c>
      <c r="O1300" s="29">
        <v>0</v>
      </c>
    </row>
    <row r="1301" spans="1:15" x14ac:dyDescent="0.3">
      <c r="A1301" s="28" t="s">
        <v>575</v>
      </c>
      <c r="B1301" s="28" t="s">
        <v>576</v>
      </c>
      <c r="C1301" s="28" t="s">
        <v>561</v>
      </c>
      <c r="D1301" s="28" t="s">
        <v>577</v>
      </c>
      <c r="E1301" s="28" t="s">
        <v>580</v>
      </c>
      <c r="F1301" s="28" t="s">
        <v>604</v>
      </c>
      <c r="G1301" s="29">
        <v>4061</v>
      </c>
      <c r="H1301" s="29">
        <v>6</v>
      </c>
      <c r="I1301" s="29">
        <v>2</v>
      </c>
      <c r="J1301" s="29">
        <v>2</v>
      </c>
      <c r="K1301" s="29">
        <v>0</v>
      </c>
      <c r="L1301" s="29">
        <v>0</v>
      </c>
      <c r="M1301" s="29">
        <v>0</v>
      </c>
      <c r="N1301" s="29">
        <v>0</v>
      </c>
      <c r="O1301" s="29">
        <v>0</v>
      </c>
    </row>
    <row r="1302" spans="1:15" x14ac:dyDescent="0.3">
      <c r="A1302" s="28" t="s">
        <v>575</v>
      </c>
      <c r="B1302" s="28" t="s">
        <v>576</v>
      </c>
      <c r="C1302" s="28" t="s">
        <v>561</v>
      </c>
      <c r="D1302" s="28" t="s">
        <v>577</v>
      </c>
      <c r="E1302" s="28" t="s">
        <v>580</v>
      </c>
      <c r="F1302" s="28" t="s">
        <v>581</v>
      </c>
      <c r="G1302" s="29">
        <v>5551</v>
      </c>
      <c r="H1302" s="29">
        <v>7</v>
      </c>
      <c r="I1302" s="29">
        <v>0</v>
      </c>
      <c r="J1302" s="29">
        <v>0</v>
      </c>
      <c r="K1302" s="29">
        <v>0</v>
      </c>
      <c r="L1302" s="29">
        <v>0</v>
      </c>
      <c r="M1302" s="29">
        <v>0</v>
      </c>
      <c r="N1302" s="29">
        <v>0</v>
      </c>
      <c r="O1302" s="29">
        <v>0</v>
      </c>
    </row>
    <row r="1303" spans="1:15" x14ac:dyDescent="0.3">
      <c r="A1303" s="28" t="s">
        <v>575</v>
      </c>
      <c r="B1303" s="28" t="s">
        <v>576</v>
      </c>
      <c r="C1303" s="28" t="s">
        <v>561</v>
      </c>
      <c r="D1303" s="28" t="s">
        <v>577</v>
      </c>
      <c r="E1303" s="28" t="s">
        <v>580</v>
      </c>
      <c r="F1303" s="28" t="s">
        <v>582</v>
      </c>
      <c r="G1303" s="29">
        <v>13066</v>
      </c>
      <c r="H1303" s="29">
        <v>28</v>
      </c>
      <c r="I1303" s="29">
        <v>13</v>
      </c>
      <c r="J1303" s="29">
        <v>11</v>
      </c>
      <c r="K1303" s="29">
        <v>2</v>
      </c>
      <c r="L1303" s="29">
        <v>500</v>
      </c>
      <c r="M1303" s="29">
        <v>0</v>
      </c>
      <c r="N1303" s="29">
        <v>500</v>
      </c>
      <c r="O1303" s="29">
        <v>0</v>
      </c>
    </row>
    <row r="1304" spans="1:15" x14ac:dyDescent="0.3">
      <c r="A1304" s="28" t="s">
        <v>575</v>
      </c>
      <c r="B1304" s="28" t="s">
        <v>576</v>
      </c>
      <c r="C1304" s="28" t="s">
        <v>561</v>
      </c>
      <c r="D1304" s="28" t="s">
        <v>577</v>
      </c>
      <c r="E1304" s="28" t="s">
        <v>580</v>
      </c>
      <c r="F1304" s="28" t="s">
        <v>583</v>
      </c>
      <c r="G1304" s="29">
        <v>19002</v>
      </c>
      <c r="H1304" s="29">
        <v>40</v>
      </c>
      <c r="I1304" s="29">
        <v>25</v>
      </c>
      <c r="J1304" s="29">
        <v>15</v>
      </c>
      <c r="K1304" s="29">
        <v>10</v>
      </c>
      <c r="L1304" s="29">
        <v>1600</v>
      </c>
      <c r="M1304" s="29">
        <v>600</v>
      </c>
      <c r="N1304" s="29">
        <v>1000</v>
      </c>
      <c r="O1304" s="29">
        <v>0</v>
      </c>
    </row>
    <row r="1305" spans="1:15" x14ac:dyDescent="0.3">
      <c r="A1305" s="28" t="s">
        <v>575</v>
      </c>
      <c r="B1305" s="28" t="s">
        <v>576</v>
      </c>
      <c r="C1305" s="28" t="s">
        <v>561</v>
      </c>
      <c r="D1305" s="28" t="s">
        <v>577</v>
      </c>
      <c r="E1305" s="28" t="s">
        <v>580</v>
      </c>
      <c r="F1305" s="28" t="s">
        <v>584</v>
      </c>
      <c r="G1305" s="29">
        <v>19406</v>
      </c>
      <c r="H1305" s="29">
        <v>33</v>
      </c>
      <c r="I1305" s="29">
        <v>16</v>
      </c>
      <c r="J1305" s="29">
        <v>16</v>
      </c>
      <c r="K1305" s="29">
        <v>0</v>
      </c>
      <c r="L1305" s="29">
        <v>0</v>
      </c>
      <c r="M1305" s="29">
        <v>0</v>
      </c>
      <c r="N1305" s="29">
        <v>0</v>
      </c>
      <c r="O1305" s="29">
        <v>0</v>
      </c>
    </row>
    <row r="1306" spans="1:15" x14ac:dyDescent="0.3">
      <c r="A1306" s="28" t="s">
        <v>575</v>
      </c>
      <c r="B1306" s="28" t="s">
        <v>576</v>
      </c>
      <c r="C1306" s="28" t="s">
        <v>561</v>
      </c>
      <c r="D1306" s="28" t="s">
        <v>577</v>
      </c>
      <c r="E1306" s="28" t="s">
        <v>580</v>
      </c>
      <c r="F1306" s="28" t="s">
        <v>585</v>
      </c>
      <c r="G1306" s="29">
        <v>18566</v>
      </c>
      <c r="H1306" s="29">
        <v>43</v>
      </c>
      <c r="I1306" s="29">
        <v>11</v>
      </c>
      <c r="J1306" s="29">
        <v>10</v>
      </c>
      <c r="K1306" s="29">
        <v>1</v>
      </c>
      <c r="L1306" s="29">
        <v>1000</v>
      </c>
      <c r="M1306" s="29">
        <v>1000</v>
      </c>
      <c r="N1306" s="29">
        <v>0</v>
      </c>
      <c r="O1306" s="29">
        <v>0</v>
      </c>
    </row>
    <row r="1307" spans="1:15" x14ac:dyDescent="0.3">
      <c r="A1307" s="28" t="s">
        <v>575</v>
      </c>
      <c r="B1307" s="28" t="s">
        <v>576</v>
      </c>
      <c r="C1307" s="28" t="s">
        <v>561</v>
      </c>
      <c r="D1307" s="28" t="s">
        <v>577</v>
      </c>
      <c r="E1307" s="28" t="s">
        <v>580</v>
      </c>
      <c r="F1307" s="28" t="s">
        <v>586</v>
      </c>
      <c r="G1307" s="29">
        <v>19355</v>
      </c>
      <c r="H1307" s="29">
        <v>32</v>
      </c>
      <c r="I1307" s="29">
        <v>14</v>
      </c>
      <c r="J1307" s="29">
        <v>12</v>
      </c>
      <c r="K1307" s="29">
        <v>2</v>
      </c>
      <c r="L1307" s="29">
        <v>140</v>
      </c>
      <c r="M1307" s="29">
        <v>140</v>
      </c>
      <c r="N1307" s="29">
        <v>0</v>
      </c>
      <c r="O1307" s="29">
        <v>0</v>
      </c>
    </row>
    <row r="1308" spans="1:15" x14ac:dyDescent="0.3">
      <c r="A1308" s="28" t="s">
        <v>575</v>
      </c>
      <c r="B1308" s="28" t="s">
        <v>576</v>
      </c>
      <c r="C1308" s="28" t="s">
        <v>561</v>
      </c>
      <c r="D1308" s="28" t="s">
        <v>577</v>
      </c>
      <c r="E1308" s="28" t="s">
        <v>580</v>
      </c>
      <c r="F1308" s="28" t="s">
        <v>587</v>
      </c>
      <c r="G1308" s="29">
        <v>17978</v>
      </c>
      <c r="H1308" s="29">
        <v>27</v>
      </c>
      <c r="I1308" s="29">
        <v>10</v>
      </c>
      <c r="J1308" s="29">
        <v>8</v>
      </c>
      <c r="K1308" s="29">
        <v>2</v>
      </c>
      <c r="L1308" s="29">
        <v>0</v>
      </c>
      <c r="M1308" s="29">
        <v>0</v>
      </c>
      <c r="N1308" s="29">
        <v>0</v>
      </c>
      <c r="O1308" s="29">
        <v>0</v>
      </c>
    </row>
    <row r="1309" spans="1:15" x14ac:dyDescent="0.3">
      <c r="A1309" s="28" t="s">
        <v>575</v>
      </c>
      <c r="B1309" s="28" t="s">
        <v>576</v>
      </c>
      <c r="C1309" s="28" t="s">
        <v>561</v>
      </c>
      <c r="D1309" s="28" t="s">
        <v>577</v>
      </c>
      <c r="E1309" s="28" t="s">
        <v>580</v>
      </c>
      <c r="F1309" s="28" t="s">
        <v>579</v>
      </c>
      <c r="G1309" s="29">
        <v>18059</v>
      </c>
      <c r="H1309" s="29">
        <v>31</v>
      </c>
      <c r="I1309" s="29">
        <v>12</v>
      </c>
      <c r="J1309" s="29">
        <v>12</v>
      </c>
      <c r="K1309" s="29">
        <v>0</v>
      </c>
      <c r="L1309" s="29">
        <v>0</v>
      </c>
      <c r="M1309" s="29">
        <v>0</v>
      </c>
      <c r="N1309" s="29">
        <v>0</v>
      </c>
      <c r="O1309" s="29">
        <v>0</v>
      </c>
    </row>
    <row r="1310" spans="1:15" x14ac:dyDescent="0.3">
      <c r="A1310" s="28" t="s">
        <v>575</v>
      </c>
      <c r="B1310" s="28" t="s">
        <v>576</v>
      </c>
      <c r="C1310" s="28" t="s">
        <v>561</v>
      </c>
      <c r="D1310" s="28" t="s">
        <v>577</v>
      </c>
      <c r="E1310" s="28" t="s">
        <v>580</v>
      </c>
      <c r="F1310" s="28" t="s">
        <v>588</v>
      </c>
      <c r="G1310" s="29">
        <v>15110</v>
      </c>
      <c r="H1310" s="29">
        <v>27</v>
      </c>
      <c r="I1310" s="29">
        <v>21</v>
      </c>
      <c r="J1310" s="29">
        <v>20</v>
      </c>
      <c r="K1310" s="29">
        <v>1</v>
      </c>
      <c r="L1310" s="29">
        <v>1000</v>
      </c>
      <c r="M1310" s="29">
        <v>1000</v>
      </c>
      <c r="N1310" s="29">
        <v>0</v>
      </c>
      <c r="O1310" s="29">
        <v>0</v>
      </c>
    </row>
    <row r="1311" spans="1:15" x14ac:dyDescent="0.3">
      <c r="A1311" s="28" t="s">
        <v>575</v>
      </c>
      <c r="B1311" s="28" t="s">
        <v>576</v>
      </c>
      <c r="C1311" s="28" t="s">
        <v>561</v>
      </c>
      <c r="D1311" s="28" t="s">
        <v>577</v>
      </c>
      <c r="E1311" s="28" t="s">
        <v>580</v>
      </c>
      <c r="F1311" s="28" t="s">
        <v>589</v>
      </c>
      <c r="G1311" s="29">
        <v>10140</v>
      </c>
      <c r="H1311" s="29">
        <v>27</v>
      </c>
      <c r="I1311" s="29">
        <v>8</v>
      </c>
      <c r="J1311" s="29">
        <v>8</v>
      </c>
      <c r="K1311" s="29">
        <v>0</v>
      </c>
      <c r="L1311" s="29">
        <v>0</v>
      </c>
      <c r="M1311" s="29">
        <v>0</v>
      </c>
      <c r="N1311" s="29">
        <v>0</v>
      </c>
      <c r="O1311" s="29">
        <v>0</v>
      </c>
    </row>
    <row r="1312" spans="1:15" x14ac:dyDescent="0.3">
      <c r="A1312" s="28" t="s">
        <v>575</v>
      </c>
      <c r="B1312" s="28" t="s">
        <v>576</v>
      </c>
      <c r="C1312" s="28" t="s">
        <v>561</v>
      </c>
      <c r="D1312" s="28" t="s">
        <v>577</v>
      </c>
      <c r="E1312" s="28" t="s">
        <v>580</v>
      </c>
      <c r="F1312" s="28" t="s">
        <v>590</v>
      </c>
      <c r="G1312" s="29">
        <v>9001</v>
      </c>
      <c r="H1312" s="29">
        <v>13</v>
      </c>
      <c r="I1312" s="29">
        <v>6</v>
      </c>
      <c r="J1312" s="29">
        <v>6</v>
      </c>
      <c r="K1312" s="29">
        <v>0</v>
      </c>
      <c r="L1312" s="29">
        <v>0</v>
      </c>
      <c r="M1312" s="29">
        <v>0</v>
      </c>
      <c r="N1312" s="29">
        <v>0</v>
      </c>
      <c r="O1312" s="29">
        <v>0</v>
      </c>
    </row>
    <row r="1313" spans="1:15" x14ac:dyDescent="0.3">
      <c r="A1313" s="28" t="s">
        <v>575</v>
      </c>
      <c r="B1313" s="28" t="s">
        <v>576</v>
      </c>
      <c r="C1313" s="28" t="s">
        <v>561</v>
      </c>
      <c r="D1313" s="28" t="s">
        <v>577</v>
      </c>
      <c r="E1313" s="28" t="s">
        <v>580</v>
      </c>
      <c r="F1313" s="28" t="s">
        <v>591</v>
      </c>
      <c r="G1313" s="29">
        <v>8643</v>
      </c>
      <c r="H1313" s="29">
        <v>27</v>
      </c>
      <c r="I1313" s="29">
        <v>4</v>
      </c>
      <c r="J1313" s="29">
        <v>4</v>
      </c>
      <c r="K1313" s="29">
        <v>0</v>
      </c>
      <c r="L1313" s="29">
        <v>0</v>
      </c>
      <c r="M1313" s="29">
        <v>0</v>
      </c>
      <c r="N1313" s="29">
        <v>0</v>
      </c>
      <c r="O1313" s="29">
        <v>0</v>
      </c>
    </row>
    <row r="1314" spans="1:15" x14ac:dyDescent="0.3">
      <c r="A1314" s="28" t="s">
        <v>575</v>
      </c>
      <c r="B1314" s="28" t="s">
        <v>576</v>
      </c>
      <c r="C1314" s="28" t="s">
        <v>561</v>
      </c>
      <c r="D1314" s="28" t="s">
        <v>577</v>
      </c>
      <c r="E1314" s="28" t="s">
        <v>580</v>
      </c>
      <c r="F1314" s="28" t="s">
        <v>592</v>
      </c>
      <c r="G1314" s="29">
        <v>7938</v>
      </c>
      <c r="H1314" s="29">
        <v>19</v>
      </c>
      <c r="I1314" s="29">
        <v>3</v>
      </c>
      <c r="J1314" s="29">
        <v>3</v>
      </c>
      <c r="K1314" s="29">
        <v>0</v>
      </c>
      <c r="L1314" s="29">
        <v>0</v>
      </c>
      <c r="M1314" s="29">
        <v>0</v>
      </c>
      <c r="N1314" s="29">
        <v>0</v>
      </c>
      <c r="O1314" s="29">
        <v>0</v>
      </c>
    </row>
    <row r="1315" spans="1:15" x14ac:dyDescent="0.3">
      <c r="A1315" s="28" t="s">
        <v>575</v>
      </c>
      <c r="B1315" s="28" t="s">
        <v>576</v>
      </c>
      <c r="C1315" s="28" t="s">
        <v>561</v>
      </c>
      <c r="D1315" s="28" t="s">
        <v>577</v>
      </c>
      <c r="E1315" s="28" t="s">
        <v>580</v>
      </c>
      <c r="F1315" s="28" t="s">
        <v>593</v>
      </c>
      <c r="G1315" s="29">
        <v>8078</v>
      </c>
      <c r="H1315" s="29">
        <v>32</v>
      </c>
      <c r="I1315" s="29">
        <v>13</v>
      </c>
      <c r="J1315" s="29">
        <v>13</v>
      </c>
      <c r="K1315" s="29">
        <v>0</v>
      </c>
      <c r="L1315" s="29">
        <v>500</v>
      </c>
      <c r="M1315" s="29">
        <v>500</v>
      </c>
      <c r="N1315" s="29">
        <v>0</v>
      </c>
      <c r="O1315" s="29">
        <v>0</v>
      </c>
    </row>
    <row r="1316" spans="1:15" x14ac:dyDescent="0.3">
      <c r="A1316" s="28" t="s">
        <v>575</v>
      </c>
      <c r="B1316" s="28" t="s">
        <v>576</v>
      </c>
      <c r="C1316" s="28" t="s">
        <v>561</v>
      </c>
      <c r="D1316" s="28" t="s">
        <v>577</v>
      </c>
      <c r="E1316" s="28" t="s">
        <v>580</v>
      </c>
      <c r="F1316" s="28" t="s">
        <v>594</v>
      </c>
      <c r="G1316" s="29">
        <v>542</v>
      </c>
      <c r="H1316" s="29">
        <v>2</v>
      </c>
      <c r="I1316" s="29">
        <v>2</v>
      </c>
      <c r="J1316" s="29">
        <v>0</v>
      </c>
      <c r="K1316" s="29">
        <v>2</v>
      </c>
      <c r="L1316" s="29">
        <v>0</v>
      </c>
      <c r="M1316" s="29">
        <v>0</v>
      </c>
      <c r="N1316" s="29">
        <v>0</v>
      </c>
      <c r="O1316" s="29">
        <v>0</v>
      </c>
    </row>
    <row r="1317" spans="1:15" x14ac:dyDescent="0.3">
      <c r="A1317" s="28" t="s">
        <v>575</v>
      </c>
      <c r="B1317" s="28" t="s">
        <v>576</v>
      </c>
      <c r="C1317" s="28" t="s">
        <v>561</v>
      </c>
      <c r="D1317" s="28" t="s">
        <v>577</v>
      </c>
      <c r="E1317" s="28" t="s">
        <v>596</v>
      </c>
      <c r="F1317" s="28" t="s">
        <v>603</v>
      </c>
      <c r="G1317" s="29">
        <v>0</v>
      </c>
      <c r="H1317" s="29">
        <v>0</v>
      </c>
      <c r="I1317" s="29">
        <v>1</v>
      </c>
      <c r="J1317" s="29">
        <v>0</v>
      </c>
      <c r="K1317" s="29">
        <v>1</v>
      </c>
      <c r="L1317" s="29">
        <v>0</v>
      </c>
      <c r="M1317" s="29">
        <v>0</v>
      </c>
      <c r="N1317" s="29">
        <v>0</v>
      </c>
      <c r="O1317" s="29">
        <v>0</v>
      </c>
    </row>
    <row r="1318" spans="1:15" x14ac:dyDescent="0.3">
      <c r="A1318" s="28" t="s">
        <v>575</v>
      </c>
      <c r="B1318" s="28" t="s">
        <v>576</v>
      </c>
      <c r="C1318" s="28" t="s">
        <v>561</v>
      </c>
      <c r="D1318" s="28" t="s">
        <v>577</v>
      </c>
      <c r="E1318" s="28" t="s">
        <v>596</v>
      </c>
      <c r="F1318" s="28" t="s">
        <v>604</v>
      </c>
      <c r="G1318" s="29">
        <v>0</v>
      </c>
      <c r="H1318" s="29">
        <v>0</v>
      </c>
      <c r="I1318" s="29">
        <v>4</v>
      </c>
      <c r="J1318" s="29">
        <v>3</v>
      </c>
      <c r="K1318" s="29">
        <v>1</v>
      </c>
      <c r="L1318" s="29">
        <v>100</v>
      </c>
      <c r="M1318" s="29">
        <v>100</v>
      </c>
      <c r="N1318" s="29">
        <v>0</v>
      </c>
      <c r="O1318" s="29">
        <v>0</v>
      </c>
    </row>
    <row r="1319" spans="1:15" x14ac:dyDescent="0.3">
      <c r="A1319" s="28" t="s">
        <v>575</v>
      </c>
      <c r="B1319" s="28" t="s">
        <v>576</v>
      </c>
      <c r="C1319" s="28" t="s">
        <v>561</v>
      </c>
      <c r="D1319" s="28" t="s">
        <v>577</v>
      </c>
      <c r="E1319" s="28" t="s">
        <v>596</v>
      </c>
      <c r="F1319" s="28" t="s">
        <v>582</v>
      </c>
      <c r="G1319" s="29">
        <v>0</v>
      </c>
      <c r="H1319" s="29">
        <v>0</v>
      </c>
      <c r="I1319" s="29">
        <v>3</v>
      </c>
      <c r="J1319" s="29">
        <v>3</v>
      </c>
      <c r="K1319" s="29">
        <v>0</v>
      </c>
      <c r="L1319" s="29">
        <v>100</v>
      </c>
      <c r="M1319" s="29">
        <v>100</v>
      </c>
      <c r="N1319" s="29">
        <v>0</v>
      </c>
      <c r="O1319" s="29">
        <v>0</v>
      </c>
    </row>
    <row r="1320" spans="1:15" x14ac:dyDescent="0.3">
      <c r="A1320" s="28" t="s">
        <v>575</v>
      </c>
      <c r="B1320" s="28" t="s">
        <v>576</v>
      </c>
      <c r="C1320" s="28" t="s">
        <v>561</v>
      </c>
      <c r="D1320" s="28" t="s">
        <v>577</v>
      </c>
      <c r="E1320" s="28" t="s">
        <v>596</v>
      </c>
      <c r="F1320" s="28" t="s">
        <v>583</v>
      </c>
      <c r="G1320" s="29">
        <v>0</v>
      </c>
      <c r="H1320" s="29">
        <v>0</v>
      </c>
      <c r="I1320" s="29">
        <v>2</v>
      </c>
      <c r="J1320" s="29">
        <v>0</v>
      </c>
      <c r="K1320" s="29">
        <v>2</v>
      </c>
      <c r="L1320" s="29">
        <v>0</v>
      </c>
      <c r="M1320" s="29">
        <v>0</v>
      </c>
      <c r="N1320" s="29">
        <v>0</v>
      </c>
      <c r="O1320" s="29">
        <v>0</v>
      </c>
    </row>
    <row r="1321" spans="1:15" x14ac:dyDescent="0.3">
      <c r="A1321" s="28" t="s">
        <v>575</v>
      </c>
      <c r="B1321" s="28" t="s">
        <v>576</v>
      </c>
      <c r="C1321" s="28" t="s">
        <v>561</v>
      </c>
      <c r="D1321" s="28" t="s">
        <v>577</v>
      </c>
      <c r="E1321" s="28" t="s">
        <v>596</v>
      </c>
      <c r="F1321" s="28" t="s">
        <v>584</v>
      </c>
      <c r="G1321" s="29">
        <v>0</v>
      </c>
      <c r="H1321" s="29">
        <v>0</v>
      </c>
      <c r="I1321" s="29">
        <v>2</v>
      </c>
      <c r="J1321" s="29">
        <v>1</v>
      </c>
      <c r="K1321" s="29">
        <v>1</v>
      </c>
      <c r="L1321" s="29">
        <v>0</v>
      </c>
      <c r="M1321" s="29">
        <v>0</v>
      </c>
      <c r="N1321" s="29">
        <v>0</v>
      </c>
      <c r="O1321" s="29">
        <v>0</v>
      </c>
    </row>
    <row r="1322" spans="1:15" x14ac:dyDescent="0.3">
      <c r="A1322" s="28" t="s">
        <v>575</v>
      </c>
      <c r="B1322" s="28" t="s">
        <v>576</v>
      </c>
      <c r="C1322" s="28" t="s">
        <v>561</v>
      </c>
      <c r="D1322" s="28" t="s">
        <v>577</v>
      </c>
      <c r="E1322" s="28" t="s">
        <v>596</v>
      </c>
      <c r="F1322" s="28" t="s">
        <v>585</v>
      </c>
      <c r="G1322" s="29">
        <v>0</v>
      </c>
      <c r="H1322" s="29">
        <v>0</v>
      </c>
      <c r="I1322" s="29">
        <v>1</v>
      </c>
      <c r="J1322" s="29">
        <v>1</v>
      </c>
      <c r="K1322" s="29">
        <v>0</v>
      </c>
      <c r="L1322" s="29">
        <v>0</v>
      </c>
      <c r="M1322" s="29">
        <v>0</v>
      </c>
      <c r="N1322" s="29">
        <v>0</v>
      </c>
      <c r="O1322" s="29">
        <v>0</v>
      </c>
    </row>
    <row r="1323" spans="1:15" x14ac:dyDescent="0.3">
      <c r="A1323" s="28" t="s">
        <v>575</v>
      </c>
      <c r="B1323" s="28" t="s">
        <v>576</v>
      </c>
      <c r="C1323" s="28" t="s">
        <v>561</v>
      </c>
      <c r="D1323" s="28" t="s">
        <v>577</v>
      </c>
      <c r="E1323" s="28" t="s">
        <v>596</v>
      </c>
      <c r="F1323" s="28" t="s">
        <v>586</v>
      </c>
      <c r="G1323" s="29">
        <v>14</v>
      </c>
      <c r="H1323" s="29">
        <v>0</v>
      </c>
      <c r="I1323" s="29">
        <v>0</v>
      </c>
      <c r="J1323" s="29">
        <v>0</v>
      </c>
      <c r="K1323" s="29">
        <v>0</v>
      </c>
      <c r="L1323" s="29">
        <v>0</v>
      </c>
      <c r="M1323" s="29">
        <v>0</v>
      </c>
      <c r="N1323" s="29">
        <v>0</v>
      </c>
      <c r="O1323" s="29">
        <v>0</v>
      </c>
    </row>
    <row r="1324" spans="1:15" x14ac:dyDescent="0.3">
      <c r="A1324" s="28" t="s">
        <v>575</v>
      </c>
      <c r="B1324" s="28" t="s">
        <v>576</v>
      </c>
      <c r="C1324" s="28" t="s">
        <v>561</v>
      </c>
      <c r="D1324" s="28" t="s">
        <v>577</v>
      </c>
      <c r="E1324" s="28" t="s">
        <v>596</v>
      </c>
      <c r="F1324" s="28" t="s">
        <v>587</v>
      </c>
      <c r="G1324" s="29">
        <v>121</v>
      </c>
      <c r="H1324" s="29">
        <v>0</v>
      </c>
      <c r="I1324" s="29">
        <v>5</v>
      </c>
      <c r="J1324" s="29">
        <v>0</v>
      </c>
      <c r="K1324" s="29">
        <v>5</v>
      </c>
      <c r="L1324" s="29">
        <v>500</v>
      </c>
      <c r="M1324" s="29">
        <v>0</v>
      </c>
      <c r="N1324" s="29">
        <v>500</v>
      </c>
      <c r="O1324" s="29">
        <v>0</v>
      </c>
    </row>
    <row r="1325" spans="1:15" x14ac:dyDescent="0.3">
      <c r="A1325" s="28" t="s">
        <v>575</v>
      </c>
      <c r="B1325" s="28" t="s">
        <v>576</v>
      </c>
      <c r="C1325" s="28" t="s">
        <v>561</v>
      </c>
      <c r="D1325" s="28" t="s">
        <v>577</v>
      </c>
      <c r="E1325" s="28" t="s">
        <v>596</v>
      </c>
      <c r="F1325" s="28" t="s">
        <v>579</v>
      </c>
      <c r="G1325" s="29">
        <v>267</v>
      </c>
      <c r="H1325" s="29">
        <v>0</v>
      </c>
      <c r="I1325" s="29">
        <v>3</v>
      </c>
      <c r="J1325" s="29">
        <v>0</v>
      </c>
      <c r="K1325" s="29">
        <v>3</v>
      </c>
      <c r="L1325" s="29">
        <v>0</v>
      </c>
      <c r="M1325" s="29">
        <v>0</v>
      </c>
      <c r="N1325" s="29">
        <v>0</v>
      </c>
      <c r="O1325" s="29">
        <v>0</v>
      </c>
    </row>
    <row r="1326" spans="1:15" x14ac:dyDescent="0.3">
      <c r="A1326" s="28" t="s">
        <v>575</v>
      </c>
      <c r="B1326" s="28" t="s">
        <v>576</v>
      </c>
      <c r="C1326" s="28" t="s">
        <v>561</v>
      </c>
      <c r="D1326" s="28" t="s">
        <v>577</v>
      </c>
      <c r="E1326" s="28" t="s">
        <v>596</v>
      </c>
      <c r="F1326" s="28" t="s">
        <v>588</v>
      </c>
      <c r="G1326" s="29">
        <v>271</v>
      </c>
      <c r="H1326" s="29">
        <v>0</v>
      </c>
      <c r="I1326" s="29">
        <v>1</v>
      </c>
      <c r="J1326" s="29">
        <v>0</v>
      </c>
      <c r="K1326" s="29">
        <v>1</v>
      </c>
      <c r="L1326" s="29">
        <v>0</v>
      </c>
      <c r="M1326" s="29">
        <v>0</v>
      </c>
      <c r="N1326" s="29">
        <v>0</v>
      </c>
      <c r="O1326" s="29">
        <v>0</v>
      </c>
    </row>
    <row r="1327" spans="1:15" x14ac:dyDescent="0.3">
      <c r="A1327" s="28" t="s">
        <v>575</v>
      </c>
      <c r="B1327" s="28" t="s">
        <v>576</v>
      </c>
      <c r="C1327" s="28" t="s">
        <v>561</v>
      </c>
      <c r="D1327" s="28" t="s">
        <v>577</v>
      </c>
      <c r="E1327" s="28" t="s">
        <v>596</v>
      </c>
      <c r="F1327" s="28" t="s">
        <v>589</v>
      </c>
      <c r="G1327" s="29">
        <v>113</v>
      </c>
      <c r="H1327" s="29">
        <v>0</v>
      </c>
      <c r="I1327" s="29">
        <v>0</v>
      </c>
      <c r="J1327" s="29">
        <v>0</v>
      </c>
      <c r="K1327" s="29">
        <v>0</v>
      </c>
      <c r="L1327" s="29">
        <v>0</v>
      </c>
      <c r="M1327" s="29">
        <v>0</v>
      </c>
      <c r="N1327" s="29">
        <v>0</v>
      </c>
      <c r="O1327" s="29">
        <v>0</v>
      </c>
    </row>
    <row r="1328" spans="1:15" x14ac:dyDescent="0.3">
      <c r="A1328" s="28" t="s">
        <v>575</v>
      </c>
      <c r="B1328" s="28" t="s">
        <v>576</v>
      </c>
      <c r="C1328" s="28" t="s">
        <v>561</v>
      </c>
      <c r="D1328" s="28" t="s">
        <v>577</v>
      </c>
      <c r="E1328" s="28" t="s">
        <v>596</v>
      </c>
      <c r="F1328" s="28" t="s">
        <v>590</v>
      </c>
      <c r="G1328" s="29">
        <v>84</v>
      </c>
      <c r="H1328" s="29">
        <v>4</v>
      </c>
      <c r="I1328" s="29">
        <v>1</v>
      </c>
      <c r="J1328" s="29">
        <v>1</v>
      </c>
      <c r="K1328" s="29">
        <v>0</v>
      </c>
      <c r="L1328" s="29">
        <v>0</v>
      </c>
      <c r="M1328" s="29">
        <v>0</v>
      </c>
      <c r="N1328" s="29">
        <v>0</v>
      </c>
      <c r="O1328" s="29">
        <v>0</v>
      </c>
    </row>
    <row r="1329" spans="1:15" x14ac:dyDescent="0.3">
      <c r="A1329" s="28" t="s">
        <v>575</v>
      </c>
      <c r="B1329" s="28" t="s">
        <v>576</v>
      </c>
      <c r="C1329" s="28" t="s">
        <v>561</v>
      </c>
      <c r="D1329" s="28" t="s">
        <v>577</v>
      </c>
      <c r="E1329" s="28" t="s">
        <v>596</v>
      </c>
      <c r="F1329" s="28" t="s">
        <v>591</v>
      </c>
      <c r="G1329" s="29">
        <v>114</v>
      </c>
      <c r="H1329" s="29">
        <v>1</v>
      </c>
      <c r="I1329" s="29">
        <v>2</v>
      </c>
      <c r="J1329" s="29">
        <v>1</v>
      </c>
      <c r="K1329" s="29">
        <v>1</v>
      </c>
      <c r="L1329" s="29">
        <v>500</v>
      </c>
      <c r="M1329" s="29">
        <v>500</v>
      </c>
      <c r="N1329" s="29">
        <v>0</v>
      </c>
      <c r="O1329" s="29">
        <v>0</v>
      </c>
    </row>
    <row r="1330" spans="1:15" x14ac:dyDescent="0.3">
      <c r="A1330" s="28" t="s">
        <v>575</v>
      </c>
      <c r="B1330" s="28" t="s">
        <v>576</v>
      </c>
      <c r="C1330" s="28" t="s">
        <v>561</v>
      </c>
      <c r="D1330" s="28" t="s">
        <v>577</v>
      </c>
      <c r="E1330" s="28" t="s">
        <v>596</v>
      </c>
      <c r="F1330" s="28" t="s">
        <v>592</v>
      </c>
      <c r="G1330" s="29">
        <v>75</v>
      </c>
      <c r="H1330" s="29">
        <v>1</v>
      </c>
      <c r="I1330" s="29">
        <v>0</v>
      </c>
      <c r="J1330" s="29">
        <v>0</v>
      </c>
      <c r="K1330" s="29">
        <v>0</v>
      </c>
      <c r="L1330" s="29">
        <v>0</v>
      </c>
      <c r="M1330" s="29">
        <v>0</v>
      </c>
      <c r="N1330" s="29">
        <v>0</v>
      </c>
      <c r="O1330" s="29">
        <v>0</v>
      </c>
    </row>
    <row r="1331" spans="1:15" x14ac:dyDescent="0.3">
      <c r="A1331" s="28" t="s">
        <v>575</v>
      </c>
      <c r="B1331" s="28" t="s">
        <v>576</v>
      </c>
      <c r="C1331" s="28" t="s">
        <v>561</v>
      </c>
      <c r="D1331" s="28" t="s">
        <v>577</v>
      </c>
      <c r="E1331" s="28" t="s">
        <v>596</v>
      </c>
      <c r="F1331" s="28" t="s">
        <v>593</v>
      </c>
      <c r="G1331" s="29">
        <v>69</v>
      </c>
      <c r="H1331" s="29">
        <v>0</v>
      </c>
      <c r="I1331" s="29">
        <v>2</v>
      </c>
      <c r="J1331" s="29">
        <v>0</v>
      </c>
      <c r="K1331" s="29">
        <v>2</v>
      </c>
      <c r="L1331" s="29">
        <v>0</v>
      </c>
      <c r="M1331" s="29">
        <v>0</v>
      </c>
      <c r="N1331" s="29">
        <v>0</v>
      </c>
      <c r="O1331" s="29">
        <v>0</v>
      </c>
    </row>
    <row r="1332" spans="1:15" x14ac:dyDescent="0.3">
      <c r="A1332" s="28" t="s">
        <v>575</v>
      </c>
      <c r="B1332" s="28" t="s">
        <v>576</v>
      </c>
      <c r="C1332" s="28" t="s">
        <v>561</v>
      </c>
      <c r="D1332" s="28" t="s">
        <v>577</v>
      </c>
      <c r="E1332" s="28" t="s">
        <v>596</v>
      </c>
      <c r="F1332" s="28" t="s">
        <v>594</v>
      </c>
      <c r="G1332" s="29">
        <v>264</v>
      </c>
      <c r="H1332" s="29">
        <v>0</v>
      </c>
      <c r="I1332" s="29">
        <v>0</v>
      </c>
      <c r="J1332" s="29">
        <v>0</v>
      </c>
      <c r="K1332" s="29">
        <v>0</v>
      </c>
      <c r="L1332" s="29">
        <v>0</v>
      </c>
      <c r="M1332" s="29">
        <v>0</v>
      </c>
      <c r="N1332" s="29">
        <v>0</v>
      </c>
      <c r="O1332" s="29">
        <v>0</v>
      </c>
    </row>
    <row r="1333" spans="1:15" x14ac:dyDescent="0.3">
      <c r="A1333" s="28" t="s">
        <v>575</v>
      </c>
      <c r="B1333" s="28" t="s">
        <v>576</v>
      </c>
      <c r="C1333" s="28" t="s">
        <v>561</v>
      </c>
      <c r="D1333" s="28" t="s">
        <v>577</v>
      </c>
      <c r="E1333" s="28" t="s">
        <v>596</v>
      </c>
      <c r="F1333" s="28" t="s">
        <v>595</v>
      </c>
      <c r="G1333" s="29">
        <v>172</v>
      </c>
      <c r="H1333" s="29">
        <v>0</v>
      </c>
      <c r="I1333" s="29">
        <v>1</v>
      </c>
      <c r="J1333" s="29">
        <v>0</v>
      </c>
      <c r="K1333" s="29">
        <v>1</v>
      </c>
      <c r="L1333" s="29">
        <v>0</v>
      </c>
      <c r="M1333" s="29">
        <v>0</v>
      </c>
      <c r="N1333" s="29">
        <v>0</v>
      </c>
      <c r="O1333" s="29">
        <v>0</v>
      </c>
    </row>
    <row r="1334" spans="1:15" x14ac:dyDescent="0.3">
      <c r="A1334" s="28" t="s">
        <v>575</v>
      </c>
      <c r="B1334" s="28" t="s">
        <v>576</v>
      </c>
      <c r="C1334" s="28" t="s">
        <v>561</v>
      </c>
      <c r="D1334" s="28" t="s">
        <v>577</v>
      </c>
      <c r="E1334" s="28" t="s">
        <v>605</v>
      </c>
      <c r="F1334" s="28" t="s">
        <v>597</v>
      </c>
      <c r="G1334" s="29">
        <v>53</v>
      </c>
      <c r="H1334" s="29">
        <v>0</v>
      </c>
      <c r="I1334" s="29">
        <v>0</v>
      </c>
      <c r="J1334" s="29">
        <v>0</v>
      </c>
      <c r="K1334" s="29">
        <v>0</v>
      </c>
      <c r="L1334" s="29">
        <v>0</v>
      </c>
      <c r="M1334" s="29">
        <v>0</v>
      </c>
      <c r="N1334" s="29">
        <v>0</v>
      </c>
      <c r="O1334" s="29">
        <v>0</v>
      </c>
    </row>
    <row r="1335" spans="1:15" x14ac:dyDescent="0.3">
      <c r="A1335" s="28" t="s">
        <v>575</v>
      </c>
      <c r="B1335" s="28" t="s">
        <v>576</v>
      </c>
      <c r="C1335" s="28" t="s">
        <v>561</v>
      </c>
      <c r="D1335" s="28" t="s">
        <v>577</v>
      </c>
      <c r="E1335" s="28" t="s">
        <v>605</v>
      </c>
      <c r="F1335" s="28" t="s">
        <v>599</v>
      </c>
      <c r="G1335" s="29">
        <v>4</v>
      </c>
      <c r="H1335" s="29">
        <v>0</v>
      </c>
      <c r="I1335" s="29">
        <v>0</v>
      </c>
      <c r="J1335" s="29">
        <v>0</v>
      </c>
      <c r="K1335" s="29">
        <v>0</v>
      </c>
      <c r="L1335" s="29">
        <v>0</v>
      </c>
      <c r="M1335" s="29">
        <v>0</v>
      </c>
      <c r="N1335" s="29">
        <v>0</v>
      </c>
      <c r="O1335" s="29">
        <v>0</v>
      </c>
    </row>
    <row r="1336" spans="1:15" x14ac:dyDescent="0.3">
      <c r="A1336" s="28" t="s">
        <v>575</v>
      </c>
      <c r="B1336" s="28" t="s">
        <v>576</v>
      </c>
      <c r="C1336" s="28" t="s">
        <v>561</v>
      </c>
      <c r="D1336" s="28" t="s">
        <v>577</v>
      </c>
      <c r="E1336" s="28" t="s">
        <v>605</v>
      </c>
      <c r="F1336" s="28" t="s">
        <v>600</v>
      </c>
      <c r="G1336" s="29">
        <v>14</v>
      </c>
      <c r="H1336" s="29">
        <v>0</v>
      </c>
      <c r="I1336" s="29">
        <v>0</v>
      </c>
      <c r="J1336" s="29">
        <v>0</v>
      </c>
      <c r="K1336" s="29">
        <v>0</v>
      </c>
      <c r="L1336" s="29">
        <v>0</v>
      </c>
      <c r="M1336" s="29">
        <v>0</v>
      </c>
      <c r="N1336" s="29">
        <v>0</v>
      </c>
      <c r="O1336" s="29">
        <v>0</v>
      </c>
    </row>
    <row r="1337" spans="1:15" x14ac:dyDescent="0.3">
      <c r="A1337" s="28" t="s">
        <v>575</v>
      </c>
      <c r="B1337" s="28" t="s">
        <v>576</v>
      </c>
      <c r="C1337" s="28" t="s">
        <v>561</v>
      </c>
      <c r="D1337" s="28" t="s">
        <v>577</v>
      </c>
      <c r="E1337" s="28" t="s">
        <v>605</v>
      </c>
      <c r="F1337" s="28" t="s">
        <v>601</v>
      </c>
      <c r="G1337" s="29">
        <v>89</v>
      </c>
      <c r="H1337" s="29">
        <v>0</v>
      </c>
      <c r="I1337" s="29">
        <v>0</v>
      </c>
      <c r="J1337" s="29">
        <v>0</v>
      </c>
      <c r="K1337" s="29">
        <v>0</v>
      </c>
      <c r="L1337" s="29">
        <v>0</v>
      </c>
      <c r="M1337" s="29">
        <v>0</v>
      </c>
      <c r="N1337" s="29">
        <v>0</v>
      </c>
      <c r="O1337" s="29">
        <v>0</v>
      </c>
    </row>
    <row r="1338" spans="1:15" x14ac:dyDescent="0.3">
      <c r="A1338" s="28" t="s">
        <v>575</v>
      </c>
      <c r="B1338" s="28" t="s">
        <v>576</v>
      </c>
      <c r="C1338" s="28" t="s">
        <v>561</v>
      </c>
      <c r="D1338" s="28" t="s">
        <v>577</v>
      </c>
      <c r="E1338" s="28" t="s">
        <v>605</v>
      </c>
      <c r="F1338" s="28" t="s">
        <v>602</v>
      </c>
      <c r="G1338" s="29">
        <v>199</v>
      </c>
      <c r="H1338" s="29">
        <v>0</v>
      </c>
      <c r="I1338" s="29">
        <v>0</v>
      </c>
      <c r="J1338" s="29">
        <v>0</v>
      </c>
      <c r="K1338" s="29">
        <v>0</v>
      </c>
      <c r="L1338" s="29">
        <v>0</v>
      </c>
      <c r="M1338" s="29">
        <v>0</v>
      </c>
      <c r="N1338" s="29">
        <v>0</v>
      </c>
      <c r="O1338" s="29">
        <v>0</v>
      </c>
    </row>
    <row r="1339" spans="1:15" x14ac:dyDescent="0.3">
      <c r="A1339" s="28" t="s">
        <v>575</v>
      </c>
      <c r="B1339" s="28" t="s">
        <v>576</v>
      </c>
      <c r="C1339" s="28" t="s">
        <v>561</v>
      </c>
      <c r="D1339" s="28" t="s">
        <v>577</v>
      </c>
      <c r="E1339" s="28" t="s">
        <v>605</v>
      </c>
      <c r="F1339" s="28" t="s">
        <v>603</v>
      </c>
      <c r="G1339" s="29">
        <v>83</v>
      </c>
      <c r="H1339" s="29">
        <v>0</v>
      </c>
      <c r="I1339" s="29">
        <v>5</v>
      </c>
      <c r="J1339" s="29">
        <v>0</v>
      </c>
      <c r="K1339" s="29">
        <v>5</v>
      </c>
      <c r="L1339" s="29">
        <v>0</v>
      </c>
      <c r="M1339" s="29">
        <v>0</v>
      </c>
      <c r="N1339" s="29">
        <v>0</v>
      </c>
      <c r="O1339" s="29">
        <v>0</v>
      </c>
    </row>
    <row r="1340" spans="1:15" x14ac:dyDescent="0.3">
      <c r="A1340" s="28" t="s">
        <v>575</v>
      </c>
      <c r="B1340" s="28" t="s">
        <v>576</v>
      </c>
      <c r="C1340" s="28" t="s">
        <v>561</v>
      </c>
      <c r="D1340" s="28" t="s">
        <v>577</v>
      </c>
      <c r="E1340" s="28" t="s">
        <v>605</v>
      </c>
      <c r="F1340" s="28" t="s">
        <v>604</v>
      </c>
      <c r="G1340" s="29">
        <v>230</v>
      </c>
      <c r="H1340" s="29">
        <v>0</v>
      </c>
      <c r="I1340" s="29">
        <v>0</v>
      </c>
      <c r="J1340" s="29">
        <v>0</v>
      </c>
      <c r="K1340" s="29">
        <v>0</v>
      </c>
      <c r="L1340" s="29">
        <v>0</v>
      </c>
      <c r="M1340" s="29">
        <v>0</v>
      </c>
      <c r="N1340" s="29">
        <v>0</v>
      </c>
      <c r="O1340" s="29">
        <v>0</v>
      </c>
    </row>
    <row r="1341" spans="1:15" x14ac:dyDescent="0.3">
      <c r="A1341" s="28" t="s">
        <v>575</v>
      </c>
      <c r="B1341" s="28" t="s">
        <v>576</v>
      </c>
      <c r="C1341" s="28" t="s">
        <v>561</v>
      </c>
      <c r="D1341" s="28" t="s">
        <v>577</v>
      </c>
      <c r="E1341" s="28" t="s">
        <v>605</v>
      </c>
      <c r="F1341" s="28" t="s">
        <v>581</v>
      </c>
      <c r="G1341" s="29">
        <v>274</v>
      </c>
      <c r="H1341" s="29">
        <v>1</v>
      </c>
      <c r="I1341" s="29">
        <v>1</v>
      </c>
      <c r="J1341" s="29">
        <v>0</v>
      </c>
      <c r="K1341" s="29">
        <v>1</v>
      </c>
      <c r="L1341" s="29">
        <v>100</v>
      </c>
      <c r="M1341" s="29">
        <v>0</v>
      </c>
      <c r="N1341" s="29">
        <v>100</v>
      </c>
      <c r="O1341" s="29">
        <v>0</v>
      </c>
    </row>
    <row r="1342" spans="1:15" x14ac:dyDescent="0.3">
      <c r="A1342" s="28" t="s">
        <v>575</v>
      </c>
      <c r="B1342" s="28" t="s">
        <v>576</v>
      </c>
      <c r="C1342" s="28" t="s">
        <v>561</v>
      </c>
      <c r="D1342" s="28" t="s">
        <v>577</v>
      </c>
      <c r="E1342" s="28" t="s">
        <v>605</v>
      </c>
      <c r="F1342" s="28" t="s">
        <v>582</v>
      </c>
      <c r="G1342" s="29">
        <v>25</v>
      </c>
      <c r="H1342" s="29">
        <v>0</v>
      </c>
      <c r="I1342" s="29">
        <v>1</v>
      </c>
      <c r="J1342" s="29">
        <v>1</v>
      </c>
      <c r="K1342" s="29">
        <v>0</v>
      </c>
      <c r="L1342" s="29">
        <v>0</v>
      </c>
      <c r="M1342" s="29">
        <v>0</v>
      </c>
      <c r="N1342" s="29">
        <v>0</v>
      </c>
      <c r="O1342" s="29">
        <v>0</v>
      </c>
    </row>
    <row r="1343" spans="1:15" x14ac:dyDescent="0.3">
      <c r="A1343" s="28" t="s">
        <v>575</v>
      </c>
      <c r="B1343" s="28" t="s">
        <v>576</v>
      </c>
      <c r="C1343" s="28" t="s">
        <v>561</v>
      </c>
      <c r="D1343" s="28" t="s">
        <v>577</v>
      </c>
      <c r="E1343" s="28" t="s">
        <v>605</v>
      </c>
      <c r="F1343" s="28" t="s">
        <v>583</v>
      </c>
      <c r="G1343" s="29">
        <v>70</v>
      </c>
      <c r="H1343" s="29">
        <v>0</v>
      </c>
      <c r="I1343" s="29">
        <v>0</v>
      </c>
      <c r="J1343" s="29">
        <v>0</v>
      </c>
      <c r="K1343" s="29">
        <v>0</v>
      </c>
      <c r="L1343" s="29">
        <v>0</v>
      </c>
      <c r="M1343" s="29">
        <v>0</v>
      </c>
      <c r="N1343" s="29">
        <v>0</v>
      </c>
      <c r="O1343" s="29">
        <v>0</v>
      </c>
    </row>
    <row r="1344" spans="1:15" x14ac:dyDescent="0.3">
      <c r="A1344" s="28" t="s">
        <v>575</v>
      </c>
      <c r="B1344" s="28" t="s">
        <v>576</v>
      </c>
      <c r="C1344" s="28" t="s">
        <v>561</v>
      </c>
      <c r="D1344" s="28" t="s">
        <v>577</v>
      </c>
      <c r="E1344" s="28" t="s">
        <v>605</v>
      </c>
      <c r="F1344" s="28" t="s">
        <v>584</v>
      </c>
      <c r="G1344" s="29">
        <v>370</v>
      </c>
      <c r="H1344" s="29">
        <v>1</v>
      </c>
      <c r="I1344" s="29">
        <v>3</v>
      </c>
      <c r="J1344" s="29">
        <v>1</v>
      </c>
      <c r="K1344" s="29">
        <v>2</v>
      </c>
      <c r="L1344" s="29">
        <v>100</v>
      </c>
      <c r="M1344" s="29">
        <v>0</v>
      </c>
      <c r="N1344" s="29">
        <v>100</v>
      </c>
      <c r="O1344" s="29">
        <v>0</v>
      </c>
    </row>
    <row r="1345" spans="1:15" x14ac:dyDescent="0.3">
      <c r="A1345" s="28" t="s">
        <v>575</v>
      </c>
      <c r="B1345" s="28" t="s">
        <v>576</v>
      </c>
      <c r="C1345" s="28" t="s">
        <v>561</v>
      </c>
      <c r="D1345" s="28" t="s">
        <v>577</v>
      </c>
      <c r="E1345" s="28" t="s">
        <v>605</v>
      </c>
      <c r="F1345" s="28" t="s">
        <v>585</v>
      </c>
      <c r="G1345" s="29">
        <v>580</v>
      </c>
      <c r="H1345" s="29">
        <v>2</v>
      </c>
      <c r="I1345" s="29">
        <v>2</v>
      </c>
      <c r="J1345" s="29">
        <v>1</v>
      </c>
      <c r="K1345" s="29">
        <v>1</v>
      </c>
      <c r="L1345" s="29">
        <v>0</v>
      </c>
      <c r="M1345" s="29">
        <v>0</v>
      </c>
      <c r="N1345" s="29">
        <v>0</v>
      </c>
      <c r="O1345" s="29">
        <v>0</v>
      </c>
    </row>
    <row r="1346" spans="1:15" x14ac:dyDescent="0.3">
      <c r="A1346" s="28" t="s">
        <v>575</v>
      </c>
      <c r="B1346" s="28" t="s">
        <v>576</v>
      </c>
      <c r="C1346" s="28" t="s">
        <v>561</v>
      </c>
      <c r="D1346" s="28" t="s">
        <v>577</v>
      </c>
      <c r="E1346" s="28" t="s">
        <v>605</v>
      </c>
      <c r="F1346" s="28" t="s">
        <v>586</v>
      </c>
      <c r="G1346" s="29">
        <v>644</v>
      </c>
      <c r="H1346" s="29">
        <v>0</v>
      </c>
      <c r="I1346" s="29">
        <v>0</v>
      </c>
      <c r="J1346" s="29">
        <v>0</v>
      </c>
      <c r="K1346" s="29">
        <v>0</v>
      </c>
      <c r="L1346" s="29">
        <v>0</v>
      </c>
      <c r="M1346" s="29">
        <v>0</v>
      </c>
      <c r="N1346" s="29">
        <v>0</v>
      </c>
      <c r="O1346" s="29">
        <v>0</v>
      </c>
    </row>
    <row r="1347" spans="1:15" x14ac:dyDescent="0.3">
      <c r="A1347" s="28" t="s">
        <v>575</v>
      </c>
      <c r="B1347" s="28" t="s">
        <v>576</v>
      </c>
      <c r="C1347" s="28" t="s">
        <v>561</v>
      </c>
      <c r="D1347" s="28" t="s">
        <v>577</v>
      </c>
      <c r="E1347" s="28" t="s">
        <v>605</v>
      </c>
      <c r="F1347" s="28" t="s">
        <v>587</v>
      </c>
      <c r="G1347" s="29">
        <v>208</v>
      </c>
      <c r="H1347" s="29">
        <v>2</v>
      </c>
      <c r="I1347" s="29">
        <v>2</v>
      </c>
      <c r="J1347" s="29">
        <v>2</v>
      </c>
      <c r="K1347" s="29">
        <v>0</v>
      </c>
      <c r="L1347" s="29">
        <v>0</v>
      </c>
      <c r="M1347" s="29">
        <v>0</v>
      </c>
      <c r="N1347" s="29">
        <v>0</v>
      </c>
      <c r="O1347" s="29">
        <v>0</v>
      </c>
    </row>
    <row r="1348" spans="1:15" x14ac:dyDescent="0.3">
      <c r="A1348" s="28" t="s">
        <v>575</v>
      </c>
      <c r="B1348" s="28" t="s">
        <v>576</v>
      </c>
      <c r="C1348" s="28" t="s">
        <v>561</v>
      </c>
      <c r="D1348" s="28" t="s">
        <v>577</v>
      </c>
      <c r="E1348" s="28" t="s">
        <v>605</v>
      </c>
      <c r="F1348" s="28" t="s">
        <v>579</v>
      </c>
      <c r="G1348" s="29">
        <v>0</v>
      </c>
      <c r="H1348" s="29">
        <v>0</v>
      </c>
      <c r="I1348" s="29">
        <v>7</v>
      </c>
      <c r="J1348" s="29">
        <v>1</v>
      </c>
      <c r="K1348" s="29">
        <v>6</v>
      </c>
      <c r="L1348" s="29">
        <v>0</v>
      </c>
      <c r="M1348" s="29">
        <v>0</v>
      </c>
      <c r="N1348" s="29">
        <v>0</v>
      </c>
      <c r="O1348" s="29">
        <v>0</v>
      </c>
    </row>
    <row r="1349" spans="1:15" x14ac:dyDescent="0.3">
      <c r="A1349" s="28" t="s">
        <v>575</v>
      </c>
      <c r="B1349" s="28" t="s">
        <v>576</v>
      </c>
      <c r="C1349" s="28" t="s">
        <v>561</v>
      </c>
      <c r="D1349" s="28" t="s">
        <v>577</v>
      </c>
      <c r="E1349" s="28" t="s">
        <v>605</v>
      </c>
      <c r="F1349" s="28" t="s">
        <v>588</v>
      </c>
      <c r="G1349" s="29">
        <v>8</v>
      </c>
      <c r="H1349" s="29">
        <v>0</v>
      </c>
      <c r="I1349" s="29">
        <v>1</v>
      </c>
      <c r="J1349" s="29">
        <v>0</v>
      </c>
      <c r="K1349" s="29">
        <v>1</v>
      </c>
      <c r="L1349" s="29">
        <v>0</v>
      </c>
      <c r="M1349" s="29">
        <v>0</v>
      </c>
      <c r="N1349" s="29">
        <v>0</v>
      </c>
      <c r="O1349" s="29">
        <v>0</v>
      </c>
    </row>
    <row r="1350" spans="1:15" x14ac:dyDescent="0.3">
      <c r="A1350" s="28" t="s">
        <v>575</v>
      </c>
      <c r="B1350" s="28" t="s">
        <v>576</v>
      </c>
      <c r="C1350" s="28" t="s">
        <v>561</v>
      </c>
      <c r="D1350" s="28" t="s">
        <v>577</v>
      </c>
      <c r="E1350" s="28" t="s">
        <v>605</v>
      </c>
      <c r="F1350" s="28" t="s">
        <v>589</v>
      </c>
      <c r="G1350" s="29">
        <v>41</v>
      </c>
      <c r="H1350" s="29">
        <v>0</v>
      </c>
      <c r="I1350" s="29">
        <v>0</v>
      </c>
      <c r="J1350" s="29">
        <v>0</v>
      </c>
      <c r="K1350" s="29">
        <v>0</v>
      </c>
      <c r="L1350" s="29">
        <v>0</v>
      </c>
      <c r="M1350" s="29">
        <v>0</v>
      </c>
      <c r="N1350" s="29">
        <v>0</v>
      </c>
      <c r="O1350" s="29">
        <v>0</v>
      </c>
    </row>
    <row r="1351" spans="1:15" x14ac:dyDescent="0.3">
      <c r="A1351" s="28" t="s">
        <v>575</v>
      </c>
      <c r="B1351" s="28" t="s">
        <v>576</v>
      </c>
      <c r="C1351" s="28" t="s">
        <v>561</v>
      </c>
      <c r="D1351" s="28" t="s">
        <v>577</v>
      </c>
      <c r="E1351" s="28" t="s">
        <v>605</v>
      </c>
      <c r="F1351" s="28" t="s">
        <v>590</v>
      </c>
      <c r="G1351" s="29">
        <v>182</v>
      </c>
      <c r="H1351" s="29">
        <v>0</v>
      </c>
      <c r="I1351" s="29">
        <v>0</v>
      </c>
      <c r="J1351" s="29">
        <v>0</v>
      </c>
      <c r="K1351" s="29">
        <v>0</v>
      </c>
      <c r="L1351" s="29">
        <v>0</v>
      </c>
      <c r="M1351" s="29">
        <v>0</v>
      </c>
      <c r="N1351" s="29">
        <v>0</v>
      </c>
      <c r="O1351" s="29">
        <v>0</v>
      </c>
    </row>
    <row r="1352" spans="1:15" x14ac:dyDescent="0.3">
      <c r="A1352" s="28" t="s">
        <v>575</v>
      </c>
      <c r="B1352" s="28" t="s">
        <v>576</v>
      </c>
      <c r="C1352" s="28" t="s">
        <v>561</v>
      </c>
      <c r="D1352" s="28" t="s">
        <v>577</v>
      </c>
      <c r="E1352" s="28" t="s">
        <v>605</v>
      </c>
      <c r="F1352" s="28" t="s">
        <v>591</v>
      </c>
      <c r="G1352" s="29">
        <v>492</v>
      </c>
      <c r="H1352" s="29">
        <v>3</v>
      </c>
      <c r="I1352" s="29">
        <v>1</v>
      </c>
      <c r="J1352" s="29">
        <v>1</v>
      </c>
      <c r="K1352" s="29">
        <v>0</v>
      </c>
      <c r="L1352" s="29">
        <v>0</v>
      </c>
      <c r="M1352" s="29">
        <v>0</v>
      </c>
      <c r="N1352" s="29">
        <v>0</v>
      </c>
      <c r="O1352" s="29">
        <v>0</v>
      </c>
    </row>
    <row r="1353" spans="1:15" x14ac:dyDescent="0.3">
      <c r="A1353" s="28" t="s">
        <v>575</v>
      </c>
      <c r="B1353" s="28" t="s">
        <v>576</v>
      </c>
      <c r="C1353" s="28" t="s">
        <v>561</v>
      </c>
      <c r="D1353" s="28" t="s">
        <v>577</v>
      </c>
      <c r="E1353" s="28" t="s">
        <v>605</v>
      </c>
      <c r="F1353" s="28" t="s">
        <v>592</v>
      </c>
      <c r="G1353" s="29">
        <v>629</v>
      </c>
      <c r="H1353" s="29">
        <v>4</v>
      </c>
      <c r="I1353" s="29">
        <v>0</v>
      </c>
      <c r="J1353" s="29">
        <v>0</v>
      </c>
      <c r="K1353" s="29">
        <v>0</v>
      </c>
      <c r="L1353" s="29">
        <v>0</v>
      </c>
      <c r="M1353" s="29">
        <v>0</v>
      </c>
      <c r="N1353" s="29">
        <v>0</v>
      </c>
      <c r="O1353" s="29">
        <v>0</v>
      </c>
    </row>
    <row r="1354" spans="1:15" x14ac:dyDescent="0.3">
      <c r="A1354" s="28" t="s">
        <v>575</v>
      </c>
      <c r="B1354" s="28" t="s">
        <v>576</v>
      </c>
      <c r="C1354" s="28" t="s">
        <v>561</v>
      </c>
      <c r="D1354" s="28" t="s">
        <v>577</v>
      </c>
      <c r="E1354" s="28" t="s">
        <v>605</v>
      </c>
      <c r="F1354" s="28" t="s">
        <v>593</v>
      </c>
      <c r="G1354" s="29">
        <v>802</v>
      </c>
      <c r="H1354" s="29">
        <v>1</v>
      </c>
      <c r="I1354" s="29">
        <v>3</v>
      </c>
      <c r="J1354" s="29">
        <v>0</v>
      </c>
      <c r="K1354" s="29">
        <v>3</v>
      </c>
      <c r="L1354" s="29">
        <v>500</v>
      </c>
      <c r="M1354" s="29">
        <v>0</v>
      </c>
      <c r="N1354" s="29">
        <v>500</v>
      </c>
      <c r="O1354" s="29">
        <v>0</v>
      </c>
    </row>
    <row r="1355" spans="1:15" x14ac:dyDescent="0.3">
      <c r="A1355" s="28" t="s">
        <v>575</v>
      </c>
      <c r="B1355" s="28" t="s">
        <v>576</v>
      </c>
      <c r="C1355" s="28" t="s">
        <v>561</v>
      </c>
      <c r="D1355" s="28" t="s">
        <v>577</v>
      </c>
      <c r="E1355" s="28" t="s">
        <v>605</v>
      </c>
      <c r="F1355" s="28" t="s">
        <v>594</v>
      </c>
      <c r="G1355" s="29">
        <v>399</v>
      </c>
      <c r="H1355" s="29">
        <v>2</v>
      </c>
      <c r="I1355" s="29">
        <v>0</v>
      </c>
      <c r="J1355" s="29">
        <v>0</v>
      </c>
      <c r="K1355" s="29">
        <v>0</v>
      </c>
      <c r="L1355" s="29">
        <v>0</v>
      </c>
      <c r="M1355" s="29">
        <v>0</v>
      </c>
      <c r="N1355" s="29">
        <v>0</v>
      </c>
      <c r="O1355" s="29">
        <v>0</v>
      </c>
    </row>
    <row r="1356" spans="1:15" x14ac:dyDescent="0.3">
      <c r="A1356" s="28" t="s">
        <v>575</v>
      </c>
      <c r="B1356" s="28" t="s">
        <v>576</v>
      </c>
      <c r="C1356" s="28" t="s">
        <v>561</v>
      </c>
      <c r="D1356" s="28" t="s">
        <v>577</v>
      </c>
      <c r="E1356" s="28" t="s">
        <v>605</v>
      </c>
      <c r="F1356" s="28" t="s">
        <v>595</v>
      </c>
      <c r="G1356" s="29">
        <v>152</v>
      </c>
      <c r="H1356" s="29">
        <v>0</v>
      </c>
      <c r="I1356" s="29">
        <v>0</v>
      </c>
      <c r="J1356" s="29">
        <v>0</v>
      </c>
      <c r="K1356" s="29">
        <v>0</v>
      </c>
      <c r="L1356" s="29">
        <v>0</v>
      </c>
      <c r="M1356" s="29">
        <v>0</v>
      </c>
      <c r="N1356" s="29">
        <v>0</v>
      </c>
      <c r="O1356" s="29">
        <v>0</v>
      </c>
    </row>
    <row r="1357" spans="1:15" x14ac:dyDescent="0.3">
      <c r="A1357" s="28" t="s">
        <v>575</v>
      </c>
      <c r="B1357" s="28" t="s">
        <v>576</v>
      </c>
      <c r="C1357" s="28" t="s">
        <v>561</v>
      </c>
      <c r="D1357" s="28" t="s">
        <v>577</v>
      </c>
      <c r="E1357" s="28" t="s">
        <v>606</v>
      </c>
      <c r="F1357" s="28" t="s">
        <v>597</v>
      </c>
      <c r="G1357" s="29">
        <v>43</v>
      </c>
      <c r="H1357" s="29">
        <v>1</v>
      </c>
      <c r="I1357" s="29">
        <v>1</v>
      </c>
      <c r="J1357" s="29">
        <v>1</v>
      </c>
      <c r="K1357" s="29">
        <v>0</v>
      </c>
      <c r="L1357" s="29">
        <v>0</v>
      </c>
      <c r="M1357" s="29">
        <v>0</v>
      </c>
      <c r="N1357" s="29">
        <v>0</v>
      </c>
      <c r="O1357" s="29">
        <v>0</v>
      </c>
    </row>
    <row r="1358" spans="1:15" x14ac:dyDescent="0.3">
      <c r="A1358" s="28" t="s">
        <v>575</v>
      </c>
      <c r="B1358" s="28" t="s">
        <v>576</v>
      </c>
      <c r="C1358" s="28" t="s">
        <v>561</v>
      </c>
      <c r="D1358" s="28" t="s">
        <v>577</v>
      </c>
      <c r="E1358" s="28" t="s">
        <v>606</v>
      </c>
      <c r="F1358" s="28" t="s">
        <v>598</v>
      </c>
      <c r="G1358" s="29">
        <v>21</v>
      </c>
      <c r="H1358" s="29">
        <v>0</v>
      </c>
      <c r="I1358" s="29">
        <v>0</v>
      </c>
      <c r="J1358" s="29">
        <v>0</v>
      </c>
      <c r="K1358" s="29">
        <v>0</v>
      </c>
      <c r="L1358" s="29">
        <v>0</v>
      </c>
      <c r="M1358" s="29">
        <v>0</v>
      </c>
      <c r="N1358" s="29">
        <v>0</v>
      </c>
      <c r="O1358" s="29">
        <v>0</v>
      </c>
    </row>
    <row r="1359" spans="1:15" x14ac:dyDescent="0.3">
      <c r="A1359" s="28" t="s">
        <v>575</v>
      </c>
      <c r="B1359" s="28" t="s">
        <v>576</v>
      </c>
      <c r="C1359" s="28" t="s">
        <v>561</v>
      </c>
      <c r="D1359" s="28" t="s">
        <v>577</v>
      </c>
      <c r="E1359" s="28" t="s">
        <v>606</v>
      </c>
      <c r="F1359" s="28" t="s">
        <v>599</v>
      </c>
      <c r="G1359" s="29">
        <v>10</v>
      </c>
      <c r="H1359" s="29">
        <v>0</v>
      </c>
      <c r="I1359" s="29">
        <v>0</v>
      </c>
      <c r="J1359" s="29">
        <v>0</v>
      </c>
      <c r="K1359" s="29">
        <v>0</v>
      </c>
      <c r="L1359" s="29">
        <v>0</v>
      </c>
      <c r="M1359" s="29">
        <v>0</v>
      </c>
      <c r="N1359" s="29">
        <v>0</v>
      </c>
      <c r="O1359" s="29">
        <v>0</v>
      </c>
    </row>
    <row r="1360" spans="1:15" x14ac:dyDescent="0.3">
      <c r="A1360" s="28" t="s">
        <v>575</v>
      </c>
      <c r="B1360" s="28" t="s">
        <v>576</v>
      </c>
      <c r="C1360" s="28" t="s">
        <v>561</v>
      </c>
      <c r="D1360" s="28" t="s">
        <v>577</v>
      </c>
      <c r="E1360" s="28" t="s">
        <v>606</v>
      </c>
      <c r="F1360" s="28" t="s">
        <v>600</v>
      </c>
      <c r="G1360" s="29">
        <v>28</v>
      </c>
      <c r="H1360" s="29">
        <v>0</v>
      </c>
      <c r="I1360" s="29">
        <v>0</v>
      </c>
      <c r="J1360" s="29">
        <v>0</v>
      </c>
      <c r="K1360" s="29">
        <v>0</v>
      </c>
      <c r="L1360" s="29">
        <v>0</v>
      </c>
      <c r="M1360" s="29">
        <v>0</v>
      </c>
      <c r="N1360" s="29">
        <v>0</v>
      </c>
      <c r="O1360" s="29">
        <v>0</v>
      </c>
    </row>
    <row r="1361" spans="1:15" x14ac:dyDescent="0.3">
      <c r="A1361" s="28" t="s">
        <v>575</v>
      </c>
      <c r="B1361" s="28" t="s">
        <v>576</v>
      </c>
      <c r="C1361" s="28" t="s">
        <v>561</v>
      </c>
      <c r="D1361" s="28" t="s">
        <v>577</v>
      </c>
      <c r="E1361" s="28" t="s">
        <v>606</v>
      </c>
      <c r="F1361" s="28" t="s">
        <v>601</v>
      </c>
      <c r="G1361" s="29">
        <v>51</v>
      </c>
      <c r="H1361" s="29">
        <v>0</v>
      </c>
      <c r="I1361" s="29">
        <v>0</v>
      </c>
      <c r="J1361" s="29">
        <v>0</v>
      </c>
      <c r="K1361" s="29">
        <v>0</v>
      </c>
      <c r="L1361" s="29">
        <v>0</v>
      </c>
      <c r="M1361" s="29">
        <v>0</v>
      </c>
      <c r="N1361" s="29">
        <v>0</v>
      </c>
      <c r="O1361" s="29">
        <v>0</v>
      </c>
    </row>
    <row r="1362" spans="1:15" x14ac:dyDescent="0.3">
      <c r="A1362" s="28" t="s">
        <v>575</v>
      </c>
      <c r="B1362" s="28" t="s">
        <v>576</v>
      </c>
      <c r="C1362" s="28" t="s">
        <v>561</v>
      </c>
      <c r="D1362" s="28" t="s">
        <v>577</v>
      </c>
      <c r="E1362" s="28" t="s">
        <v>606</v>
      </c>
      <c r="F1362" s="28" t="s">
        <v>602</v>
      </c>
      <c r="G1362" s="29">
        <v>202</v>
      </c>
      <c r="H1362" s="29">
        <v>0</v>
      </c>
      <c r="I1362" s="29">
        <v>0</v>
      </c>
      <c r="J1362" s="29">
        <v>0</v>
      </c>
      <c r="K1362" s="29">
        <v>0</v>
      </c>
      <c r="L1362" s="29">
        <v>0</v>
      </c>
      <c r="M1362" s="29">
        <v>0</v>
      </c>
      <c r="N1362" s="29">
        <v>0</v>
      </c>
      <c r="O1362" s="29">
        <v>0</v>
      </c>
    </row>
    <row r="1363" spans="1:15" x14ac:dyDescent="0.3">
      <c r="A1363" s="28" t="s">
        <v>575</v>
      </c>
      <c r="B1363" s="28" t="s">
        <v>576</v>
      </c>
      <c r="C1363" s="28" t="s">
        <v>561</v>
      </c>
      <c r="D1363" s="28" t="s">
        <v>577</v>
      </c>
      <c r="E1363" s="28" t="s">
        <v>606</v>
      </c>
      <c r="F1363" s="28" t="s">
        <v>603</v>
      </c>
      <c r="G1363" s="29">
        <v>772</v>
      </c>
      <c r="H1363" s="29">
        <v>4</v>
      </c>
      <c r="I1363" s="29">
        <v>3</v>
      </c>
      <c r="J1363" s="29">
        <v>0</v>
      </c>
      <c r="K1363" s="29">
        <v>3</v>
      </c>
      <c r="L1363" s="29">
        <v>500</v>
      </c>
      <c r="M1363" s="29">
        <v>0</v>
      </c>
      <c r="N1363" s="29">
        <v>500</v>
      </c>
      <c r="O1363" s="29">
        <v>0</v>
      </c>
    </row>
    <row r="1364" spans="1:15" x14ac:dyDescent="0.3">
      <c r="A1364" s="28" t="s">
        <v>575</v>
      </c>
      <c r="B1364" s="28" t="s">
        <v>576</v>
      </c>
      <c r="C1364" s="28" t="s">
        <v>561</v>
      </c>
      <c r="D1364" s="28" t="s">
        <v>577</v>
      </c>
      <c r="E1364" s="28" t="s">
        <v>606</v>
      </c>
      <c r="F1364" s="28" t="s">
        <v>604</v>
      </c>
      <c r="G1364" s="29">
        <v>1699</v>
      </c>
      <c r="H1364" s="29">
        <v>1</v>
      </c>
      <c r="I1364" s="29">
        <v>1</v>
      </c>
      <c r="J1364" s="29">
        <v>0</v>
      </c>
      <c r="K1364" s="29">
        <v>1</v>
      </c>
      <c r="L1364" s="29">
        <v>0</v>
      </c>
      <c r="M1364" s="29">
        <v>0</v>
      </c>
      <c r="N1364" s="29">
        <v>0</v>
      </c>
      <c r="O1364" s="29">
        <v>0</v>
      </c>
    </row>
    <row r="1365" spans="1:15" x14ac:dyDescent="0.3">
      <c r="A1365" s="28" t="s">
        <v>575</v>
      </c>
      <c r="B1365" s="28" t="s">
        <v>576</v>
      </c>
      <c r="C1365" s="28" t="s">
        <v>561</v>
      </c>
      <c r="D1365" s="28" t="s">
        <v>577</v>
      </c>
      <c r="E1365" s="28" t="s">
        <v>606</v>
      </c>
      <c r="F1365" s="28" t="s">
        <v>581</v>
      </c>
      <c r="G1365" s="29">
        <v>1477</v>
      </c>
      <c r="H1365" s="29">
        <v>2</v>
      </c>
      <c r="I1365" s="29">
        <v>3</v>
      </c>
      <c r="J1365" s="29">
        <v>0</v>
      </c>
      <c r="K1365" s="29">
        <v>3</v>
      </c>
      <c r="L1365" s="29">
        <v>0</v>
      </c>
      <c r="M1365" s="29">
        <v>0</v>
      </c>
      <c r="N1365" s="29">
        <v>0</v>
      </c>
      <c r="O1365" s="29">
        <v>0</v>
      </c>
    </row>
    <row r="1366" spans="1:15" x14ac:dyDescent="0.3">
      <c r="A1366" s="28" t="s">
        <v>575</v>
      </c>
      <c r="B1366" s="28" t="s">
        <v>576</v>
      </c>
      <c r="C1366" s="28" t="s">
        <v>561</v>
      </c>
      <c r="D1366" s="28" t="s">
        <v>577</v>
      </c>
      <c r="E1366" s="28" t="s">
        <v>606</v>
      </c>
      <c r="F1366" s="28" t="s">
        <v>582</v>
      </c>
      <c r="G1366" s="29">
        <v>943</v>
      </c>
      <c r="H1366" s="29">
        <v>1</v>
      </c>
      <c r="I1366" s="29">
        <v>0</v>
      </c>
      <c r="J1366" s="29">
        <v>0</v>
      </c>
      <c r="K1366" s="29">
        <v>0</v>
      </c>
      <c r="L1366" s="29">
        <v>0</v>
      </c>
      <c r="M1366" s="29">
        <v>0</v>
      </c>
      <c r="N1366" s="29">
        <v>0</v>
      </c>
      <c r="O1366" s="29">
        <v>0</v>
      </c>
    </row>
    <row r="1367" spans="1:15" x14ac:dyDescent="0.3">
      <c r="A1367" s="28" t="s">
        <v>575</v>
      </c>
      <c r="B1367" s="28" t="s">
        <v>576</v>
      </c>
      <c r="C1367" s="28" t="s">
        <v>561</v>
      </c>
      <c r="D1367" s="28" t="s">
        <v>577</v>
      </c>
      <c r="E1367" s="28" t="s">
        <v>606</v>
      </c>
      <c r="F1367" s="28" t="s">
        <v>583</v>
      </c>
      <c r="G1367" s="29">
        <v>1059</v>
      </c>
      <c r="H1367" s="29">
        <v>1</v>
      </c>
      <c r="I1367" s="29">
        <v>0</v>
      </c>
      <c r="J1367" s="29">
        <v>0</v>
      </c>
      <c r="K1367" s="29">
        <v>0</v>
      </c>
      <c r="L1367" s="29">
        <v>0</v>
      </c>
      <c r="M1367" s="29">
        <v>0</v>
      </c>
      <c r="N1367" s="29">
        <v>0</v>
      </c>
      <c r="O1367" s="29">
        <v>0</v>
      </c>
    </row>
    <row r="1368" spans="1:15" x14ac:dyDescent="0.3">
      <c r="A1368" s="28" t="s">
        <v>575</v>
      </c>
      <c r="B1368" s="28" t="s">
        <v>576</v>
      </c>
      <c r="C1368" s="28" t="s">
        <v>561</v>
      </c>
      <c r="D1368" s="28" t="s">
        <v>577</v>
      </c>
      <c r="E1368" s="28" t="s">
        <v>606</v>
      </c>
      <c r="F1368" s="28" t="s">
        <v>584</v>
      </c>
      <c r="G1368" s="29">
        <v>1297</v>
      </c>
      <c r="H1368" s="29">
        <v>0</v>
      </c>
      <c r="I1368" s="29">
        <v>0</v>
      </c>
      <c r="J1368" s="29">
        <v>0</v>
      </c>
      <c r="K1368" s="29">
        <v>0</v>
      </c>
      <c r="L1368" s="29">
        <v>0</v>
      </c>
      <c r="M1368" s="29">
        <v>0</v>
      </c>
      <c r="N1368" s="29">
        <v>0</v>
      </c>
      <c r="O1368" s="29">
        <v>0</v>
      </c>
    </row>
    <row r="1369" spans="1:15" x14ac:dyDescent="0.3">
      <c r="A1369" s="28" t="s">
        <v>575</v>
      </c>
      <c r="B1369" s="28" t="s">
        <v>576</v>
      </c>
      <c r="C1369" s="28" t="s">
        <v>561</v>
      </c>
      <c r="D1369" s="28" t="s">
        <v>577</v>
      </c>
      <c r="E1369" s="28" t="s">
        <v>606</v>
      </c>
      <c r="F1369" s="28" t="s">
        <v>585</v>
      </c>
      <c r="G1369" s="29">
        <v>3170</v>
      </c>
      <c r="H1369" s="29">
        <v>3</v>
      </c>
      <c r="I1369" s="29">
        <v>5</v>
      </c>
      <c r="J1369" s="29">
        <v>4</v>
      </c>
      <c r="K1369" s="29">
        <v>1</v>
      </c>
      <c r="L1369" s="29">
        <v>500</v>
      </c>
      <c r="M1369" s="29">
        <v>500</v>
      </c>
      <c r="N1369" s="29">
        <v>0</v>
      </c>
      <c r="O1369" s="29">
        <v>0</v>
      </c>
    </row>
    <row r="1370" spans="1:15" x14ac:dyDescent="0.3">
      <c r="A1370" s="28" t="s">
        <v>575</v>
      </c>
      <c r="B1370" s="28" t="s">
        <v>576</v>
      </c>
      <c r="C1370" s="28" t="s">
        <v>561</v>
      </c>
      <c r="D1370" s="28" t="s">
        <v>577</v>
      </c>
      <c r="E1370" s="28" t="s">
        <v>606</v>
      </c>
      <c r="F1370" s="28" t="s">
        <v>586</v>
      </c>
      <c r="G1370" s="29">
        <v>3413</v>
      </c>
      <c r="H1370" s="29">
        <v>4</v>
      </c>
      <c r="I1370" s="29">
        <v>2</v>
      </c>
      <c r="J1370" s="29">
        <v>1</v>
      </c>
      <c r="K1370" s="29">
        <v>1</v>
      </c>
      <c r="L1370" s="29">
        <v>100</v>
      </c>
      <c r="M1370" s="29">
        <v>0</v>
      </c>
      <c r="N1370" s="29">
        <v>100</v>
      </c>
      <c r="O1370" s="29">
        <v>0</v>
      </c>
    </row>
    <row r="1371" spans="1:15" x14ac:dyDescent="0.3">
      <c r="A1371" s="28" t="s">
        <v>575</v>
      </c>
      <c r="B1371" s="28" t="s">
        <v>576</v>
      </c>
      <c r="C1371" s="28" t="s">
        <v>561</v>
      </c>
      <c r="D1371" s="28" t="s">
        <v>577</v>
      </c>
      <c r="E1371" s="28" t="s">
        <v>606</v>
      </c>
      <c r="F1371" s="28" t="s">
        <v>587</v>
      </c>
      <c r="G1371" s="29">
        <v>998</v>
      </c>
      <c r="H1371" s="29">
        <v>3</v>
      </c>
      <c r="I1371" s="29">
        <v>16</v>
      </c>
      <c r="J1371" s="29">
        <v>14</v>
      </c>
      <c r="K1371" s="29">
        <v>2</v>
      </c>
      <c r="L1371" s="29">
        <v>500</v>
      </c>
      <c r="M1371" s="29">
        <v>500</v>
      </c>
      <c r="N1371" s="29">
        <v>0</v>
      </c>
      <c r="O1371" s="29">
        <v>0</v>
      </c>
    </row>
    <row r="1372" spans="1:15" x14ac:dyDescent="0.3">
      <c r="A1372" s="28" t="s">
        <v>575</v>
      </c>
      <c r="B1372" s="28" t="s">
        <v>576</v>
      </c>
      <c r="C1372" s="28" t="s">
        <v>561</v>
      </c>
      <c r="D1372" s="28" t="s">
        <v>577</v>
      </c>
      <c r="E1372" s="28" t="s">
        <v>606</v>
      </c>
      <c r="F1372" s="28" t="s">
        <v>579</v>
      </c>
      <c r="G1372" s="29">
        <v>6</v>
      </c>
      <c r="H1372" s="29">
        <v>1</v>
      </c>
      <c r="I1372" s="29">
        <v>1</v>
      </c>
      <c r="J1372" s="29">
        <v>0</v>
      </c>
      <c r="K1372" s="29">
        <v>1</v>
      </c>
      <c r="L1372" s="29">
        <v>0</v>
      </c>
      <c r="M1372" s="29">
        <v>0</v>
      </c>
      <c r="N1372" s="29">
        <v>0</v>
      </c>
      <c r="O1372" s="29">
        <v>0</v>
      </c>
    </row>
    <row r="1373" spans="1:15" x14ac:dyDescent="0.3">
      <c r="A1373" s="28" t="s">
        <v>575</v>
      </c>
      <c r="B1373" s="28" t="s">
        <v>576</v>
      </c>
      <c r="C1373" s="28" t="s">
        <v>561</v>
      </c>
      <c r="D1373" s="28" t="s">
        <v>577</v>
      </c>
      <c r="E1373" s="28" t="s">
        <v>606</v>
      </c>
      <c r="F1373" s="28" t="s">
        <v>588</v>
      </c>
      <c r="G1373" s="29">
        <v>0</v>
      </c>
      <c r="H1373" s="29">
        <v>0</v>
      </c>
      <c r="I1373" s="29">
        <v>1</v>
      </c>
      <c r="J1373" s="29">
        <v>0</v>
      </c>
      <c r="K1373" s="29">
        <v>1</v>
      </c>
      <c r="L1373" s="29">
        <v>0</v>
      </c>
      <c r="M1373" s="29">
        <v>0</v>
      </c>
      <c r="N1373" s="29">
        <v>0</v>
      </c>
      <c r="O1373" s="29">
        <v>0</v>
      </c>
    </row>
    <row r="1374" spans="1:15" x14ac:dyDescent="0.3">
      <c r="A1374" s="28" t="s">
        <v>575</v>
      </c>
      <c r="B1374" s="28" t="s">
        <v>576</v>
      </c>
      <c r="C1374" s="28" t="s">
        <v>561</v>
      </c>
      <c r="D1374" s="28" t="s">
        <v>577</v>
      </c>
      <c r="E1374" s="28" t="s">
        <v>606</v>
      </c>
      <c r="F1374" s="28" t="s">
        <v>592</v>
      </c>
      <c r="G1374" s="29">
        <v>19</v>
      </c>
      <c r="H1374" s="29">
        <v>0</v>
      </c>
      <c r="I1374" s="29">
        <v>0</v>
      </c>
      <c r="J1374" s="29">
        <v>0</v>
      </c>
      <c r="K1374" s="29">
        <v>0</v>
      </c>
      <c r="L1374" s="29">
        <v>0</v>
      </c>
      <c r="M1374" s="29">
        <v>0</v>
      </c>
      <c r="N1374" s="29">
        <v>0</v>
      </c>
      <c r="O1374" s="29">
        <v>0</v>
      </c>
    </row>
    <row r="1375" spans="1:15" x14ac:dyDescent="0.3">
      <c r="A1375" s="28" t="s">
        <v>575</v>
      </c>
      <c r="B1375" s="28" t="s">
        <v>576</v>
      </c>
      <c r="C1375" s="28" t="s">
        <v>561</v>
      </c>
      <c r="D1375" s="28" t="s">
        <v>577</v>
      </c>
      <c r="E1375" s="28" t="s">
        <v>606</v>
      </c>
      <c r="F1375" s="28" t="s">
        <v>593</v>
      </c>
      <c r="G1375" s="29">
        <v>59</v>
      </c>
      <c r="H1375" s="29">
        <v>0</v>
      </c>
      <c r="I1375" s="29">
        <v>0</v>
      </c>
      <c r="J1375" s="29">
        <v>0</v>
      </c>
      <c r="K1375" s="29">
        <v>0</v>
      </c>
      <c r="L1375" s="29">
        <v>0</v>
      </c>
      <c r="M1375" s="29">
        <v>0</v>
      </c>
      <c r="N1375" s="29">
        <v>0</v>
      </c>
      <c r="O1375" s="29">
        <v>0</v>
      </c>
    </row>
    <row r="1376" spans="1:15" x14ac:dyDescent="0.3">
      <c r="A1376" s="28" t="s">
        <v>575</v>
      </c>
      <c r="B1376" s="28" t="s">
        <v>576</v>
      </c>
      <c r="C1376" s="28" t="s">
        <v>561</v>
      </c>
      <c r="D1376" s="28" t="s">
        <v>577</v>
      </c>
      <c r="E1376" s="28" t="s">
        <v>606</v>
      </c>
      <c r="F1376" s="28" t="s">
        <v>594</v>
      </c>
      <c r="G1376" s="29">
        <v>90</v>
      </c>
      <c r="H1376" s="29">
        <v>1</v>
      </c>
      <c r="I1376" s="29">
        <v>3</v>
      </c>
      <c r="J1376" s="29">
        <v>0</v>
      </c>
      <c r="K1376" s="29">
        <v>3</v>
      </c>
      <c r="L1376" s="29">
        <v>0</v>
      </c>
      <c r="M1376" s="29">
        <v>0</v>
      </c>
      <c r="N1376" s="29">
        <v>0</v>
      </c>
      <c r="O1376" s="29">
        <v>0</v>
      </c>
    </row>
    <row r="1377" spans="1:15" x14ac:dyDescent="0.3">
      <c r="A1377" s="28" t="s">
        <v>575</v>
      </c>
      <c r="B1377" s="28" t="s">
        <v>576</v>
      </c>
      <c r="C1377" s="28" t="s">
        <v>561</v>
      </c>
      <c r="D1377" s="28" t="s">
        <v>577</v>
      </c>
      <c r="E1377" s="28" t="s">
        <v>606</v>
      </c>
      <c r="F1377" s="28" t="s">
        <v>595</v>
      </c>
      <c r="G1377" s="29">
        <v>182</v>
      </c>
      <c r="H1377" s="29">
        <v>1</v>
      </c>
      <c r="I1377" s="29">
        <v>2</v>
      </c>
      <c r="J1377" s="29">
        <v>2</v>
      </c>
      <c r="K1377" s="29">
        <v>0</v>
      </c>
      <c r="L1377" s="29">
        <v>0</v>
      </c>
      <c r="M1377" s="29">
        <v>0</v>
      </c>
      <c r="N1377" s="29">
        <v>0</v>
      </c>
      <c r="O1377" s="29">
        <v>0</v>
      </c>
    </row>
    <row r="1378" spans="1:15" x14ac:dyDescent="0.3">
      <c r="A1378" s="28" t="s">
        <v>575</v>
      </c>
      <c r="B1378" s="28" t="s">
        <v>576</v>
      </c>
      <c r="C1378" s="28" t="s">
        <v>561</v>
      </c>
      <c r="D1378" s="28" t="s">
        <v>577</v>
      </c>
      <c r="E1378" s="28" t="s">
        <v>607</v>
      </c>
      <c r="F1378" s="28" t="s">
        <v>597</v>
      </c>
      <c r="G1378" s="29">
        <v>237</v>
      </c>
      <c r="H1378" s="29">
        <v>1</v>
      </c>
      <c r="I1378" s="29">
        <v>0</v>
      </c>
      <c r="J1378" s="29">
        <v>0</v>
      </c>
      <c r="K1378" s="29">
        <v>0</v>
      </c>
      <c r="L1378" s="29">
        <v>0</v>
      </c>
      <c r="M1378" s="29">
        <v>0</v>
      </c>
      <c r="N1378" s="29">
        <v>0</v>
      </c>
      <c r="O1378" s="29">
        <v>0</v>
      </c>
    </row>
    <row r="1379" spans="1:15" x14ac:dyDescent="0.3">
      <c r="A1379" s="28" t="s">
        <v>575</v>
      </c>
      <c r="B1379" s="28" t="s">
        <v>576</v>
      </c>
      <c r="C1379" s="28" t="s">
        <v>561</v>
      </c>
      <c r="D1379" s="28" t="s">
        <v>577</v>
      </c>
      <c r="E1379" s="28" t="s">
        <v>607</v>
      </c>
      <c r="F1379" s="28" t="s">
        <v>598</v>
      </c>
      <c r="G1379" s="29">
        <v>205</v>
      </c>
      <c r="H1379" s="29">
        <v>0</v>
      </c>
      <c r="I1379" s="29">
        <v>0</v>
      </c>
      <c r="J1379" s="29">
        <v>0</v>
      </c>
      <c r="K1379" s="29">
        <v>0</v>
      </c>
      <c r="L1379" s="29">
        <v>0</v>
      </c>
      <c r="M1379" s="29">
        <v>0</v>
      </c>
      <c r="N1379" s="29">
        <v>0</v>
      </c>
      <c r="O1379" s="29">
        <v>0</v>
      </c>
    </row>
    <row r="1380" spans="1:15" x14ac:dyDescent="0.3">
      <c r="A1380" s="28" t="s">
        <v>575</v>
      </c>
      <c r="B1380" s="28" t="s">
        <v>576</v>
      </c>
      <c r="C1380" s="28" t="s">
        <v>561</v>
      </c>
      <c r="D1380" s="28" t="s">
        <v>577</v>
      </c>
      <c r="E1380" s="28" t="s">
        <v>607</v>
      </c>
      <c r="F1380" s="28" t="s">
        <v>599</v>
      </c>
      <c r="G1380" s="29">
        <v>157</v>
      </c>
      <c r="H1380" s="29">
        <v>0</v>
      </c>
      <c r="I1380" s="29">
        <v>0</v>
      </c>
      <c r="J1380" s="29">
        <v>0</v>
      </c>
      <c r="K1380" s="29">
        <v>0</v>
      </c>
      <c r="L1380" s="29">
        <v>0</v>
      </c>
      <c r="M1380" s="29">
        <v>0</v>
      </c>
      <c r="N1380" s="29">
        <v>0</v>
      </c>
      <c r="O1380" s="29">
        <v>0</v>
      </c>
    </row>
    <row r="1381" spans="1:15" x14ac:dyDescent="0.3">
      <c r="A1381" s="28" t="s">
        <v>575</v>
      </c>
      <c r="B1381" s="28" t="s">
        <v>576</v>
      </c>
      <c r="C1381" s="28" t="s">
        <v>561</v>
      </c>
      <c r="D1381" s="28" t="s">
        <v>577</v>
      </c>
      <c r="E1381" s="28" t="s">
        <v>607</v>
      </c>
      <c r="F1381" s="28" t="s">
        <v>600</v>
      </c>
      <c r="G1381" s="29">
        <v>167</v>
      </c>
      <c r="H1381" s="29">
        <v>0</v>
      </c>
      <c r="I1381" s="29">
        <v>0</v>
      </c>
      <c r="J1381" s="29">
        <v>0</v>
      </c>
      <c r="K1381" s="29">
        <v>0</v>
      </c>
      <c r="L1381" s="29">
        <v>0</v>
      </c>
      <c r="M1381" s="29">
        <v>0</v>
      </c>
      <c r="N1381" s="29">
        <v>0</v>
      </c>
      <c r="O1381" s="29">
        <v>0</v>
      </c>
    </row>
    <row r="1382" spans="1:15" x14ac:dyDescent="0.3">
      <c r="A1382" s="28" t="s">
        <v>575</v>
      </c>
      <c r="B1382" s="28" t="s">
        <v>576</v>
      </c>
      <c r="C1382" s="28" t="s">
        <v>561</v>
      </c>
      <c r="D1382" s="28" t="s">
        <v>577</v>
      </c>
      <c r="E1382" s="28" t="s">
        <v>607</v>
      </c>
      <c r="F1382" s="28" t="s">
        <v>601</v>
      </c>
      <c r="G1382" s="29">
        <v>163</v>
      </c>
      <c r="H1382" s="29">
        <v>0</v>
      </c>
      <c r="I1382" s="29">
        <v>0</v>
      </c>
      <c r="J1382" s="29">
        <v>0</v>
      </c>
      <c r="K1382" s="29">
        <v>0</v>
      </c>
      <c r="L1382" s="29">
        <v>0</v>
      </c>
      <c r="M1382" s="29">
        <v>0</v>
      </c>
      <c r="N1382" s="29">
        <v>0</v>
      </c>
      <c r="O1382" s="29">
        <v>0</v>
      </c>
    </row>
    <row r="1383" spans="1:15" x14ac:dyDescent="0.3">
      <c r="A1383" s="28" t="s">
        <v>575</v>
      </c>
      <c r="B1383" s="28" t="s">
        <v>576</v>
      </c>
      <c r="C1383" s="28" t="s">
        <v>561</v>
      </c>
      <c r="D1383" s="28" t="s">
        <v>577</v>
      </c>
      <c r="E1383" s="28" t="s">
        <v>607</v>
      </c>
      <c r="F1383" s="28" t="s">
        <v>602</v>
      </c>
      <c r="G1383" s="29">
        <v>232</v>
      </c>
      <c r="H1383" s="29">
        <v>1</v>
      </c>
      <c r="I1383" s="29">
        <v>0</v>
      </c>
      <c r="J1383" s="29">
        <v>0</v>
      </c>
      <c r="K1383" s="29">
        <v>0</v>
      </c>
      <c r="L1383" s="29">
        <v>0</v>
      </c>
      <c r="M1383" s="29">
        <v>0</v>
      </c>
      <c r="N1383" s="29">
        <v>0</v>
      </c>
      <c r="O1383" s="29">
        <v>0</v>
      </c>
    </row>
    <row r="1384" spans="1:15" x14ac:dyDescent="0.3">
      <c r="A1384" s="28" t="s">
        <v>575</v>
      </c>
      <c r="B1384" s="28" t="s">
        <v>576</v>
      </c>
      <c r="C1384" s="28" t="s">
        <v>561</v>
      </c>
      <c r="D1384" s="28" t="s">
        <v>577</v>
      </c>
      <c r="E1384" s="28" t="s">
        <v>607</v>
      </c>
      <c r="F1384" s="28" t="s">
        <v>603</v>
      </c>
      <c r="G1384" s="29">
        <v>570</v>
      </c>
      <c r="H1384" s="29">
        <v>1</v>
      </c>
      <c r="I1384" s="29">
        <v>0</v>
      </c>
      <c r="J1384" s="29">
        <v>0</v>
      </c>
      <c r="K1384" s="29">
        <v>0</v>
      </c>
      <c r="L1384" s="29">
        <v>0</v>
      </c>
      <c r="M1384" s="29">
        <v>0</v>
      </c>
      <c r="N1384" s="29">
        <v>0</v>
      </c>
      <c r="O1384" s="29">
        <v>0</v>
      </c>
    </row>
    <row r="1385" spans="1:15" x14ac:dyDescent="0.3">
      <c r="A1385" s="28" t="s">
        <v>575</v>
      </c>
      <c r="B1385" s="28" t="s">
        <v>576</v>
      </c>
      <c r="C1385" s="28" t="s">
        <v>561</v>
      </c>
      <c r="D1385" s="28" t="s">
        <v>577</v>
      </c>
      <c r="E1385" s="28" t="s">
        <v>607</v>
      </c>
      <c r="F1385" s="28" t="s">
        <v>604</v>
      </c>
      <c r="G1385" s="29">
        <v>1432</v>
      </c>
      <c r="H1385" s="29">
        <v>2</v>
      </c>
      <c r="I1385" s="29">
        <v>1</v>
      </c>
      <c r="J1385" s="29">
        <v>0</v>
      </c>
      <c r="K1385" s="29">
        <v>1</v>
      </c>
      <c r="L1385" s="29">
        <v>0</v>
      </c>
      <c r="M1385" s="29">
        <v>0</v>
      </c>
      <c r="N1385" s="29">
        <v>0</v>
      </c>
      <c r="O1385" s="29">
        <v>0</v>
      </c>
    </row>
    <row r="1386" spans="1:15" x14ac:dyDescent="0.3">
      <c r="A1386" s="28" t="s">
        <v>575</v>
      </c>
      <c r="B1386" s="28" t="s">
        <v>576</v>
      </c>
      <c r="C1386" s="28" t="s">
        <v>561</v>
      </c>
      <c r="D1386" s="28" t="s">
        <v>577</v>
      </c>
      <c r="E1386" s="28" t="s">
        <v>607</v>
      </c>
      <c r="F1386" s="28" t="s">
        <v>581</v>
      </c>
      <c r="G1386" s="29">
        <v>3289</v>
      </c>
      <c r="H1386" s="29">
        <v>5</v>
      </c>
      <c r="I1386" s="29">
        <v>1</v>
      </c>
      <c r="J1386" s="29">
        <v>1</v>
      </c>
      <c r="K1386" s="29">
        <v>0</v>
      </c>
      <c r="L1386" s="29">
        <v>0</v>
      </c>
      <c r="M1386" s="29">
        <v>0</v>
      </c>
      <c r="N1386" s="29">
        <v>0</v>
      </c>
      <c r="O1386" s="29">
        <v>0</v>
      </c>
    </row>
    <row r="1387" spans="1:15" x14ac:dyDescent="0.3">
      <c r="A1387" s="28" t="s">
        <v>575</v>
      </c>
      <c r="B1387" s="28" t="s">
        <v>576</v>
      </c>
      <c r="C1387" s="28" t="s">
        <v>561</v>
      </c>
      <c r="D1387" s="28" t="s">
        <v>577</v>
      </c>
      <c r="E1387" s="28" t="s">
        <v>607</v>
      </c>
      <c r="F1387" s="28" t="s">
        <v>582</v>
      </c>
      <c r="G1387" s="29">
        <v>1855</v>
      </c>
      <c r="H1387" s="29">
        <v>8</v>
      </c>
      <c r="I1387" s="29">
        <v>9</v>
      </c>
      <c r="J1387" s="29">
        <v>7</v>
      </c>
      <c r="K1387" s="29">
        <v>2</v>
      </c>
      <c r="L1387" s="29">
        <v>1540</v>
      </c>
      <c r="M1387" s="29">
        <v>1540</v>
      </c>
      <c r="N1387" s="29">
        <v>0</v>
      </c>
      <c r="O1387" s="29">
        <v>0</v>
      </c>
    </row>
    <row r="1388" spans="1:15" x14ac:dyDescent="0.3">
      <c r="A1388" s="28" t="s">
        <v>575</v>
      </c>
      <c r="B1388" s="28" t="s">
        <v>576</v>
      </c>
      <c r="C1388" s="28" t="s">
        <v>561</v>
      </c>
      <c r="D1388" s="28" t="s">
        <v>577</v>
      </c>
      <c r="E1388" s="28" t="s">
        <v>607</v>
      </c>
      <c r="F1388" s="28" t="s">
        <v>583</v>
      </c>
      <c r="G1388" s="29">
        <v>672</v>
      </c>
      <c r="H1388" s="29">
        <v>0</v>
      </c>
      <c r="I1388" s="29">
        <v>4</v>
      </c>
      <c r="J1388" s="29">
        <v>4</v>
      </c>
      <c r="K1388" s="29">
        <v>0</v>
      </c>
      <c r="L1388" s="29">
        <v>40</v>
      </c>
      <c r="M1388" s="29">
        <v>40</v>
      </c>
      <c r="N1388" s="29">
        <v>0</v>
      </c>
      <c r="O1388" s="29">
        <v>0</v>
      </c>
    </row>
    <row r="1389" spans="1:15" x14ac:dyDescent="0.3">
      <c r="A1389" s="28" t="s">
        <v>575</v>
      </c>
      <c r="B1389" s="28" t="s">
        <v>576</v>
      </c>
      <c r="C1389" s="28" t="s">
        <v>561</v>
      </c>
      <c r="D1389" s="28" t="s">
        <v>577</v>
      </c>
      <c r="E1389" s="28" t="s">
        <v>607</v>
      </c>
      <c r="F1389" s="28" t="s">
        <v>584</v>
      </c>
      <c r="G1389" s="29">
        <v>251</v>
      </c>
      <c r="H1389" s="29">
        <v>1</v>
      </c>
      <c r="I1389" s="29">
        <v>4</v>
      </c>
      <c r="J1389" s="29">
        <v>0</v>
      </c>
      <c r="K1389" s="29">
        <v>4</v>
      </c>
      <c r="L1389" s="29">
        <v>0</v>
      </c>
      <c r="M1389" s="29">
        <v>0</v>
      </c>
      <c r="N1389" s="29">
        <v>0</v>
      </c>
      <c r="O1389" s="29">
        <v>0</v>
      </c>
    </row>
    <row r="1390" spans="1:15" x14ac:dyDescent="0.3">
      <c r="A1390" s="28" t="s">
        <v>575</v>
      </c>
      <c r="B1390" s="28" t="s">
        <v>576</v>
      </c>
      <c r="C1390" s="28" t="s">
        <v>561</v>
      </c>
      <c r="D1390" s="28" t="s">
        <v>577</v>
      </c>
      <c r="E1390" s="28" t="s">
        <v>607</v>
      </c>
      <c r="F1390" s="28" t="s">
        <v>585</v>
      </c>
      <c r="G1390" s="29">
        <v>9</v>
      </c>
      <c r="H1390" s="29">
        <v>1</v>
      </c>
      <c r="I1390" s="29">
        <v>0</v>
      </c>
      <c r="J1390" s="29">
        <v>0</v>
      </c>
      <c r="K1390" s="29">
        <v>0</v>
      </c>
      <c r="L1390" s="29">
        <v>0</v>
      </c>
      <c r="M1390" s="29">
        <v>0</v>
      </c>
      <c r="N1390" s="29">
        <v>0</v>
      </c>
      <c r="O1390" s="29">
        <v>0</v>
      </c>
    </row>
    <row r="1391" spans="1:15" x14ac:dyDescent="0.3">
      <c r="A1391" s="28" t="s">
        <v>575</v>
      </c>
      <c r="B1391" s="28" t="s">
        <v>576</v>
      </c>
      <c r="C1391" s="28" t="s">
        <v>561</v>
      </c>
      <c r="D1391" s="28" t="s">
        <v>577</v>
      </c>
      <c r="E1391" s="28" t="s">
        <v>607</v>
      </c>
      <c r="F1391" s="28" t="s">
        <v>586</v>
      </c>
      <c r="G1391" s="29">
        <v>9</v>
      </c>
      <c r="H1391" s="29">
        <v>0</v>
      </c>
      <c r="I1391" s="29">
        <v>1</v>
      </c>
      <c r="J1391" s="29">
        <v>0</v>
      </c>
      <c r="K1391" s="29">
        <v>1</v>
      </c>
      <c r="L1391" s="29">
        <v>0</v>
      </c>
      <c r="M1391" s="29">
        <v>0</v>
      </c>
      <c r="N1391" s="29">
        <v>0</v>
      </c>
      <c r="O1391" s="29">
        <v>0</v>
      </c>
    </row>
    <row r="1392" spans="1:15" x14ac:dyDescent="0.3">
      <c r="A1392" s="28" t="s">
        <v>575</v>
      </c>
      <c r="B1392" s="28" t="s">
        <v>576</v>
      </c>
      <c r="C1392" s="28" t="s">
        <v>561</v>
      </c>
      <c r="D1392" s="28" t="s">
        <v>577</v>
      </c>
      <c r="E1392" s="28" t="s">
        <v>607</v>
      </c>
      <c r="F1392" s="28" t="s">
        <v>587</v>
      </c>
      <c r="G1392" s="29">
        <v>272</v>
      </c>
      <c r="H1392" s="29">
        <v>0</v>
      </c>
      <c r="I1392" s="29">
        <v>7</v>
      </c>
      <c r="J1392" s="29">
        <v>2</v>
      </c>
      <c r="K1392" s="29">
        <v>5</v>
      </c>
      <c r="L1392" s="29">
        <v>740</v>
      </c>
      <c r="M1392" s="29">
        <v>0</v>
      </c>
      <c r="N1392" s="29">
        <v>740</v>
      </c>
      <c r="O1392" s="29">
        <v>0</v>
      </c>
    </row>
    <row r="1393" spans="1:15" x14ac:dyDescent="0.3">
      <c r="A1393" s="28" t="s">
        <v>575</v>
      </c>
      <c r="B1393" s="28" t="s">
        <v>576</v>
      </c>
      <c r="C1393" s="28" t="s">
        <v>561</v>
      </c>
      <c r="D1393" s="28" t="s">
        <v>577</v>
      </c>
      <c r="E1393" s="28" t="s">
        <v>607</v>
      </c>
      <c r="F1393" s="28" t="s">
        <v>579</v>
      </c>
      <c r="G1393" s="29">
        <v>815</v>
      </c>
      <c r="H1393" s="29">
        <v>1</v>
      </c>
      <c r="I1393" s="29">
        <v>3</v>
      </c>
      <c r="J1393" s="29">
        <v>0</v>
      </c>
      <c r="K1393" s="29">
        <v>3</v>
      </c>
      <c r="L1393" s="29">
        <v>0</v>
      </c>
      <c r="M1393" s="29">
        <v>0</v>
      </c>
      <c r="N1393" s="29">
        <v>0</v>
      </c>
      <c r="O1393" s="29">
        <v>0</v>
      </c>
    </row>
    <row r="1394" spans="1:15" x14ac:dyDescent="0.3">
      <c r="A1394" s="28" t="s">
        <v>575</v>
      </c>
      <c r="B1394" s="28" t="s">
        <v>576</v>
      </c>
      <c r="C1394" s="28" t="s">
        <v>561</v>
      </c>
      <c r="D1394" s="28" t="s">
        <v>577</v>
      </c>
      <c r="E1394" s="28" t="s">
        <v>607</v>
      </c>
      <c r="F1394" s="28" t="s">
        <v>588</v>
      </c>
      <c r="G1394" s="29">
        <v>1353</v>
      </c>
      <c r="H1394" s="29">
        <v>2</v>
      </c>
      <c r="I1394" s="29">
        <v>1</v>
      </c>
      <c r="J1394" s="29">
        <v>1</v>
      </c>
      <c r="K1394" s="29">
        <v>0</v>
      </c>
      <c r="L1394" s="29">
        <v>0</v>
      </c>
      <c r="M1394" s="29">
        <v>0</v>
      </c>
      <c r="N1394" s="29">
        <v>0</v>
      </c>
      <c r="O1394" s="29">
        <v>0</v>
      </c>
    </row>
    <row r="1395" spans="1:15" x14ac:dyDescent="0.3">
      <c r="A1395" s="28" t="s">
        <v>575</v>
      </c>
      <c r="B1395" s="28" t="s">
        <v>576</v>
      </c>
      <c r="C1395" s="28" t="s">
        <v>561</v>
      </c>
      <c r="D1395" s="28" t="s">
        <v>577</v>
      </c>
      <c r="E1395" s="28" t="s">
        <v>607</v>
      </c>
      <c r="F1395" s="28" t="s">
        <v>589</v>
      </c>
      <c r="G1395" s="29">
        <v>1491</v>
      </c>
      <c r="H1395" s="29">
        <v>2</v>
      </c>
      <c r="I1395" s="29">
        <v>0</v>
      </c>
      <c r="J1395" s="29">
        <v>0</v>
      </c>
      <c r="K1395" s="29">
        <v>0</v>
      </c>
      <c r="L1395" s="29">
        <v>0</v>
      </c>
      <c r="M1395" s="29">
        <v>0</v>
      </c>
      <c r="N1395" s="29">
        <v>0</v>
      </c>
      <c r="O1395" s="29">
        <v>0</v>
      </c>
    </row>
    <row r="1396" spans="1:15" x14ac:dyDescent="0.3">
      <c r="A1396" s="28" t="s">
        <v>575</v>
      </c>
      <c r="B1396" s="28" t="s">
        <v>576</v>
      </c>
      <c r="C1396" s="28" t="s">
        <v>561</v>
      </c>
      <c r="D1396" s="28" t="s">
        <v>577</v>
      </c>
      <c r="E1396" s="28" t="s">
        <v>607</v>
      </c>
      <c r="F1396" s="28" t="s">
        <v>590</v>
      </c>
      <c r="G1396" s="29">
        <v>1357</v>
      </c>
      <c r="H1396" s="29">
        <v>2</v>
      </c>
      <c r="I1396" s="29">
        <v>0</v>
      </c>
      <c r="J1396" s="29">
        <v>0</v>
      </c>
      <c r="K1396" s="29">
        <v>0</v>
      </c>
      <c r="L1396" s="29">
        <v>0</v>
      </c>
      <c r="M1396" s="29">
        <v>0</v>
      </c>
      <c r="N1396" s="29">
        <v>0</v>
      </c>
      <c r="O1396" s="29">
        <v>0</v>
      </c>
    </row>
    <row r="1397" spans="1:15" x14ac:dyDescent="0.3">
      <c r="A1397" s="28" t="s">
        <v>575</v>
      </c>
      <c r="B1397" s="28" t="s">
        <v>576</v>
      </c>
      <c r="C1397" s="28" t="s">
        <v>561</v>
      </c>
      <c r="D1397" s="28" t="s">
        <v>577</v>
      </c>
      <c r="E1397" s="28" t="s">
        <v>607</v>
      </c>
      <c r="F1397" s="28" t="s">
        <v>591</v>
      </c>
      <c r="G1397" s="29">
        <v>1148</v>
      </c>
      <c r="H1397" s="29">
        <v>5</v>
      </c>
      <c r="I1397" s="29">
        <v>1</v>
      </c>
      <c r="J1397" s="29">
        <v>1</v>
      </c>
      <c r="K1397" s="29">
        <v>0</v>
      </c>
      <c r="L1397" s="29">
        <v>0</v>
      </c>
      <c r="M1397" s="29">
        <v>0</v>
      </c>
      <c r="N1397" s="29">
        <v>0</v>
      </c>
      <c r="O1397" s="29">
        <v>0</v>
      </c>
    </row>
    <row r="1398" spans="1:15" x14ac:dyDescent="0.3">
      <c r="A1398" s="28" t="s">
        <v>575</v>
      </c>
      <c r="B1398" s="28" t="s">
        <v>576</v>
      </c>
      <c r="C1398" s="28" t="s">
        <v>561</v>
      </c>
      <c r="D1398" s="28" t="s">
        <v>577</v>
      </c>
      <c r="E1398" s="28" t="s">
        <v>607</v>
      </c>
      <c r="F1398" s="28" t="s">
        <v>592</v>
      </c>
      <c r="G1398" s="29">
        <v>613</v>
      </c>
      <c r="H1398" s="29">
        <v>2</v>
      </c>
      <c r="I1398" s="29">
        <v>0</v>
      </c>
      <c r="J1398" s="29">
        <v>0</v>
      </c>
      <c r="K1398" s="29">
        <v>0</v>
      </c>
      <c r="L1398" s="29">
        <v>0</v>
      </c>
      <c r="M1398" s="29">
        <v>0</v>
      </c>
      <c r="N1398" s="29">
        <v>0</v>
      </c>
      <c r="O1398" s="29">
        <v>0</v>
      </c>
    </row>
    <row r="1399" spans="1:15" x14ac:dyDescent="0.3">
      <c r="A1399" s="28" t="s">
        <v>575</v>
      </c>
      <c r="B1399" s="28" t="s">
        <v>576</v>
      </c>
      <c r="C1399" s="28" t="s">
        <v>561</v>
      </c>
      <c r="D1399" s="28" t="s">
        <v>577</v>
      </c>
      <c r="E1399" s="28" t="s">
        <v>607</v>
      </c>
      <c r="F1399" s="28" t="s">
        <v>593</v>
      </c>
      <c r="G1399" s="29">
        <v>507</v>
      </c>
      <c r="H1399" s="29">
        <v>0</v>
      </c>
      <c r="I1399" s="29">
        <v>0</v>
      </c>
      <c r="J1399" s="29">
        <v>0</v>
      </c>
      <c r="K1399" s="29">
        <v>0</v>
      </c>
      <c r="L1399" s="29">
        <v>0</v>
      </c>
      <c r="M1399" s="29">
        <v>0</v>
      </c>
      <c r="N1399" s="29">
        <v>0</v>
      </c>
      <c r="O1399" s="29">
        <v>0</v>
      </c>
    </row>
    <row r="1400" spans="1:15" x14ac:dyDescent="0.3">
      <c r="A1400" s="28" t="s">
        <v>575</v>
      </c>
      <c r="B1400" s="28" t="s">
        <v>576</v>
      </c>
      <c r="C1400" s="28" t="s">
        <v>561</v>
      </c>
      <c r="D1400" s="28" t="s">
        <v>577</v>
      </c>
      <c r="E1400" s="28" t="s">
        <v>607</v>
      </c>
      <c r="F1400" s="28" t="s">
        <v>594</v>
      </c>
      <c r="G1400" s="29">
        <v>633</v>
      </c>
      <c r="H1400" s="29">
        <v>1</v>
      </c>
      <c r="I1400" s="29">
        <v>0</v>
      </c>
      <c r="J1400" s="29">
        <v>0</v>
      </c>
      <c r="K1400" s="29">
        <v>0</v>
      </c>
      <c r="L1400" s="29">
        <v>0</v>
      </c>
      <c r="M1400" s="29">
        <v>0</v>
      </c>
      <c r="N1400" s="29">
        <v>0</v>
      </c>
      <c r="O1400" s="29">
        <v>0</v>
      </c>
    </row>
    <row r="1401" spans="1:15" x14ac:dyDescent="0.3">
      <c r="A1401" s="28" t="s">
        <v>575</v>
      </c>
      <c r="B1401" s="28" t="s">
        <v>576</v>
      </c>
      <c r="C1401" s="28" t="s">
        <v>561</v>
      </c>
      <c r="D1401" s="28" t="s">
        <v>577</v>
      </c>
      <c r="E1401" s="28" t="s">
        <v>607</v>
      </c>
      <c r="F1401" s="28" t="s">
        <v>595</v>
      </c>
      <c r="G1401" s="29">
        <v>454</v>
      </c>
      <c r="H1401" s="29">
        <v>1</v>
      </c>
      <c r="I1401" s="29">
        <v>0</v>
      </c>
      <c r="J1401" s="29">
        <v>0</v>
      </c>
      <c r="K1401" s="29">
        <v>0</v>
      </c>
      <c r="L1401" s="29">
        <v>0</v>
      </c>
      <c r="M1401" s="29">
        <v>0</v>
      </c>
      <c r="N1401" s="29">
        <v>0</v>
      </c>
      <c r="O1401" s="29">
        <v>0</v>
      </c>
    </row>
    <row r="1402" spans="1:15" x14ac:dyDescent="0.3">
      <c r="A1402" s="28" t="s">
        <v>575</v>
      </c>
      <c r="B1402" s="28" t="s">
        <v>576</v>
      </c>
      <c r="C1402" s="28" t="s">
        <v>561</v>
      </c>
      <c r="D1402" s="28" t="s">
        <v>577</v>
      </c>
      <c r="E1402" s="28" t="s">
        <v>608</v>
      </c>
      <c r="F1402" s="28" t="s">
        <v>597</v>
      </c>
      <c r="G1402" s="29">
        <v>306</v>
      </c>
      <c r="H1402" s="29">
        <v>0</v>
      </c>
      <c r="I1402" s="29">
        <v>0</v>
      </c>
      <c r="J1402" s="29">
        <v>0</v>
      </c>
      <c r="K1402" s="29">
        <v>0</v>
      </c>
      <c r="L1402" s="29">
        <v>0</v>
      </c>
      <c r="M1402" s="29">
        <v>0</v>
      </c>
      <c r="N1402" s="29">
        <v>0</v>
      </c>
      <c r="O1402" s="29">
        <v>0</v>
      </c>
    </row>
    <row r="1403" spans="1:15" x14ac:dyDescent="0.3">
      <c r="A1403" s="28" t="s">
        <v>575</v>
      </c>
      <c r="B1403" s="28" t="s">
        <v>576</v>
      </c>
      <c r="C1403" s="28" t="s">
        <v>561</v>
      </c>
      <c r="D1403" s="28" t="s">
        <v>577</v>
      </c>
      <c r="E1403" s="28" t="s">
        <v>608</v>
      </c>
      <c r="F1403" s="28" t="s">
        <v>598</v>
      </c>
      <c r="G1403" s="29">
        <v>227</v>
      </c>
      <c r="H1403" s="29">
        <v>0</v>
      </c>
      <c r="I1403" s="29">
        <v>0</v>
      </c>
      <c r="J1403" s="29">
        <v>0</v>
      </c>
      <c r="K1403" s="29">
        <v>0</v>
      </c>
      <c r="L1403" s="29">
        <v>0</v>
      </c>
      <c r="M1403" s="29">
        <v>0</v>
      </c>
      <c r="N1403" s="29">
        <v>0</v>
      </c>
      <c r="O1403" s="29">
        <v>0</v>
      </c>
    </row>
    <row r="1404" spans="1:15" x14ac:dyDescent="0.3">
      <c r="A1404" s="28" t="s">
        <v>575</v>
      </c>
      <c r="B1404" s="28" t="s">
        <v>576</v>
      </c>
      <c r="C1404" s="28" t="s">
        <v>561</v>
      </c>
      <c r="D1404" s="28" t="s">
        <v>577</v>
      </c>
      <c r="E1404" s="28" t="s">
        <v>608</v>
      </c>
      <c r="F1404" s="28" t="s">
        <v>599</v>
      </c>
      <c r="G1404" s="29">
        <v>174</v>
      </c>
      <c r="H1404" s="29">
        <v>0</v>
      </c>
      <c r="I1404" s="29">
        <v>1</v>
      </c>
      <c r="J1404" s="29">
        <v>0</v>
      </c>
      <c r="K1404" s="29">
        <v>1</v>
      </c>
      <c r="L1404" s="29">
        <v>0</v>
      </c>
      <c r="M1404" s="29">
        <v>0</v>
      </c>
      <c r="N1404" s="29">
        <v>0</v>
      </c>
      <c r="O1404" s="29">
        <v>0</v>
      </c>
    </row>
    <row r="1405" spans="1:15" x14ac:dyDescent="0.3">
      <c r="A1405" s="28" t="s">
        <v>575</v>
      </c>
      <c r="B1405" s="28" t="s">
        <v>576</v>
      </c>
      <c r="C1405" s="28" t="s">
        <v>561</v>
      </c>
      <c r="D1405" s="28" t="s">
        <v>577</v>
      </c>
      <c r="E1405" s="28" t="s">
        <v>608</v>
      </c>
      <c r="F1405" s="28" t="s">
        <v>600</v>
      </c>
      <c r="G1405" s="29">
        <v>147</v>
      </c>
      <c r="H1405" s="29">
        <v>0</v>
      </c>
      <c r="I1405" s="29">
        <v>0</v>
      </c>
      <c r="J1405" s="29">
        <v>0</v>
      </c>
      <c r="K1405" s="29">
        <v>0</v>
      </c>
      <c r="L1405" s="29">
        <v>0</v>
      </c>
      <c r="M1405" s="29">
        <v>0</v>
      </c>
      <c r="N1405" s="29">
        <v>0</v>
      </c>
      <c r="O1405" s="29">
        <v>0</v>
      </c>
    </row>
    <row r="1406" spans="1:15" x14ac:dyDescent="0.3">
      <c r="A1406" s="28" t="s">
        <v>575</v>
      </c>
      <c r="B1406" s="28" t="s">
        <v>576</v>
      </c>
      <c r="C1406" s="28" t="s">
        <v>561</v>
      </c>
      <c r="D1406" s="28" t="s">
        <v>577</v>
      </c>
      <c r="E1406" s="28" t="s">
        <v>608</v>
      </c>
      <c r="F1406" s="28" t="s">
        <v>601</v>
      </c>
      <c r="G1406" s="29">
        <v>142</v>
      </c>
      <c r="H1406" s="29">
        <v>1</v>
      </c>
      <c r="I1406" s="29">
        <v>0</v>
      </c>
      <c r="J1406" s="29">
        <v>0</v>
      </c>
      <c r="K1406" s="29">
        <v>0</v>
      </c>
      <c r="L1406" s="29">
        <v>0</v>
      </c>
      <c r="M1406" s="29">
        <v>0</v>
      </c>
      <c r="N1406" s="29">
        <v>0</v>
      </c>
      <c r="O1406" s="29">
        <v>0</v>
      </c>
    </row>
    <row r="1407" spans="1:15" x14ac:dyDescent="0.3">
      <c r="A1407" s="28" t="s">
        <v>575</v>
      </c>
      <c r="B1407" s="28" t="s">
        <v>576</v>
      </c>
      <c r="C1407" s="28" t="s">
        <v>561</v>
      </c>
      <c r="D1407" s="28" t="s">
        <v>577</v>
      </c>
      <c r="E1407" s="28" t="s">
        <v>608</v>
      </c>
      <c r="F1407" s="28" t="s">
        <v>602</v>
      </c>
      <c r="G1407" s="29">
        <v>402</v>
      </c>
      <c r="H1407" s="29">
        <v>2</v>
      </c>
      <c r="I1407" s="29">
        <v>0</v>
      </c>
      <c r="J1407" s="29">
        <v>0</v>
      </c>
      <c r="K1407" s="29">
        <v>0</v>
      </c>
      <c r="L1407" s="29">
        <v>0</v>
      </c>
      <c r="M1407" s="29">
        <v>0</v>
      </c>
      <c r="N1407" s="29">
        <v>0</v>
      </c>
      <c r="O1407" s="29">
        <v>0</v>
      </c>
    </row>
    <row r="1408" spans="1:15" x14ac:dyDescent="0.3">
      <c r="A1408" s="28" t="s">
        <v>575</v>
      </c>
      <c r="B1408" s="28" t="s">
        <v>576</v>
      </c>
      <c r="C1408" s="28" t="s">
        <v>561</v>
      </c>
      <c r="D1408" s="28" t="s">
        <v>577</v>
      </c>
      <c r="E1408" s="28" t="s">
        <v>608</v>
      </c>
      <c r="F1408" s="28" t="s">
        <v>603</v>
      </c>
      <c r="G1408" s="29">
        <v>762</v>
      </c>
      <c r="H1408" s="29">
        <v>2</v>
      </c>
      <c r="I1408" s="29">
        <v>2</v>
      </c>
      <c r="J1408" s="29">
        <v>0</v>
      </c>
      <c r="K1408" s="29">
        <v>2</v>
      </c>
      <c r="L1408" s="29">
        <v>0</v>
      </c>
      <c r="M1408" s="29">
        <v>0</v>
      </c>
      <c r="N1408" s="29">
        <v>0</v>
      </c>
      <c r="O1408" s="29">
        <v>0</v>
      </c>
    </row>
    <row r="1409" spans="1:15" x14ac:dyDescent="0.3">
      <c r="A1409" s="28" t="s">
        <v>575</v>
      </c>
      <c r="B1409" s="28" t="s">
        <v>576</v>
      </c>
      <c r="C1409" s="28" t="s">
        <v>561</v>
      </c>
      <c r="D1409" s="28" t="s">
        <v>577</v>
      </c>
      <c r="E1409" s="28" t="s">
        <v>608</v>
      </c>
      <c r="F1409" s="28" t="s">
        <v>604</v>
      </c>
      <c r="G1409" s="29">
        <v>1028</v>
      </c>
      <c r="H1409" s="29">
        <v>2</v>
      </c>
      <c r="I1409" s="29">
        <v>0</v>
      </c>
      <c r="J1409" s="29">
        <v>0</v>
      </c>
      <c r="K1409" s="29">
        <v>0</v>
      </c>
      <c r="L1409" s="29">
        <v>0</v>
      </c>
      <c r="M1409" s="29">
        <v>0</v>
      </c>
      <c r="N1409" s="29">
        <v>0</v>
      </c>
      <c r="O1409" s="29">
        <v>0</v>
      </c>
    </row>
    <row r="1410" spans="1:15" x14ac:dyDescent="0.3">
      <c r="A1410" s="28" t="s">
        <v>575</v>
      </c>
      <c r="B1410" s="28" t="s">
        <v>576</v>
      </c>
      <c r="C1410" s="28" t="s">
        <v>561</v>
      </c>
      <c r="D1410" s="28" t="s">
        <v>577</v>
      </c>
      <c r="E1410" s="28" t="s">
        <v>608</v>
      </c>
      <c r="F1410" s="28" t="s">
        <v>581</v>
      </c>
      <c r="G1410" s="29">
        <v>1009</v>
      </c>
      <c r="H1410" s="29">
        <v>6</v>
      </c>
      <c r="I1410" s="29">
        <v>4</v>
      </c>
      <c r="J1410" s="29">
        <v>4</v>
      </c>
      <c r="K1410" s="29">
        <v>0</v>
      </c>
      <c r="L1410" s="29">
        <v>100</v>
      </c>
      <c r="M1410" s="29">
        <v>100</v>
      </c>
      <c r="N1410" s="29">
        <v>0</v>
      </c>
      <c r="O1410" s="29">
        <v>0</v>
      </c>
    </row>
    <row r="1411" spans="1:15" x14ac:dyDescent="0.3">
      <c r="A1411" s="28" t="s">
        <v>575</v>
      </c>
      <c r="B1411" s="28" t="s">
        <v>576</v>
      </c>
      <c r="C1411" s="28" t="s">
        <v>561</v>
      </c>
      <c r="D1411" s="28" t="s">
        <v>577</v>
      </c>
      <c r="E1411" s="28" t="s">
        <v>608</v>
      </c>
      <c r="F1411" s="28" t="s">
        <v>582</v>
      </c>
      <c r="G1411" s="29">
        <v>1371</v>
      </c>
      <c r="H1411" s="29">
        <v>4</v>
      </c>
      <c r="I1411" s="29">
        <v>0</v>
      </c>
      <c r="J1411" s="29">
        <v>0</v>
      </c>
      <c r="K1411" s="29">
        <v>0</v>
      </c>
      <c r="L1411" s="29">
        <v>0</v>
      </c>
      <c r="M1411" s="29">
        <v>0</v>
      </c>
      <c r="N1411" s="29">
        <v>0</v>
      </c>
      <c r="O1411" s="29">
        <v>0</v>
      </c>
    </row>
    <row r="1412" spans="1:15" x14ac:dyDescent="0.3">
      <c r="A1412" s="28" t="s">
        <v>575</v>
      </c>
      <c r="B1412" s="28" t="s">
        <v>576</v>
      </c>
      <c r="C1412" s="28" t="s">
        <v>561</v>
      </c>
      <c r="D1412" s="28" t="s">
        <v>577</v>
      </c>
      <c r="E1412" s="28" t="s">
        <v>608</v>
      </c>
      <c r="F1412" s="28" t="s">
        <v>583</v>
      </c>
      <c r="G1412" s="29">
        <v>1223</v>
      </c>
      <c r="H1412" s="29">
        <v>2</v>
      </c>
      <c r="I1412" s="29">
        <v>0</v>
      </c>
      <c r="J1412" s="29">
        <v>0</v>
      </c>
      <c r="K1412" s="29">
        <v>0</v>
      </c>
      <c r="L1412" s="29">
        <v>0</v>
      </c>
      <c r="M1412" s="29">
        <v>0</v>
      </c>
      <c r="N1412" s="29">
        <v>0</v>
      </c>
      <c r="O1412" s="29">
        <v>0</v>
      </c>
    </row>
    <row r="1413" spans="1:15" x14ac:dyDescent="0.3">
      <c r="A1413" s="28" t="s">
        <v>575</v>
      </c>
      <c r="B1413" s="28" t="s">
        <v>576</v>
      </c>
      <c r="C1413" s="28" t="s">
        <v>561</v>
      </c>
      <c r="D1413" s="28" t="s">
        <v>577</v>
      </c>
      <c r="E1413" s="28" t="s">
        <v>608</v>
      </c>
      <c r="F1413" s="28" t="s">
        <v>584</v>
      </c>
      <c r="G1413" s="29">
        <v>876</v>
      </c>
      <c r="H1413" s="29">
        <v>3</v>
      </c>
      <c r="I1413" s="29">
        <v>0</v>
      </c>
      <c r="J1413" s="29">
        <v>0</v>
      </c>
      <c r="K1413" s="29">
        <v>0</v>
      </c>
      <c r="L1413" s="29">
        <v>0</v>
      </c>
      <c r="M1413" s="29">
        <v>0</v>
      </c>
      <c r="N1413" s="29">
        <v>0</v>
      </c>
      <c r="O1413" s="29">
        <v>0</v>
      </c>
    </row>
    <row r="1414" spans="1:15" x14ac:dyDescent="0.3">
      <c r="A1414" s="28" t="s">
        <v>575</v>
      </c>
      <c r="B1414" s="28" t="s">
        <v>576</v>
      </c>
      <c r="C1414" s="28" t="s">
        <v>561</v>
      </c>
      <c r="D1414" s="28" t="s">
        <v>577</v>
      </c>
      <c r="E1414" s="28" t="s">
        <v>608</v>
      </c>
      <c r="F1414" s="28" t="s">
        <v>585</v>
      </c>
      <c r="G1414" s="29">
        <v>607</v>
      </c>
      <c r="H1414" s="29">
        <v>0</v>
      </c>
      <c r="I1414" s="29">
        <v>5</v>
      </c>
      <c r="J1414" s="29">
        <v>0</v>
      </c>
      <c r="K1414" s="29">
        <v>5</v>
      </c>
      <c r="L1414" s="29">
        <v>1000</v>
      </c>
      <c r="M1414" s="29">
        <v>0</v>
      </c>
      <c r="N1414" s="29">
        <v>1000</v>
      </c>
      <c r="O1414" s="29">
        <v>0</v>
      </c>
    </row>
    <row r="1415" spans="1:15" x14ac:dyDescent="0.3">
      <c r="A1415" s="28" t="s">
        <v>575</v>
      </c>
      <c r="B1415" s="28" t="s">
        <v>576</v>
      </c>
      <c r="C1415" s="28" t="s">
        <v>561</v>
      </c>
      <c r="D1415" s="28" t="s">
        <v>577</v>
      </c>
      <c r="E1415" s="28" t="s">
        <v>608</v>
      </c>
      <c r="F1415" s="28" t="s">
        <v>586</v>
      </c>
      <c r="G1415" s="29">
        <v>380</v>
      </c>
      <c r="H1415" s="29">
        <v>1</v>
      </c>
      <c r="I1415" s="29">
        <v>0</v>
      </c>
      <c r="J1415" s="29">
        <v>0</v>
      </c>
      <c r="K1415" s="29">
        <v>0</v>
      </c>
      <c r="L1415" s="29">
        <v>0</v>
      </c>
      <c r="M1415" s="29">
        <v>0</v>
      </c>
      <c r="N1415" s="29">
        <v>0</v>
      </c>
      <c r="O1415" s="29">
        <v>0</v>
      </c>
    </row>
    <row r="1416" spans="1:15" x14ac:dyDescent="0.3">
      <c r="A1416" s="28" t="s">
        <v>575</v>
      </c>
      <c r="B1416" s="28" t="s">
        <v>576</v>
      </c>
      <c r="C1416" s="28" t="s">
        <v>561</v>
      </c>
      <c r="D1416" s="28" t="s">
        <v>577</v>
      </c>
      <c r="E1416" s="28" t="s">
        <v>608</v>
      </c>
      <c r="F1416" s="28" t="s">
        <v>587</v>
      </c>
      <c r="G1416" s="29">
        <v>648</v>
      </c>
      <c r="H1416" s="29">
        <v>2</v>
      </c>
      <c r="I1416" s="29">
        <v>0</v>
      </c>
      <c r="J1416" s="29">
        <v>0</v>
      </c>
      <c r="K1416" s="29">
        <v>0</v>
      </c>
      <c r="L1416" s="29">
        <v>0</v>
      </c>
      <c r="M1416" s="29">
        <v>0</v>
      </c>
      <c r="N1416" s="29">
        <v>0</v>
      </c>
      <c r="O1416" s="29">
        <v>0</v>
      </c>
    </row>
    <row r="1417" spans="1:15" x14ac:dyDescent="0.3">
      <c r="A1417" s="28" t="s">
        <v>575</v>
      </c>
      <c r="B1417" s="28" t="s">
        <v>576</v>
      </c>
      <c r="C1417" s="28" t="s">
        <v>561</v>
      </c>
      <c r="D1417" s="28" t="s">
        <v>577</v>
      </c>
      <c r="E1417" s="28" t="s">
        <v>608</v>
      </c>
      <c r="F1417" s="28" t="s">
        <v>579</v>
      </c>
      <c r="G1417" s="29">
        <v>919</v>
      </c>
      <c r="H1417" s="29">
        <v>4</v>
      </c>
      <c r="I1417" s="29">
        <v>3</v>
      </c>
      <c r="J1417" s="29">
        <v>3</v>
      </c>
      <c r="K1417" s="29">
        <v>0</v>
      </c>
      <c r="L1417" s="29">
        <v>0</v>
      </c>
      <c r="M1417" s="29">
        <v>0</v>
      </c>
      <c r="N1417" s="29">
        <v>0</v>
      </c>
      <c r="O1417" s="29">
        <v>0</v>
      </c>
    </row>
    <row r="1418" spans="1:15" x14ac:dyDescent="0.3">
      <c r="A1418" s="28" t="s">
        <v>575</v>
      </c>
      <c r="B1418" s="28" t="s">
        <v>576</v>
      </c>
      <c r="C1418" s="28" t="s">
        <v>561</v>
      </c>
      <c r="D1418" s="28" t="s">
        <v>577</v>
      </c>
      <c r="E1418" s="28" t="s">
        <v>608</v>
      </c>
      <c r="F1418" s="28" t="s">
        <v>588</v>
      </c>
      <c r="G1418" s="29">
        <v>1176</v>
      </c>
      <c r="H1418" s="29">
        <v>3</v>
      </c>
      <c r="I1418" s="29">
        <v>0</v>
      </c>
      <c r="J1418" s="29">
        <v>0</v>
      </c>
      <c r="K1418" s="29">
        <v>0</v>
      </c>
      <c r="L1418" s="29">
        <v>0</v>
      </c>
      <c r="M1418" s="29">
        <v>0</v>
      </c>
      <c r="N1418" s="29">
        <v>0</v>
      </c>
      <c r="O1418" s="29">
        <v>0</v>
      </c>
    </row>
    <row r="1419" spans="1:15" x14ac:dyDescent="0.3">
      <c r="A1419" s="28" t="s">
        <v>575</v>
      </c>
      <c r="B1419" s="28" t="s">
        <v>576</v>
      </c>
      <c r="C1419" s="28" t="s">
        <v>561</v>
      </c>
      <c r="D1419" s="28" t="s">
        <v>577</v>
      </c>
      <c r="E1419" s="28" t="s">
        <v>608</v>
      </c>
      <c r="F1419" s="28" t="s">
        <v>589</v>
      </c>
      <c r="G1419" s="29">
        <v>1403</v>
      </c>
      <c r="H1419" s="29">
        <v>2</v>
      </c>
      <c r="I1419" s="29">
        <v>4</v>
      </c>
      <c r="J1419" s="29">
        <v>1</v>
      </c>
      <c r="K1419" s="29">
        <v>3</v>
      </c>
      <c r="L1419" s="29">
        <v>1000</v>
      </c>
      <c r="M1419" s="29">
        <v>0</v>
      </c>
      <c r="N1419" s="29">
        <v>1000</v>
      </c>
      <c r="O1419" s="29">
        <v>0</v>
      </c>
    </row>
    <row r="1420" spans="1:15" x14ac:dyDescent="0.3">
      <c r="A1420" s="28" t="s">
        <v>575</v>
      </c>
      <c r="B1420" s="28" t="s">
        <v>576</v>
      </c>
      <c r="C1420" s="28" t="s">
        <v>561</v>
      </c>
      <c r="D1420" s="28" t="s">
        <v>577</v>
      </c>
      <c r="E1420" s="28" t="s">
        <v>608</v>
      </c>
      <c r="F1420" s="28" t="s">
        <v>590</v>
      </c>
      <c r="G1420" s="29">
        <v>1057</v>
      </c>
      <c r="H1420" s="29">
        <v>2</v>
      </c>
      <c r="I1420" s="29">
        <v>1</v>
      </c>
      <c r="J1420" s="29">
        <v>0</v>
      </c>
      <c r="K1420" s="29">
        <v>1</v>
      </c>
      <c r="L1420" s="29">
        <v>0</v>
      </c>
      <c r="M1420" s="29">
        <v>0</v>
      </c>
      <c r="N1420" s="29">
        <v>0</v>
      </c>
      <c r="O1420" s="29">
        <v>0</v>
      </c>
    </row>
    <row r="1421" spans="1:15" x14ac:dyDescent="0.3">
      <c r="A1421" s="28" t="s">
        <v>575</v>
      </c>
      <c r="B1421" s="28" t="s">
        <v>576</v>
      </c>
      <c r="C1421" s="28" t="s">
        <v>561</v>
      </c>
      <c r="D1421" s="28" t="s">
        <v>577</v>
      </c>
      <c r="E1421" s="28" t="s">
        <v>608</v>
      </c>
      <c r="F1421" s="28" t="s">
        <v>591</v>
      </c>
      <c r="G1421" s="29">
        <v>803</v>
      </c>
      <c r="H1421" s="29">
        <v>4</v>
      </c>
      <c r="I1421" s="29">
        <v>1</v>
      </c>
      <c r="J1421" s="29">
        <v>1</v>
      </c>
      <c r="K1421" s="29">
        <v>0</v>
      </c>
      <c r="L1421" s="29">
        <v>0</v>
      </c>
      <c r="M1421" s="29">
        <v>0</v>
      </c>
      <c r="N1421" s="29">
        <v>0</v>
      </c>
      <c r="O1421" s="29">
        <v>0</v>
      </c>
    </row>
    <row r="1422" spans="1:15" x14ac:dyDescent="0.3">
      <c r="A1422" s="28" t="s">
        <v>575</v>
      </c>
      <c r="B1422" s="28" t="s">
        <v>576</v>
      </c>
      <c r="C1422" s="28" t="s">
        <v>561</v>
      </c>
      <c r="D1422" s="28" t="s">
        <v>577</v>
      </c>
      <c r="E1422" s="28" t="s">
        <v>608</v>
      </c>
      <c r="F1422" s="28" t="s">
        <v>592</v>
      </c>
      <c r="G1422" s="29">
        <v>1118</v>
      </c>
      <c r="H1422" s="29">
        <v>2</v>
      </c>
      <c r="I1422" s="29">
        <v>2</v>
      </c>
      <c r="J1422" s="29">
        <v>1</v>
      </c>
      <c r="K1422" s="29">
        <v>1</v>
      </c>
      <c r="L1422" s="29">
        <v>0</v>
      </c>
      <c r="M1422" s="29">
        <v>0</v>
      </c>
      <c r="N1422" s="29">
        <v>0</v>
      </c>
      <c r="O1422" s="29">
        <v>0</v>
      </c>
    </row>
    <row r="1423" spans="1:15" x14ac:dyDescent="0.3">
      <c r="A1423" s="28" t="s">
        <v>575</v>
      </c>
      <c r="B1423" s="28" t="s">
        <v>576</v>
      </c>
      <c r="C1423" s="28" t="s">
        <v>561</v>
      </c>
      <c r="D1423" s="28" t="s">
        <v>577</v>
      </c>
      <c r="E1423" s="28" t="s">
        <v>608</v>
      </c>
      <c r="F1423" s="28" t="s">
        <v>593</v>
      </c>
      <c r="G1423" s="29">
        <v>598</v>
      </c>
      <c r="H1423" s="29">
        <v>0</v>
      </c>
      <c r="I1423" s="29">
        <v>2</v>
      </c>
      <c r="J1423" s="29">
        <v>2</v>
      </c>
      <c r="K1423" s="29">
        <v>0</v>
      </c>
      <c r="L1423" s="29">
        <v>0</v>
      </c>
      <c r="M1423" s="29">
        <v>0</v>
      </c>
      <c r="N1423" s="29">
        <v>0</v>
      </c>
      <c r="O1423" s="29">
        <v>0</v>
      </c>
    </row>
    <row r="1424" spans="1:15" x14ac:dyDescent="0.3">
      <c r="A1424" s="28" t="s">
        <v>575</v>
      </c>
      <c r="B1424" s="28" t="s">
        <v>576</v>
      </c>
      <c r="C1424" s="28" t="s">
        <v>561</v>
      </c>
      <c r="D1424" s="28" t="s">
        <v>577</v>
      </c>
      <c r="E1424" s="28" t="s">
        <v>608</v>
      </c>
      <c r="F1424" s="28" t="s">
        <v>594</v>
      </c>
      <c r="G1424" s="29">
        <v>1022</v>
      </c>
      <c r="H1424" s="29">
        <v>2</v>
      </c>
      <c r="I1424" s="29">
        <v>0</v>
      </c>
      <c r="J1424" s="29">
        <v>0</v>
      </c>
      <c r="K1424" s="29">
        <v>0</v>
      </c>
      <c r="L1424" s="29">
        <v>0</v>
      </c>
      <c r="M1424" s="29">
        <v>0</v>
      </c>
      <c r="N1424" s="29">
        <v>0</v>
      </c>
      <c r="O1424" s="29">
        <v>0</v>
      </c>
    </row>
    <row r="1425" spans="1:15" x14ac:dyDescent="0.3">
      <c r="A1425" s="28" t="s">
        <v>575</v>
      </c>
      <c r="B1425" s="28" t="s">
        <v>576</v>
      </c>
      <c r="C1425" s="28" t="s">
        <v>561</v>
      </c>
      <c r="D1425" s="28" t="s">
        <v>577</v>
      </c>
      <c r="E1425" s="28" t="s">
        <v>608</v>
      </c>
      <c r="F1425" s="28" t="s">
        <v>595</v>
      </c>
      <c r="G1425" s="29">
        <v>634</v>
      </c>
      <c r="H1425" s="29">
        <v>3</v>
      </c>
      <c r="I1425" s="29">
        <v>0</v>
      </c>
      <c r="J1425" s="29">
        <v>0</v>
      </c>
      <c r="K1425" s="29">
        <v>0</v>
      </c>
      <c r="L1425" s="29">
        <v>0</v>
      </c>
      <c r="M1425" s="29">
        <v>0</v>
      </c>
      <c r="N1425" s="29">
        <v>0</v>
      </c>
      <c r="O1425" s="29">
        <v>0</v>
      </c>
    </row>
    <row r="1426" spans="1:15" x14ac:dyDescent="0.3">
      <c r="A1426" s="28" t="s">
        <v>575</v>
      </c>
      <c r="B1426" s="28" t="s">
        <v>576</v>
      </c>
      <c r="C1426" s="28" t="s">
        <v>561</v>
      </c>
      <c r="D1426" s="28" t="s">
        <v>577</v>
      </c>
      <c r="E1426" s="28" t="s">
        <v>609</v>
      </c>
      <c r="F1426" s="28" t="s">
        <v>597</v>
      </c>
      <c r="G1426" s="29">
        <v>303</v>
      </c>
      <c r="H1426" s="29">
        <v>1</v>
      </c>
      <c r="I1426" s="29">
        <v>1</v>
      </c>
      <c r="J1426" s="29">
        <v>0</v>
      </c>
      <c r="K1426" s="29">
        <v>1</v>
      </c>
      <c r="L1426" s="29">
        <v>0</v>
      </c>
      <c r="M1426" s="29">
        <v>0</v>
      </c>
      <c r="N1426" s="29">
        <v>0</v>
      </c>
      <c r="O1426" s="29">
        <v>0</v>
      </c>
    </row>
    <row r="1427" spans="1:15" x14ac:dyDescent="0.3">
      <c r="A1427" s="28" t="s">
        <v>575</v>
      </c>
      <c r="B1427" s="28" t="s">
        <v>576</v>
      </c>
      <c r="C1427" s="28" t="s">
        <v>561</v>
      </c>
      <c r="D1427" s="28" t="s">
        <v>577</v>
      </c>
      <c r="E1427" s="28" t="s">
        <v>609</v>
      </c>
      <c r="F1427" s="28" t="s">
        <v>598</v>
      </c>
      <c r="G1427" s="29">
        <v>108</v>
      </c>
      <c r="H1427" s="29">
        <v>0</v>
      </c>
      <c r="I1427" s="29">
        <v>0</v>
      </c>
      <c r="J1427" s="29">
        <v>0</v>
      </c>
      <c r="K1427" s="29">
        <v>0</v>
      </c>
      <c r="L1427" s="29">
        <v>0</v>
      </c>
      <c r="M1427" s="29">
        <v>0</v>
      </c>
      <c r="N1427" s="29">
        <v>0</v>
      </c>
      <c r="O1427" s="29">
        <v>0</v>
      </c>
    </row>
    <row r="1428" spans="1:15" x14ac:dyDescent="0.3">
      <c r="A1428" s="28" t="s">
        <v>575</v>
      </c>
      <c r="B1428" s="28" t="s">
        <v>576</v>
      </c>
      <c r="C1428" s="28" t="s">
        <v>561</v>
      </c>
      <c r="D1428" s="28" t="s">
        <v>577</v>
      </c>
      <c r="E1428" s="28" t="s">
        <v>609</v>
      </c>
      <c r="F1428" s="28" t="s">
        <v>599</v>
      </c>
      <c r="G1428" s="29">
        <v>47</v>
      </c>
      <c r="H1428" s="29">
        <v>0</v>
      </c>
      <c r="I1428" s="29">
        <v>0</v>
      </c>
      <c r="J1428" s="29">
        <v>0</v>
      </c>
      <c r="K1428" s="29">
        <v>0</v>
      </c>
      <c r="L1428" s="29">
        <v>0</v>
      </c>
      <c r="M1428" s="29">
        <v>0</v>
      </c>
      <c r="N1428" s="29">
        <v>0</v>
      </c>
      <c r="O1428" s="29">
        <v>0</v>
      </c>
    </row>
    <row r="1429" spans="1:15" x14ac:dyDescent="0.3">
      <c r="A1429" s="28" t="s">
        <v>575</v>
      </c>
      <c r="B1429" s="28" t="s">
        <v>576</v>
      </c>
      <c r="C1429" s="28" t="s">
        <v>561</v>
      </c>
      <c r="D1429" s="28" t="s">
        <v>577</v>
      </c>
      <c r="E1429" s="28" t="s">
        <v>609</v>
      </c>
      <c r="F1429" s="28" t="s">
        <v>600</v>
      </c>
      <c r="G1429" s="29">
        <v>27</v>
      </c>
      <c r="H1429" s="29">
        <v>0</v>
      </c>
      <c r="I1429" s="29">
        <v>0</v>
      </c>
      <c r="J1429" s="29">
        <v>0</v>
      </c>
      <c r="K1429" s="29">
        <v>0</v>
      </c>
      <c r="L1429" s="29">
        <v>0</v>
      </c>
      <c r="M1429" s="29">
        <v>0</v>
      </c>
      <c r="N1429" s="29">
        <v>0</v>
      </c>
      <c r="O1429" s="29">
        <v>0</v>
      </c>
    </row>
    <row r="1430" spans="1:15" x14ac:dyDescent="0.3">
      <c r="A1430" s="28" t="s">
        <v>575</v>
      </c>
      <c r="B1430" s="28" t="s">
        <v>576</v>
      </c>
      <c r="C1430" s="28" t="s">
        <v>561</v>
      </c>
      <c r="D1430" s="28" t="s">
        <v>577</v>
      </c>
      <c r="E1430" s="28" t="s">
        <v>609</v>
      </c>
      <c r="F1430" s="28" t="s">
        <v>601</v>
      </c>
      <c r="G1430" s="29">
        <v>29</v>
      </c>
      <c r="H1430" s="29">
        <v>0</v>
      </c>
      <c r="I1430" s="29">
        <v>0</v>
      </c>
      <c r="J1430" s="29">
        <v>0</v>
      </c>
      <c r="K1430" s="29">
        <v>0</v>
      </c>
      <c r="L1430" s="29">
        <v>0</v>
      </c>
      <c r="M1430" s="29">
        <v>0</v>
      </c>
      <c r="N1430" s="29">
        <v>0</v>
      </c>
      <c r="O1430" s="29">
        <v>0</v>
      </c>
    </row>
    <row r="1431" spans="1:15" x14ac:dyDescent="0.3">
      <c r="A1431" s="28" t="s">
        <v>575</v>
      </c>
      <c r="B1431" s="28" t="s">
        <v>576</v>
      </c>
      <c r="C1431" s="28" t="s">
        <v>561</v>
      </c>
      <c r="D1431" s="28" t="s">
        <v>577</v>
      </c>
      <c r="E1431" s="28" t="s">
        <v>609</v>
      </c>
      <c r="F1431" s="28" t="s">
        <v>602</v>
      </c>
      <c r="G1431" s="29">
        <v>99</v>
      </c>
      <c r="H1431" s="29">
        <v>0</v>
      </c>
      <c r="I1431" s="29">
        <v>2</v>
      </c>
      <c r="J1431" s="29">
        <v>2</v>
      </c>
      <c r="K1431" s="29">
        <v>0</v>
      </c>
      <c r="L1431" s="29">
        <v>0</v>
      </c>
      <c r="M1431" s="29">
        <v>0</v>
      </c>
      <c r="N1431" s="29">
        <v>0</v>
      </c>
      <c r="O1431" s="29">
        <v>0</v>
      </c>
    </row>
    <row r="1432" spans="1:15" x14ac:dyDescent="0.3">
      <c r="A1432" s="28" t="s">
        <v>575</v>
      </c>
      <c r="B1432" s="28" t="s">
        <v>576</v>
      </c>
      <c r="C1432" s="28" t="s">
        <v>561</v>
      </c>
      <c r="D1432" s="28" t="s">
        <v>577</v>
      </c>
      <c r="E1432" s="28" t="s">
        <v>609</v>
      </c>
      <c r="F1432" s="28" t="s">
        <v>603</v>
      </c>
      <c r="G1432" s="29">
        <v>411</v>
      </c>
      <c r="H1432" s="29">
        <v>0</v>
      </c>
      <c r="I1432" s="29">
        <v>0</v>
      </c>
      <c r="J1432" s="29">
        <v>0</v>
      </c>
      <c r="K1432" s="29">
        <v>0</v>
      </c>
      <c r="L1432" s="29">
        <v>0</v>
      </c>
      <c r="M1432" s="29">
        <v>0</v>
      </c>
      <c r="N1432" s="29">
        <v>0</v>
      </c>
      <c r="O1432" s="29">
        <v>0</v>
      </c>
    </row>
    <row r="1433" spans="1:15" x14ac:dyDescent="0.3">
      <c r="A1433" s="28" t="s">
        <v>575</v>
      </c>
      <c r="B1433" s="28" t="s">
        <v>576</v>
      </c>
      <c r="C1433" s="28" t="s">
        <v>561</v>
      </c>
      <c r="D1433" s="28" t="s">
        <v>577</v>
      </c>
      <c r="E1433" s="28" t="s">
        <v>609</v>
      </c>
      <c r="F1433" s="28" t="s">
        <v>604</v>
      </c>
      <c r="G1433" s="29">
        <v>1017</v>
      </c>
      <c r="H1433" s="29">
        <v>2</v>
      </c>
      <c r="I1433" s="29">
        <v>2</v>
      </c>
      <c r="J1433" s="29">
        <v>0</v>
      </c>
      <c r="K1433" s="29">
        <v>2</v>
      </c>
      <c r="L1433" s="29">
        <v>0</v>
      </c>
      <c r="M1433" s="29">
        <v>0</v>
      </c>
      <c r="N1433" s="29">
        <v>0</v>
      </c>
      <c r="O1433" s="29">
        <v>0</v>
      </c>
    </row>
    <row r="1434" spans="1:15" x14ac:dyDescent="0.3">
      <c r="A1434" s="28" t="s">
        <v>575</v>
      </c>
      <c r="B1434" s="28" t="s">
        <v>576</v>
      </c>
      <c r="C1434" s="28" t="s">
        <v>561</v>
      </c>
      <c r="D1434" s="28" t="s">
        <v>577</v>
      </c>
      <c r="E1434" s="28" t="s">
        <v>609</v>
      </c>
      <c r="F1434" s="28" t="s">
        <v>581</v>
      </c>
      <c r="G1434" s="29">
        <v>1524</v>
      </c>
      <c r="H1434" s="29">
        <v>1</v>
      </c>
      <c r="I1434" s="29">
        <v>0</v>
      </c>
      <c r="J1434" s="29">
        <v>0</v>
      </c>
      <c r="K1434" s="29">
        <v>0</v>
      </c>
      <c r="L1434" s="29">
        <v>0</v>
      </c>
      <c r="M1434" s="29">
        <v>0</v>
      </c>
      <c r="N1434" s="29">
        <v>0</v>
      </c>
      <c r="O1434" s="29">
        <v>0</v>
      </c>
    </row>
    <row r="1435" spans="1:15" x14ac:dyDescent="0.3">
      <c r="A1435" s="28" t="s">
        <v>575</v>
      </c>
      <c r="B1435" s="28" t="s">
        <v>576</v>
      </c>
      <c r="C1435" s="28" t="s">
        <v>561</v>
      </c>
      <c r="D1435" s="28" t="s">
        <v>577</v>
      </c>
      <c r="E1435" s="28" t="s">
        <v>609</v>
      </c>
      <c r="F1435" s="28" t="s">
        <v>582</v>
      </c>
      <c r="G1435" s="29">
        <v>1733</v>
      </c>
      <c r="H1435" s="29">
        <v>3</v>
      </c>
      <c r="I1435" s="29">
        <v>2</v>
      </c>
      <c r="J1435" s="29">
        <v>2</v>
      </c>
      <c r="K1435" s="29">
        <v>0</v>
      </c>
      <c r="L1435" s="29">
        <v>0</v>
      </c>
      <c r="M1435" s="29">
        <v>0</v>
      </c>
      <c r="N1435" s="29">
        <v>0</v>
      </c>
      <c r="O1435" s="29">
        <v>0</v>
      </c>
    </row>
    <row r="1436" spans="1:15" x14ac:dyDescent="0.3">
      <c r="A1436" s="28" t="s">
        <v>575</v>
      </c>
      <c r="B1436" s="28" t="s">
        <v>576</v>
      </c>
      <c r="C1436" s="28" t="s">
        <v>561</v>
      </c>
      <c r="D1436" s="28" t="s">
        <v>577</v>
      </c>
      <c r="E1436" s="28" t="s">
        <v>609</v>
      </c>
      <c r="F1436" s="28" t="s">
        <v>583</v>
      </c>
      <c r="G1436" s="29">
        <v>1459</v>
      </c>
      <c r="H1436" s="29">
        <v>1</v>
      </c>
      <c r="I1436" s="29">
        <v>2</v>
      </c>
      <c r="J1436" s="29">
        <v>0</v>
      </c>
      <c r="K1436" s="29">
        <v>2</v>
      </c>
      <c r="L1436" s="29">
        <v>0</v>
      </c>
      <c r="M1436" s="29">
        <v>0</v>
      </c>
      <c r="N1436" s="29">
        <v>0</v>
      </c>
      <c r="O1436" s="29">
        <v>0</v>
      </c>
    </row>
    <row r="1437" spans="1:15" x14ac:dyDescent="0.3">
      <c r="A1437" s="28" t="s">
        <v>575</v>
      </c>
      <c r="B1437" s="28" t="s">
        <v>576</v>
      </c>
      <c r="C1437" s="28" t="s">
        <v>561</v>
      </c>
      <c r="D1437" s="28" t="s">
        <v>577</v>
      </c>
      <c r="E1437" s="28" t="s">
        <v>609</v>
      </c>
      <c r="F1437" s="28" t="s">
        <v>584</v>
      </c>
      <c r="G1437" s="29">
        <v>1231</v>
      </c>
      <c r="H1437" s="29">
        <v>0</v>
      </c>
      <c r="I1437" s="29">
        <v>0</v>
      </c>
      <c r="J1437" s="29">
        <v>0</v>
      </c>
      <c r="K1437" s="29">
        <v>0</v>
      </c>
      <c r="L1437" s="29">
        <v>0</v>
      </c>
      <c r="M1437" s="29">
        <v>0</v>
      </c>
      <c r="N1437" s="29">
        <v>0</v>
      </c>
      <c r="O1437" s="29">
        <v>0</v>
      </c>
    </row>
    <row r="1438" spans="1:15" x14ac:dyDescent="0.3">
      <c r="A1438" s="28" t="s">
        <v>575</v>
      </c>
      <c r="B1438" s="28" t="s">
        <v>576</v>
      </c>
      <c r="C1438" s="28" t="s">
        <v>561</v>
      </c>
      <c r="D1438" s="28" t="s">
        <v>577</v>
      </c>
      <c r="E1438" s="28" t="s">
        <v>609</v>
      </c>
      <c r="F1438" s="28" t="s">
        <v>585</v>
      </c>
      <c r="G1438" s="29">
        <v>787</v>
      </c>
      <c r="H1438" s="29">
        <v>1</v>
      </c>
      <c r="I1438" s="29">
        <v>3</v>
      </c>
      <c r="J1438" s="29">
        <v>0</v>
      </c>
      <c r="K1438" s="29">
        <v>3</v>
      </c>
      <c r="L1438" s="29">
        <v>0</v>
      </c>
      <c r="M1438" s="29">
        <v>0</v>
      </c>
      <c r="N1438" s="29">
        <v>0</v>
      </c>
      <c r="O1438" s="29">
        <v>0</v>
      </c>
    </row>
    <row r="1439" spans="1:15" x14ac:dyDescent="0.3">
      <c r="A1439" s="28" t="s">
        <v>575</v>
      </c>
      <c r="B1439" s="28" t="s">
        <v>576</v>
      </c>
      <c r="C1439" s="28" t="s">
        <v>561</v>
      </c>
      <c r="D1439" s="28" t="s">
        <v>577</v>
      </c>
      <c r="E1439" s="28" t="s">
        <v>609</v>
      </c>
      <c r="F1439" s="28" t="s">
        <v>586</v>
      </c>
      <c r="G1439" s="29">
        <v>576</v>
      </c>
      <c r="H1439" s="29">
        <v>1</v>
      </c>
      <c r="I1439" s="29">
        <v>9</v>
      </c>
      <c r="J1439" s="29">
        <v>3</v>
      </c>
      <c r="K1439" s="29">
        <v>6</v>
      </c>
      <c r="L1439" s="29">
        <v>1500</v>
      </c>
      <c r="M1439" s="29">
        <v>500</v>
      </c>
      <c r="N1439" s="29">
        <v>1000</v>
      </c>
      <c r="O1439" s="29">
        <v>0</v>
      </c>
    </row>
    <row r="1440" spans="1:15" x14ac:dyDescent="0.3">
      <c r="A1440" s="28" t="s">
        <v>575</v>
      </c>
      <c r="B1440" s="28" t="s">
        <v>576</v>
      </c>
      <c r="C1440" s="28" t="s">
        <v>561</v>
      </c>
      <c r="D1440" s="28" t="s">
        <v>577</v>
      </c>
      <c r="E1440" s="28" t="s">
        <v>609</v>
      </c>
      <c r="F1440" s="28" t="s">
        <v>587</v>
      </c>
      <c r="G1440" s="29">
        <v>470</v>
      </c>
      <c r="H1440" s="29">
        <v>0</v>
      </c>
      <c r="I1440" s="29">
        <v>1</v>
      </c>
      <c r="J1440" s="29">
        <v>1</v>
      </c>
      <c r="K1440" s="29">
        <v>0</v>
      </c>
      <c r="L1440" s="29">
        <v>0</v>
      </c>
      <c r="M1440" s="29">
        <v>0</v>
      </c>
      <c r="N1440" s="29">
        <v>0</v>
      </c>
      <c r="O1440" s="29">
        <v>0</v>
      </c>
    </row>
    <row r="1441" spans="1:15" x14ac:dyDescent="0.3">
      <c r="A1441" s="28" t="s">
        <v>575</v>
      </c>
      <c r="B1441" s="28" t="s">
        <v>576</v>
      </c>
      <c r="C1441" s="28" t="s">
        <v>561</v>
      </c>
      <c r="D1441" s="28" t="s">
        <v>577</v>
      </c>
      <c r="E1441" s="28" t="s">
        <v>609</v>
      </c>
      <c r="F1441" s="28" t="s">
        <v>579</v>
      </c>
      <c r="G1441" s="29">
        <v>448</v>
      </c>
      <c r="H1441" s="29">
        <v>4</v>
      </c>
      <c r="I1441" s="29">
        <v>3</v>
      </c>
      <c r="J1441" s="29">
        <v>3</v>
      </c>
      <c r="K1441" s="29">
        <v>0</v>
      </c>
      <c r="L1441" s="29">
        <v>0</v>
      </c>
      <c r="M1441" s="29">
        <v>0</v>
      </c>
      <c r="N1441" s="29">
        <v>0</v>
      </c>
      <c r="O1441" s="29">
        <v>0</v>
      </c>
    </row>
    <row r="1442" spans="1:15" x14ac:dyDescent="0.3">
      <c r="A1442" s="28" t="s">
        <v>575</v>
      </c>
      <c r="B1442" s="28" t="s">
        <v>576</v>
      </c>
      <c r="C1442" s="28" t="s">
        <v>561</v>
      </c>
      <c r="D1442" s="28" t="s">
        <v>577</v>
      </c>
      <c r="E1442" s="28" t="s">
        <v>609</v>
      </c>
      <c r="F1442" s="28" t="s">
        <v>588</v>
      </c>
      <c r="G1442" s="29">
        <v>432</v>
      </c>
      <c r="H1442" s="29">
        <v>0</v>
      </c>
      <c r="I1442" s="29">
        <v>0</v>
      </c>
      <c r="J1442" s="29">
        <v>0</v>
      </c>
      <c r="K1442" s="29">
        <v>0</v>
      </c>
      <c r="L1442" s="29">
        <v>0</v>
      </c>
      <c r="M1442" s="29">
        <v>0</v>
      </c>
      <c r="N1442" s="29">
        <v>0</v>
      </c>
      <c r="O1442" s="29">
        <v>0</v>
      </c>
    </row>
    <row r="1443" spans="1:15" x14ac:dyDescent="0.3">
      <c r="A1443" s="28" t="s">
        <v>575</v>
      </c>
      <c r="B1443" s="28" t="s">
        <v>576</v>
      </c>
      <c r="C1443" s="28" t="s">
        <v>561</v>
      </c>
      <c r="D1443" s="28" t="s">
        <v>577</v>
      </c>
      <c r="E1443" s="28" t="s">
        <v>609</v>
      </c>
      <c r="F1443" s="28" t="s">
        <v>589</v>
      </c>
      <c r="G1443" s="29">
        <v>377</v>
      </c>
      <c r="H1443" s="29">
        <v>1</v>
      </c>
      <c r="I1443" s="29">
        <v>1</v>
      </c>
      <c r="J1443" s="29">
        <v>1</v>
      </c>
      <c r="K1443" s="29">
        <v>0</v>
      </c>
      <c r="L1443" s="29">
        <v>0</v>
      </c>
      <c r="M1443" s="29">
        <v>0</v>
      </c>
      <c r="N1443" s="29">
        <v>0</v>
      </c>
      <c r="O1443" s="29">
        <v>0</v>
      </c>
    </row>
    <row r="1444" spans="1:15" x14ac:dyDescent="0.3">
      <c r="A1444" s="28" t="s">
        <v>575</v>
      </c>
      <c r="B1444" s="28" t="s">
        <v>576</v>
      </c>
      <c r="C1444" s="28" t="s">
        <v>561</v>
      </c>
      <c r="D1444" s="28" t="s">
        <v>577</v>
      </c>
      <c r="E1444" s="28" t="s">
        <v>609</v>
      </c>
      <c r="F1444" s="28" t="s">
        <v>590</v>
      </c>
      <c r="G1444" s="29">
        <v>385</v>
      </c>
      <c r="H1444" s="29">
        <v>2</v>
      </c>
      <c r="I1444" s="29">
        <v>0</v>
      </c>
      <c r="J1444" s="29">
        <v>0</v>
      </c>
      <c r="K1444" s="29">
        <v>0</v>
      </c>
      <c r="L1444" s="29">
        <v>0</v>
      </c>
      <c r="M1444" s="29">
        <v>0</v>
      </c>
      <c r="N1444" s="29">
        <v>0</v>
      </c>
      <c r="O1444" s="29">
        <v>0</v>
      </c>
    </row>
    <row r="1445" spans="1:15" x14ac:dyDescent="0.3">
      <c r="A1445" s="28" t="s">
        <v>575</v>
      </c>
      <c r="B1445" s="28" t="s">
        <v>576</v>
      </c>
      <c r="C1445" s="28" t="s">
        <v>561</v>
      </c>
      <c r="D1445" s="28" t="s">
        <v>577</v>
      </c>
      <c r="E1445" s="28" t="s">
        <v>609</v>
      </c>
      <c r="F1445" s="28" t="s">
        <v>591</v>
      </c>
      <c r="G1445" s="29">
        <v>468</v>
      </c>
      <c r="H1445" s="29">
        <v>1</v>
      </c>
      <c r="I1445" s="29">
        <v>0</v>
      </c>
      <c r="J1445" s="29">
        <v>0</v>
      </c>
      <c r="K1445" s="29">
        <v>0</v>
      </c>
      <c r="L1445" s="29">
        <v>0</v>
      </c>
      <c r="M1445" s="29">
        <v>0</v>
      </c>
      <c r="N1445" s="29">
        <v>0</v>
      </c>
      <c r="O1445" s="29">
        <v>0</v>
      </c>
    </row>
    <row r="1446" spans="1:15" x14ac:dyDescent="0.3">
      <c r="A1446" s="28" t="s">
        <v>575</v>
      </c>
      <c r="B1446" s="28" t="s">
        <v>576</v>
      </c>
      <c r="C1446" s="28" t="s">
        <v>561</v>
      </c>
      <c r="D1446" s="28" t="s">
        <v>577</v>
      </c>
      <c r="E1446" s="28" t="s">
        <v>609</v>
      </c>
      <c r="F1446" s="28" t="s">
        <v>592</v>
      </c>
      <c r="G1446" s="29">
        <v>488</v>
      </c>
      <c r="H1446" s="29">
        <v>3</v>
      </c>
      <c r="I1446" s="29">
        <v>1</v>
      </c>
      <c r="J1446" s="29">
        <v>1</v>
      </c>
      <c r="K1446" s="29">
        <v>0</v>
      </c>
      <c r="L1446" s="29">
        <v>0</v>
      </c>
      <c r="M1446" s="29">
        <v>0</v>
      </c>
      <c r="N1446" s="29">
        <v>0</v>
      </c>
      <c r="O1446" s="29">
        <v>0</v>
      </c>
    </row>
    <row r="1447" spans="1:15" x14ac:dyDescent="0.3">
      <c r="A1447" s="28" t="s">
        <v>575</v>
      </c>
      <c r="B1447" s="28" t="s">
        <v>576</v>
      </c>
      <c r="C1447" s="28" t="s">
        <v>561</v>
      </c>
      <c r="D1447" s="28" t="s">
        <v>577</v>
      </c>
      <c r="E1447" s="28" t="s">
        <v>609</v>
      </c>
      <c r="F1447" s="28" t="s">
        <v>593</v>
      </c>
      <c r="G1447" s="29">
        <v>503</v>
      </c>
      <c r="H1447" s="29">
        <v>1</v>
      </c>
      <c r="I1447" s="29">
        <v>0</v>
      </c>
      <c r="J1447" s="29">
        <v>0</v>
      </c>
      <c r="K1447" s="29">
        <v>0</v>
      </c>
      <c r="L1447" s="29">
        <v>0</v>
      </c>
      <c r="M1447" s="29">
        <v>0</v>
      </c>
      <c r="N1447" s="29">
        <v>0</v>
      </c>
      <c r="O1447" s="29">
        <v>0</v>
      </c>
    </row>
    <row r="1448" spans="1:15" x14ac:dyDescent="0.3">
      <c r="A1448" s="28" t="s">
        <v>575</v>
      </c>
      <c r="B1448" s="28" t="s">
        <v>576</v>
      </c>
      <c r="C1448" s="28" t="s">
        <v>561</v>
      </c>
      <c r="D1448" s="28" t="s">
        <v>577</v>
      </c>
      <c r="E1448" s="28" t="s">
        <v>609</v>
      </c>
      <c r="F1448" s="28" t="s">
        <v>594</v>
      </c>
      <c r="G1448" s="29">
        <v>374</v>
      </c>
      <c r="H1448" s="29">
        <v>1</v>
      </c>
      <c r="I1448" s="29">
        <v>1</v>
      </c>
      <c r="J1448" s="29">
        <v>0</v>
      </c>
      <c r="K1448" s="29">
        <v>1</v>
      </c>
      <c r="L1448" s="29">
        <v>0</v>
      </c>
      <c r="M1448" s="29">
        <v>0</v>
      </c>
      <c r="N1448" s="29">
        <v>0</v>
      </c>
      <c r="O1448" s="29">
        <v>0</v>
      </c>
    </row>
    <row r="1449" spans="1:15" x14ac:dyDescent="0.3">
      <c r="A1449" s="28" t="s">
        <v>575</v>
      </c>
      <c r="B1449" s="28" t="s">
        <v>576</v>
      </c>
      <c r="C1449" s="28" t="s">
        <v>561</v>
      </c>
      <c r="D1449" s="28" t="s">
        <v>577</v>
      </c>
      <c r="E1449" s="28" t="s">
        <v>609</v>
      </c>
      <c r="F1449" s="28" t="s">
        <v>595</v>
      </c>
      <c r="G1449" s="29">
        <v>135</v>
      </c>
      <c r="H1449" s="29">
        <v>0</v>
      </c>
      <c r="I1449" s="29">
        <v>0</v>
      </c>
      <c r="J1449" s="29">
        <v>0</v>
      </c>
      <c r="K1449" s="29">
        <v>0</v>
      </c>
      <c r="L1449" s="29">
        <v>0</v>
      </c>
      <c r="M1449" s="29">
        <v>0</v>
      </c>
      <c r="N1449" s="29">
        <v>0</v>
      </c>
      <c r="O1449" s="29">
        <v>0</v>
      </c>
    </row>
    <row r="1450" spans="1:15" x14ac:dyDescent="0.3">
      <c r="A1450" s="28" t="s">
        <v>575</v>
      </c>
      <c r="B1450" s="28" t="s">
        <v>576</v>
      </c>
      <c r="C1450" s="28" t="s">
        <v>561</v>
      </c>
      <c r="D1450" s="28" t="s">
        <v>577</v>
      </c>
      <c r="E1450" s="28" t="s">
        <v>610</v>
      </c>
      <c r="F1450" s="28" t="s">
        <v>597</v>
      </c>
      <c r="G1450" s="29">
        <v>110</v>
      </c>
      <c r="H1450" s="29">
        <v>0</v>
      </c>
      <c r="I1450" s="29">
        <v>0</v>
      </c>
      <c r="J1450" s="29">
        <v>0</v>
      </c>
      <c r="K1450" s="29">
        <v>0</v>
      </c>
      <c r="L1450" s="29">
        <v>0</v>
      </c>
      <c r="M1450" s="29">
        <v>0</v>
      </c>
      <c r="N1450" s="29">
        <v>0</v>
      </c>
      <c r="O1450" s="29">
        <v>0</v>
      </c>
    </row>
    <row r="1451" spans="1:15" x14ac:dyDescent="0.3">
      <c r="A1451" s="28" t="s">
        <v>575</v>
      </c>
      <c r="B1451" s="28" t="s">
        <v>576</v>
      </c>
      <c r="C1451" s="28" t="s">
        <v>561</v>
      </c>
      <c r="D1451" s="28" t="s">
        <v>577</v>
      </c>
      <c r="E1451" s="28" t="s">
        <v>610</v>
      </c>
      <c r="F1451" s="28" t="s">
        <v>598</v>
      </c>
      <c r="G1451" s="29">
        <v>86</v>
      </c>
      <c r="H1451" s="29">
        <v>0</v>
      </c>
      <c r="I1451" s="29">
        <v>0</v>
      </c>
      <c r="J1451" s="29">
        <v>0</v>
      </c>
      <c r="K1451" s="29">
        <v>0</v>
      </c>
      <c r="L1451" s="29">
        <v>0</v>
      </c>
      <c r="M1451" s="29">
        <v>0</v>
      </c>
      <c r="N1451" s="29">
        <v>0</v>
      </c>
      <c r="O1451" s="29">
        <v>0</v>
      </c>
    </row>
    <row r="1452" spans="1:15" x14ac:dyDescent="0.3">
      <c r="A1452" s="28" t="s">
        <v>575</v>
      </c>
      <c r="B1452" s="28" t="s">
        <v>576</v>
      </c>
      <c r="C1452" s="28" t="s">
        <v>561</v>
      </c>
      <c r="D1452" s="28" t="s">
        <v>577</v>
      </c>
      <c r="E1452" s="28" t="s">
        <v>610</v>
      </c>
      <c r="F1452" s="28" t="s">
        <v>599</v>
      </c>
      <c r="G1452" s="29">
        <v>112</v>
      </c>
      <c r="H1452" s="29">
        <v>1</v>
      </c>
      <c r="I1452" s="29">
        <v>0</v>
      </c>
      <c r="J1452" s="29">
        <v>0</v>
      </c>
      <c r="K1452" s="29">
        <v>0</v>
      </c>
      <c r="L1452" s="29">
        <v>0</v>
      </c>
      <c r="M1452" s="29">
        <v>0</v>
      </c>
      <c r="N1452" s="29">
        <v>0</v>
      </c>
      <c r="O1452" s="29">
        <v>0</v>
      </c>
    </row>
    <row r="1453" spans="1:15" x14ac:dyDescent="0.3">
      <c r="A1453" s="28" t="s">
        <v>575</v>
      </c>
      <c r="B1453" s="28" t="s">
        <v>576</v>
      </c>
      <c r="C1453" s="28" t="s">
        <v>561</v>
      </c>
      <c r="D1453" s="28" t="s">
        <v>577</v>
      </c>
      <c r="E1453" s="28" t="s">
        <v>610</v>
      </c>
      <c r="F1453" s="28" t="s">
        <v>600</v>
      </c>
      <c r="G1453" s="29">
        <v>107</v>
      </c>
      <c r="H1453" s="29">
        <v>0</v>
      </c>
      <c r="I1453" s="29">
        <v>0</v>
      </c>
      <c r="J1453" s="29">
        <v>0</v>
      </c>
      <c r="K1453" s="29">
        <v>0</v>
      </c>
      <c r="L1453" s="29">
        <v>0</v>
      </c>
      <c r="M1453" s="29">
        <v>0</v>
      </c>
      <c r="N1453" s="29">
        <v>0</v>
      </c>
      <c r="O1453" s="29">
        <v>0</v>
      </c>
    </row>
    <row r="1454" spans="1:15" x14ac:dyDescent="0.3">
      <c r="A1454" s="28" t="s">
        <v>575</v>
      </c>
      <c r="B1454" s="28" t="s">
        <v>576</v>
      </c>
      <c r="C1454" s="28" t="s">
        <v>561</v>
      </c>
      <c r="D1454" s="28" t="s">
        <v>577</v>
      </c>
      <c r="E1454" s="28" t="s">
        <v>610</v>
      </c>
      <c r="F1454" s="28" t="s">
        <v>601</v>
      </c>
      <c r="G1454" s="29">
        <v>148</v>
      </c>
      <c r="H1454" s="29">
        <v>0</v>
      </c>
      <c r="I1454" s="29">
        <v>0</v>
      </c>
      <c r="J1454" s="29">
        <v>0</v>
      </c>
      <c r="K1454" s="29">
        <v>0</v>
      </c>
      <c r="L1454" s="29">
        <v>0</v>
      </c>
      <c r="M1454" s="29">
        <v>0</v>
      </c>
      <c r="N1454" s="29">
        <v>0</v>
      </c>
      <c r="O1454" s="29">
        <v>0</v>
      </c>
    </row>
    <row r="1455" spans="1:15" x14ac:dyDescent="0.3">
      <c r="A1455" s="28" t="s">
        <v>575</v>
      </c>
      <c r="B1455" s="28" t="s">
        <v>576</v>
      </c>
      <c r="C1455" s="28" t="s">
        <v>561</v>
      </c>
      <c r="D1455" s="28" t="s">
        <v>577</v>
      </c>
      <c r="E1455" s="28" t="s">
        <v>610</v>
      </c>
      <c r="F1455" s="28" t="s">
        <v>602</v>
      </c>
      <c r="G1455" s="29">
        <v>468</v>
      </c>
      <c r="H1455" s="29">
        <v>1</v>
      </c>
      <c r="I1455" s="29">
        <v>0</v>
      </c>
      <c r="J1455" s="29">
        <v>0</v>
      </c>
      <c r="K1455" s="29">
        <v>0</v>
      </c>
      <c r="L1455" s="29">
        <v>0</v>
      </c>
      <c r="M1455" s="29">
        <v>0</v>
      </c>
      <c r="N1455" s="29">
        <v>0</v>
      </c>
      <c r="O1455" s="29">
        <v>0</v>
      </c>
    </row>
    <row r="1456" spans="1:15" x14ac:dyDescent="0.3">
      <c r="A1456" s="28" t="s">
        <v>575</v>
      </c>
      <c r="B1456" s="28" t="s">
        <v>576</v>
      </c>
      <c r="C1456" s="28" t="s">
        <v>561</v>
      </c>
      <c r="D1456" s="28" t="s">
        <v>577</v>
      </c>
      <c r="E1456" s="28" t="s">
        <v>610</v>
      </c>
      <c r="F1456" s="28" t="s">
        <v>603</v>
      </c>
      <c r="G1456" s="29">
        <v>1391</v>
      </c>
      <c r="H1456" s="29">
        <v>0</v>
      </c>
      <c r="I1456" s="29">
        <v>0</v>
      </c>
      <c r="J1456" s="29">
        <v>0</v>
      </c>
      <c r="K1456" s="29">
        <v>0</v>
      </c>
      <c r="L1456" s="29">
        <v>0</v>
      </c>
      <c r="M1456" s="29">
        <v>0</v>
      </c>
      <c r="N1456" s="29">
        <v>0</v>
      </c>
      <c r="O1456" s="29">
        <v>0</v>
      </c>
    </row>
    <row r="1457" spans="1:15" x14ac:dyDescent="0.3">
      <c r="A1457" s="28" t="s">
        <v>575</v>
      </c>
      <c r="B1457" s="28" t="s">
        <v>576</v>
      </c>
      <c r="C1457" s="28" t="s">
        <v>561</v>
      </c>
      <c r="D1457" s="28" t="s">
        <v>577</v>
      </c>
      <c r="E1457" s="28" t="s">
        <v>610</v>
      </c>
      <c r="F1457" s="28" t="s">
        <v>604</v>
      </c>
      <c r="G1457" s="29">
        <v>2346</v>
      </c>
      <c r="H1457" s="29">
        <v>5</v>
      </c>
      <c r="I1457" s="29">
        <v>0</v>
      </c>
      <c r="J1457" s="29">
        <v>0</v>
      </c>
      <c r="K1457" s="29">
        <v>0</v>
      </c>
      <c r="L1457" s="29">
        <v>0</v>
      </c>
      <c r="M1457" s="29">
        <v>0</v>
      </c>
      <c r="N1457" s="29">
        <v>0</v>
      </c>
      <c r="O1457" s="29">
        <v>0</v>
      </c>
    </row>
    <row r="1458" spans="1:15" x14ac:dyDescent="0.3">
      <c r="A1458" s="28" t="s">
        <v>575</v>
      </c>
      <c r="B1458" s="28" t="s">
        <v>576</v>
      </c>
      <c r="C1458" s="28" t="s">
        <v>561</v>
      </c>
      <c r="D1458" s="28" t="s">
        <v>577</v>
      </c>
      <c r="E1458" s="28" t="s">
        <v>610</v>
      </c>
      <c r="F1458" s="28" t="s">
        <v>581</v>
      </c>
      <c r="G1458" s="29">
        <v>1700</v>
      </c>
      <c r="H1458" s="29">
        <v>4</v>
      </c>
      <c r="I1458" s="29">
        <v>6</v>
      </c>
      <c r="J1458" s="29">
        <v>1</v>
      </c>
      <c r="K1458" s="29">
        <v>5</v>
      </c>
      <c r="L1458" s="29">
        <v>0</v>
      </c>
      <c r="M1458" s="29">
        <v>0</v>
      </c>
      <c r="N1458" s="29">
        <v>0</v>
      </c>
      <c r="O1458" s="29">
        <v>0</v>
      </c>
    </row>
    <row r="1459" spans="1:15" x14ac:dyDescent="0.3">
      <c r="A1459" s="28" t="s">
        <v>575</v>
      </c>
      <c r="B1459" s="28" t="s">
        <v>576</v>
      </c>
      <c r="C1459" s="28" t="s">
        <v>561</v>
      </c>
      <c r="D1459" s="28" t="s">
        <v>577</v>
      </c>
      <c r="E1459" s="28" t="s">
        <v>610</v>
      </c>
      <c r="F1459" s="28" t="s">
        <v>582</v>
      </c>
      <c r="G1459" s="29">
        <v>1384</v>
      </c>
      <c r="H1459" s="29">
        <v>0</v>
      </c>
      <c r="I1459" s="29">
        <v>2</v>
      </c>
      <c r="J1459" s="29">
        <v>0</v>
      </c>
      <c r="K1459" s="29">
        <v>2</v>
      </c>
      <c r="L1459" s="29">
        <v>0</v>
      </c>
      <c r="M1459" s="29">
        <v>0</v>
      </c>
      <c r="N1459" s="29">
        <v>0</v>
      </c>
      <c r="O1459" s="29">
        <v>0</v>
      </c>
    </row>
    <row r="1460" spans="1:15" x14ac:dyDescent="0.3">
      <c r="A1460" s="28" t="s">
        <v>575</v>
      </c>
      <c r="B1460" s="28" t="s">
        <v>576</v>
      </c>
      <c r="C1460" s="28" t="s">
        <v>561</v>
      </c>
      <c r="D1460" s="28" t="s">
        <v>577</v>
      </c>
      <c r="E1460" s="28" t="s">
        <v>610</v>
      </c>
      <c r="F1460" s="28" t="s">
        <v>583</v>
      </c>
      <c r="G1460" s="29">
        <v>1358</v>
      </c>
      <c r="H1460" s="29">
        <v>2</v>
      </c>
      <c r="I1460" s="29">
        <v>2</v>
      </c>
      <c r="J1460" s="29">
        <v>2</v>
      </c>
      <c r="K1460" s="29">
        <v>0</v>
      </c>
      <c r="L1460" s="29">
        <v>0</v>
      </c>
      <c r="M1460" s="29">
        <v>0</v>
      </c>
      <c r="N1460" s="29">
        <v>0</v>
      </c>
      <c r="O1460" s="29">
        <v>0</v>
      </c>
    </row>
    <row r="1461" spans="1:15" x14ac:dyDescent="0.3">
      <c r="A1461" s="28" t="s">
        <v>575</v>
      </c>
      <c r="B1461" s="28" t="s">
        <v>576</v>
      </c>
      <c r="C1461" s="28" t="s">
        <v>561</v>
      </c>
      <c r="D1461" s="28" t="s">
        <v>577</v>
      </c>
      <c r="E1461" s="28" t="s">
        <v>610</v>
      </c>
      <c r="F1461" s="28" t="s">
        <v>584</v>
      </c>
      <c r="G1461" s="29">
        <v>1398</v>
      </c>
      <c r="H1461" s="29">
        <v>4</v>
      </c>
      <c r="I1461" s="29">
        <v>3</v>
      </c>
      <c r="J1461" s="29">
        <v>1</v>
      </c>
      <c r="K1461" s="29">
        <v>2</v>
      </c>
      <c r="L1461" s="29">
        <v>100</v>
      </c>
      <c r="M1461" s="29">
        <v>100</v>
      </c>
      <c r="N1461" s="29">
        <v>0</v>
      </c>
      <c r="O1461" s="29">
        <v>0</v>
      </c>
    </row>
    <row r="1462" spans="1:15" x14ac:dyDescent="0.3">
      <c r="A1462" s="28" t="s">
        <v>575</v>
      </c>
      <c r="B1462" s="28" t="s">
        <v>576</v>
      </c>
      <c r="C1462" s="28" t="s">
        <v>561</v>
      </c>
      <c r="D1462" s="28" t="s">
        <v>577</v>
      </c>
      <c r="E1462" s="28" t="s">
        <v>610</v>
      </c>
      <c r="F1462" s="28" t="s">
        <v>585</v>
      </c>
      <c r="G1462" s="29">
        <v>1244</v>
      </c>
      <c r="H1462" s="29">
        <v>1</v>
      </c>
      <c r="I1462" s="29">
        <v>0</v>
      </c>
      <c r="J1462" s="29">
        <v>0</v>
      </c>
      <c r="K1462" s="29">
        <v>0</v>
      </c>
      <c r="L1462" s="29">
        <v>0</v>
      </c>
      <c r="M1462" s="29">
        <v>0</v>
      </c>
      <c r="N1462" s="29">
        <v>0</v>
      </c>
      <c r="O1462" s="29">
        <v>0</v>
      </c>
    </row>
    <row r="1463" spans="1:15" x14ac:dyDescent="0.3">
      <c r="A1463" s="28" t="s">
        <v>575</v>
      </c>
      <c r="B1463" s="28" t="s">
        <v>576</v>
      </c>
      <c r="C1463" s="28" t="s">
        <v>561</v>
      </c>
      <c r="D1463" s="28" t="s">
        <v>577</v>
      </c>
      <c r="E1463" s="28" t="s">
        <v>610</v>
      </c>
      <c r="F1463" s="28" t="s">
        <v>586</v>
      </c>
      <c r="G1463" s="29">
        <v>887</v>
      </c>
      <c r="H1463" s="29">
        <v>1</v>
      </c>
      <c r="I1463" s="29">
        <v>0</v>
      </c>
      <c r="J1463" s="29">
        <v>0</v>
      </c>
      <c r="K1463" s="29">
        <v>0</v>
      </c>
      <c r="L1463" s="29">
        <v>0</v>
      </c>
      <c r="M1463" s="29">
        <v>0</v>
      </c>
      <c r="N1463" s="29">
        <v>0</v>
      </c>
      <c r="O1463" s="29">
        <v>0</v>
      </c>
    </row>
    <row r="1464" spans="1:15" x14ac:dyDescent="0.3">
      <c r="A1464" s="28" t="s">
        <v>575</v>
      </c>
      <c r="B1464" s="28" t="s">
        <v>576</v>
      </c>
      <c r="C1464" s="28" t="s">
        <v>561</v>
      </c>
      <c r="D1464" s="28" t="s">
        <v>577</v>
      </c>
      <c r="E1464" s="28" t="s">
        <v>610</v>
      </c>
      <c r="F1464" s="28" t="s">
        <v>587</v>
      </c>
      <c r="G1464" s="29">
        <v>655</v>
      </c>
      <c r="H1464" s="29">
        <v>2</v>
      </c>
      <c r="I1464" s="29">
        <v>2</v>
      </c>
      <c r="J1464" s="29">
        <v>1</v>
      </c>
      <c r="K1464" s="29">
        <v>1</v>
      </c>
      <c r="L1464" s="29">
        <v>0</v>
      </c>
      <c r="M1464" s="29">
        <v>0</v>
      </c>
      <c r="N1464" s="29">
        <v>0</v>
      </c>
      <c r="O1464" s="29">
        <v>0</v>
      </c>
    </row>
    <row r="1465" spans="1:15" x14ac:dyDescent="0.3">
      <c r="A1465" s="28" t="s">
        <v>575</v>
      </c>
      <c r="B1465" s="28" t="s">
        <v>576</v>
      </c>
      <c r="C1465" s="28" t="s">
        <v>561</v>
      </c>
      <c r="D1465" s="28" t="s">
        <v>577</v>
      </c>
      <c r="E1465" s="28" t="s">
        <v>610</v>
      </c>
      <c r="F1465" s="28" t="s">
        <v>579</v>
      </c>
      <c r="G1465" s="29">
        <v>407</v>
      </c>
      <c r="H1465" s="29">
        <v>0</v>
      </c>
      <c r="I1465" s="29">
        <v>5</v>
      </c>
      <c r="J1465" s="29">
        <v>0</v>
      </c>
      <c r="K1465" s="29">
        <v>5</v>
      </c>
      <c r="L1465" s="29">
        <v>0</v>
      </c>
      <c r="M1465" s="29">
        <v>0</v>
      </c>
      <c r="N1465" s="29">
        <v>0</v>
      </c>
      <c r="O1465" s="29">
        <v>0</v>
      </c>
    </row>
    <row r="1466" spans="1:15" x14ac:dyDescent="0.3">
      <c r="A1466" s="28" t="s">
        <v>575</v>
      </c>
      <c r="B1466" s="28" t="s">
        <v>576</v>
      </c>
      <c r="C1466" s="28" t="s">
        <v>561</v>
      </c>
      <c r="D1466" s="28" t="s">
        <v>577</v>
      </c>
      <c r="E1466" s="28" t="s">
        <v>610</v>
      </c>
      <c r="F1466" s="28" t="s">
        <v>588</v>
      </c>
      <c r="G1466" s="29">
        <v>141</v>
      </c>
      <c r="H1466" s="29">
        <v>0</v>
      </c>
      <c r="I1466" s="29">
        <v>9</v>
      </c>
      <c r="J1466" s="29">
        <v>0</v>
      </c>
      <c r="K1466" s="29">
        <v>9</v>
      </c>
      <c r="L1466" s="29">
        <v>0</v>
      </c>
      <c r="M1466" s="29">
        <v>0</v>
      </c>
      <c r="N1466" s="29">
        <v>0</v>
      </c>
      <c r="O1466" s="29">
        <v>0</v>
      </c>
    </row>
    <row r="1467" spans="1:15" x14ac:dyDescent="0.3">
      <c r="A1467" s="28" t="s">
        <v>575</v>
      </c>
      <c r="B1467" s="28" t="s">
        <v>576</v>
      </c>
      <c r="C1467" s="28" t="s">
        <v>561</v>
      </c>
      <c r="D1467" s="28" t="s">
        <v>577</v>
      </c>
      <c r="E1467" s="28" t="s">
        <v>610</v>
      </c>
      <c r="F1467" s="28" t="s">
        <v>589</v>
      </c>
      <c r="G1467" s="29">
        <v>10</v>
      </c>
      <c r="H1467" s="29">
        <v>0</v>
      </c>
      <c r="I1467" s="29">
        <v>1</v>
      </c>
      <c r="J1467" s="29">
        <v>0</v>
      </c>
      <c r="K1467" s="29">
        <v>1</v>
      </c>
      <c r="L1467" s="29">
        <v>0</v>
      </c>
      <c r="M1467" s="29">
        <v>0</v>
      </c>
      <c r="N1467" s="29">
        <v>0</v>
      </c>
      <c r="O1467" s="29">
        <v>0</v>
      </c>
    </row>
    <row r="1468" spans="1:15" x14ac:dyDescent="0.3">
      <c r="A1468" s="28" t="s">
        <v>575</v>
      </c>
      <c r="B1468" s="28" t="s">
        <v>576</v>
      </c>
      <c r="C1468" s="28" t="s">
        <v>561</v>
      </c>
      <c r="D1468" s="28" t="s">
        <v>577</v>
      </c>
      <c r="E1468" s="28" t="s">
        <v>610</v>
      </c>
      <c r="F1468" s="28" t="s">
        <v>590</v>
      </c>
      <c r="G1468" s="29">
        <v>2</v>
      </c>
      <c r="H1468" s="29">
        <v>0</v>
      </c>
      <c r="I1468" s="29">
        <v>0</v>
      </c>
      <c r="J1468" s="29">
        <v>0</v>
      </c>
      <c r="K1468" s="29">
        <v>0</v>
      </c>
      <c r="L1468" s="29">
        <v>0</v>
      </c>
      <c r="M1468" s="29">
        <v>0</v>
      </c>
      <c r="N1468" s="29">
        <v>0</v>
      </c>
      <c r="O1468" s="29">
        <v>0</v>
      </c>
    </row>
    <row r="1469" spans="1:15" x14ac:dyDescent="0.3">
      <c r="A1469" s="28" t="s">
        <v>575</v>
      </c>
      <c r="B1469" s="28" t="s">
        <v>576</v>
      </c>
      <c r="C1469" s="28" t="s">
        <v>561</v>
      </c>
      <c r="D1469" s="28" t="s">
        <v>577</v>
      </c>
      <c r="E1469" s="28" t="s">
        <v>610</v>
      </c>
      <c r="F1469" s="28" t="s">
        <v>591</v>
      </c>
      <c r="G1469" s="29">
        <v>30</v>
      </c>
      <c r="H1469" s="29">
        <v>0</v>
      </c>
      <c r="I1469" s="29">
        <v>0</v>
      </c>
      <c r="J1469" s="29">
        <v>0</v>
      </c>
      <c r="K1469" s="29">
        <v>0</v>
      </c>
      <c r="L1469" s="29">
        <v>0</v>
      </c>
      <c r="M1469" s="29">
        <v>0</v>
      </c>
      <c r="N1469" s="29">
        <v>0</v>
      </c>
      <c r="O1469" s="29">
        <v>0</v>
      </c>
    </row>
    <row r="1470" spans="1:15" x14ac:dyDescent="0.3">
      <c r="A1470" s="28" t="s">
        <v>575</v>
      </c>
      <c r="B1470" s="28" t="s">
        <v>576</v>
      </c>
      <c r="C1470" s="28" t="s">
        <v>561</v>
      </c>
      <c r="D1470" s="28" t="s">
        <v>577</v>
      </c>
      <c r="E1470" s="28" t="s">
        <v>610</v>
      </c>
      <c r="F1470" s="28" t="s">
        <v>592</v>
      </c>
      <c r="G1470" s="29">
        <v>102</v>
      </c>
      <c r="H1470" s="29">
        <v>0</v>
      </c>
      <c r="I1470" s="29">
        <v>1</v>
      </c>
      <c r="J1470" s="29">
        <v>0</v>
      </c>
      <c r="K1470" s="29">
        <v>1</v>
      </c>
      <c r="L1470" s="29">
        <v>0</v>
      </c>
      <c r="M1470" s="29">
        <v>0</v>
      </c>
      <c r="N1470" s="29">
        <v>0</v>
      </c>
      <c r="O1470" s="29">
        <v>0</v>
      </c>
    </row>
    <row r="1471" spans="1:15" x14ac:dyDescent="0.3">
      <c r="A1471" s="28" t="s">
        <v>575</v>
      </c>
      <c r="B1471" s="28" t="s">
        <v>576</v>
      </c>
      <c r="C1471" s="28" t="s">
        <v>561</v>
      </c>
      <c r="D1471" s="28" t="s">
        <v>577</v>
      </c>
      <c r="E1471" s="28" t="s">
        <v>610</v>
      </c>
      <c r="F1471" s="28" t="s">
        <v>593</v>
      </c>
      <c r="G1471" s="29">
        <v>209</v>
      </c>
      <c r="H1471" s="29">
        <v>3</v>
      </c>
      <c r="I1471" s="29">
        <v>2</v>
      </c>
      <c r="J1471" s="29">
        <v>0</v>
      </c>
      <c r="K1471" s="29">
        <v>2</v>
      </c>
      <c r="L1471" s="29">
        <v>0</v>
      </c>
      <c r="M1471" s="29">
        <v>0</v>
      </c>
      <c r="N1471" s="29">
        <v>0</v>
      </c>
      <c r="O1471" s="29">
        <v>0</v>
      </c>
    </row>
    <row r="1472" spans="1:15" x14ac:dyDescent="0.3">
      <c r="A1472" s="28" t="s">
        <v>575</v>
      </c>
      <c r="B1472" s="28" t="s">
        <v>576</v>
      </c>
      <c r="C1472" s="28" t="s">
        <v>561</v>
      </c>
      <c r="D1472" s="28" t="s">
        <v>577</v>
      </c>
      <c r="E1472" s="28" t="s">
        <v>610</v>
      </c>
      <c r="F1472" s="28" t="s">
        <v>594</v>
      </c>
      <c r="G1472" s="29">
        <v>195</v>
      </c>
      <c r="H1472" s="29">
        <v>0</v>
      </c>
      <c r="I1472" s="29">
        <v>1</v>
      </c>
      <c r="J1472" s="29">
        <v>0</v>
      </c>
      <c r="K1472" s="29">
        <v>1</v>
      </c>
      <c r="L1472" s="29">
        <v>0</v>
      </c>
      <c r="M1472" s="29">
        <v>0</v>
      </c>
      <c r="N1472" s="29">
        <v>0</v>
      </c>
      <c r="O1472" s="29">
        <v>0</v>
      </c>
    </row>
    <row r="1473" spans="1:15" x14ac:dyDescent="0.3">
      <c r="A1473" s="28" t="s">
        <v>575</v>
      </c>
      <c r="B1473" s="28" t="s">
        <v>576</v>
      </c>
      <c r="C1473" s="28" t="s">
        <v>561</v>
      </c>
      <c r="D1473" s="28" t="s">
        <v>577</v>
      </c>
      <c r="E1473" s="28" t="s">
        <v>610</v>
      </c>
      <c r="F1473" s="28" t="s">
        <v>595</v>
      </c>
      <c r="G1473" s="29">
        <v>171</v>
      </c>
      <c r="H1473" s="29">
        <v>1</v>
      </c>
      <c r="I1473" s="29">
        <v>0</v>
      </c>
      <c r="J1473" s="29">
        <v>0</v>
      </c>
      <c r="K1473" s="29">
        <v>0</v>
      </c>
      <c r="L1473" s="29">
        <v>0</v>
      </c>
      <c r="M1473" s="29">
        <v>0</v>
      </c>
      <c r="N1473" s="29">
        <v>0</v>
      </c>
      <c r="O1473" s="29">
        <v>0</v>
      </c>
    </row>
    <row r="1474" spans="1:15" x14ac:dyDescent="0.3">
      <c r="A1474" s="28" t="s">
        <v>575</v>
      </c>
      <c r="B1474" s="28" t="s">
        <v>576</v>
      </c>
      <c r="C1474" s="28" t="s">
        <v>561</v>
      </c>
      <c r="D1474" s="28" t="s">
        <v>577</v>
      </c>
      <c r="E1474" s="28" t="s">
        <v>611</v>
      </c>
      <c r="F1474" s="28" t="s">
        <v>597</v>
      </c>
      <c r="G1474" s="29">
        <v>111</v>
      </c>
      <c r="H1474" s="29">
        <v>0</v>
      </c>
      <c r="I1474" s="29">
        <v>0</v>
      </c>
      <c r="J1474" s="29">
        <v>0</v>
      </c>
      <c r="K1474" s="29">
        <v>0</v>
      </c>
      <c r="L1474" s="29">
        <v>0</v>
      </c>
      <c r="M1474" s="29">
        <v>0</v>
      </c>
      <c r="N1474" s="29">
        <v>0</v>
      </c>
      <c r="O1474" s="29">
        <v>0</v>
      </c>
    </row>
    <row r="1475" spans="1:15" x14ac:dyDescent="0.3">
      <c r="A1475" s="28" t="s">
        <v>575</v>
      </c>
      <c r="B1475" s="28" t="s">
        <v>576</v>
      </c>
      <c r="C1475" s="28" t="s">
        <v>561</v>
      </c>
      <c r="D1475" s="28" t="s">
        <v>577</v>
      </c>
      <c r="E1475" s="28" t="s">
        <v>611</v>
      </c>
      <c r="F1475" s="28" t="s">
        <v>598</v>
      </c>
      <c r="G1475" s="29">
        <v>81</v>
      </c>
      <c r="H1475" s="29">
        <v>0</v>
      </c>
      <c r="I1475" s="29">
        <v>0</v>
      </c>
      <c r="J1475" s="29">
        <v>0</v>
      </c>
      <c r="K1475" s="29">
        <v>0</v>
      </c>
      <c r="L1475" s="29">
        <v>0</v>
      </c>
      <c r="M1475" s="29">
        <v>0</v>
      </c>
      <c r="N1475" s="29">
        <v>0</v>
      </c>
      <c r="O1475" s="29">
        <v>0</v>
      </c>
    </row>
    <row r="1476" spans="1:15" x14ac:dyDescent="0.3">
      <c r="A1476" s="28" t="s">
        <v>575</v>
      </c>
      <c r="B1476" s="28" t="s">
        <v>576</v>
      </c>
      <c r="C1476" s="28" t="s">
        <v>561</v>
      </c>
      <c r="D1476" s="28" t="s">
        <v>577</v>
      </c>
      <c r="E1476" s="28" t="s">
        <v>611</v>
      </c>
      <c r="F1476" s="28" t="s">
        <v>599</v>
      </c>
      <c r="G1476" s="29">
        <v>72</v>
      </c>
      <c r="H1476" s="29">
        <v>0</v>
      </c>
      <c r="I1476" s="29">
        <v>0</v>
      </c>
      <c r="J1476" s="29">
        <v>0</v>
      </c>
      <c r="K1476" s="29">
        <v>0</v>
      </c>
      <c r="L1476" s="29">
        <v>0</v>
      </c>
      <c r="M1476" s="29">
        <v>0</v>
      </c>
      <c r="N1476" s="29">
        <v>0</v>
      </c>
      <c r="O1476" s="29">
        <v>0</v>
      </c>
    </row>
    <row r="1477" spans="1:15" x14ac:dyDescent="0.3">
      <c r="A1477" s="28" t="s">
        <v>575</v>
      </c>
      <c r="B1477" s="28" t="s">
        <v>576</v>
      </c>
      <c r="C1477" s="28" t="s">
        <v>561</v>
      </c>
      <c r="D1477" s="28" t="s">
        <v>577</v>
      </c>
      <c r="E1477" s="28" t="s">
        <v>611</v>
      </c>
      <c r="F1477" s="28" t="s">
        <v>600</v>
      </c>
      <c r="G1477" s="29">
        <v>95</v>
      </c>
      <c r="H1477" s="29">
        <v>0</v>
      </c>
      <c r="I1477" s="29">
        <v>0</v>
      </c>
      <c r="J1477" s="29">
        <v>0</v>
      </c>
      <c r="K1477" s="29">
        <v>0</v>
      </c>
      <c r="L1477" s="29">
        <v>0</v>
      </c>
      <c r="M1477" s="29">
        <v>0</v>
      </c>
      <c r="N1477" s="29">
        <v>0</v>
      </c>
      <c r="O1477" s="29">
        <v>0</v>
      </c>
    </row>
    <row r="1478" spans="1:15" x14ac:dyDescent="0.3">
      <c r="A1478" s="28" t="s">
        <v>575</v>
      </c>
      <c r="B1478" s="28" t="s">
        <v>576</v>
      </c>
      <c r="C1478" s="28" t="s">
        <v>561</v>
      </c>
      <c r="D1478" s="28" t="s">
        <v>577</v>
      </c>
      <c r="E1478" s="28" t="s">
        <v>611</v>
      </c>
      <c r="F1478" s="28" t="s">
        <v>601</v>
      </c>
      <c r="G1478" s="29">
        <v>201</v>
      </c>
      <c r="H1478" s="29">
        <v>1</v>
      </c>
      <c r="I1478" s="29">
        <v>0</v>
      </c>
      <c r="J1478" s="29">
        <v>0</v>
      </c>
      <c r="K1478" s="29">
        <v>0</v>
      </c>
      <c r="L1478" s="29">
        <v>0</v>
      </c>
      <c r="M1478" s="29">
        <v>0</v>
      </c>
      <c r="N1478" s="29">
        <v>0</v>
      </c>
      <c r="O1478" s="29">
        <v>0</v>
      </c>
    </row>
    <row r="1479" spans="1:15" x14ac:dyDescent="0.3">
      <c r="A1479" s="28" t="s">
        <v>575</v>
      </c>
      <c r="B1479" s="28" t="s">
        <v>576</v>
      </c>
      <c r="C1479" s="28" t="s">
        <v>561</v>
      </c>
      <c r="D1479" s="28" t="s">
        <v>577</v>
      </c>
      <c r="E1479" s="28" t="s">
        <v>611</v>
      </c>
      <c r="F1479" s="28" t="s">
        <v>602</v>
      </c>
      <c r="G1479" s="29">
        <v>474</v>
      </c>
      <c r="H1479" s="29">
        <v>2</v>
      </c>
      <c r="I1479" s="29">
        <v>1</v>
      </c>
      <c r="J1479" s="29">
        <v>1</v>
      </c>
      <c r="K1479" s="29">
        <v>0</v>
      </c>
      <c r="L1479" s="29">
        <v>0</v>
      </c>
      <c r="M1479" s="29">
        <v>0</v>
      </c>
      <c r="N1479" s="29">
        <v>0</v>
      </c>
      <c r="O1479" s="29">
        <v>0</v>
      </c>
    </row>
    <row r="1480" spans="1:15" x14ac:dyDescent="0.3">
      <c r="A1480" s="28" t="s">
        <v>575</v>
      </c>
      <c r="B1480" s="28" t="s">
        <v>576</v>
      </c>
      <c r="C1480" s="28" t="s">
        <v>561</v>
      </c>
      <c r="D1480" s="28" t="s">
        <v>577</v>
      </c>
      <c r="E1480" s="28" t="s">
        <v>611</v>
      </c>
      <c r="F1480" s="28" t="s">
        <v>603</v>
      </c>
      <c r="G1480" s="29">
        <v>1302</v>
      </c>
      <c r="H1480" s="29">
        <v>2</v>
      </c>
      <c r="I1480" s="29">
        <v>3</v>
      </c>
      <c r="J1480" s="29">
        <v>0</v>
      </c>
      <c r="K1480" s="29">
        <v>3</v>
      </c>
      <c r="L1480" s="29">
        <v>0</v>
      </c>
      <c r="M1480" s="29">
        <v>0</v>
      </c>
      <c r="N1480" s="29">
        <v>0</v>
      </c>
      <c r="O1480" s="29">
        <v>0</v>
      </c>
    </row>
    <row r="1481" spans="1:15" x14ac:dyDescent="0.3">
      <c r="A1481" s="28" t="s">
        <v>575</v>
      </c>
      <c r="B1481" s="28" t="s">
        <v>576</v>
      </c>
      <c r="C1481" s="28" t="s">
        <v>561</v>
      </c>
      <c r="D1481" s="28" t="s">
        <v>577</v>
      </c>
      <c r="E1481" s="28" t="s">
        <v>611</v>
      </c>
      <c r="F1481" s="28" t="s">
        <v>604</v>
      </c>
      <c r="G1481" s="29">
        <v>4135</v>
      </c>
      <c r="H1481" s="29">
        <v>8</v>
      </c>
      <c r="I1481" s="29">
        <v>2</v>
      </c>
      <c r="J1481" s="29">
        <v>2</v>
      </c>
      <c r="K1481" s="29">
        <v>0</v>
      </c>
      <c r="L1481" s="29">
        <v>0</v>
      </c>
      <c r="M1481" s="29">
        <v>0</v>
      </c>
      <c r="N1481" s="29">
        <v>0</v>
      </c>
      <c r="O1481" s="29">
        <v>0</v>
      </c>
    </row>
    <row r="1482" spans="1:15" x14ac:dyDescent="0.3">
      <c r="A1482" s="28" t="s">
        <v>575</v>
      </c>
      <c r="B1482" s="28" t="s">
        <v>576</v>
      </c>
      <c r="C1482" s="28" t="s">
        <v>561</v>
      </c>
      <c r="D1482" s="28" t="s">
        <v>577</v>
      </c>
      <c r="E1482" s="28" t="s">
        <v>611</v>
      </c>
      <c r="F1482" s="28" t="s">
        <v>581</v>
      </c>
      <c r="G1482" s="29">
        <v>3238</v>
      </c>
      <c r="H1482" s="29">
        <v>10</v>
      </c>
      <c r="I1482" s="29">
        <v>1</v>
      </c>
      <c r="J1482" s="29">
        <v>1</v>
      </c>
      <c r="K1482" s="29">
        <v>0</v>
      </c>
      <c r="L1482" s="29">
        <v>0</v>
      </c>
      <c r="M1482" s="29">
        <v>0</v>
      </c>
      <c r="N1482" s="29">
        <v>0</v>
      </c>
      <c r="O1482" s="29">
        <v>0</v>
      </c>
    </row>
    <row r="1483" spans="1:15" x14ac:dyDescent="0.3">
      <c r="A1483" s="28" t="s">
        <v>575</v>
      </c>
      <c r="B1483" s="28" t="s">
        <v>576</v>
      </c>
      <c r="C1483" s="28" t="s">
        <v>561</v>
      </c>
      <c r="D1483" s="28" t="s">
        <v>577</v>
      </c>
      <c r="E1483" s="28" t="s">
        <v>611</v>
      </c>
      <c r="F1483" s="28" t="s">
        <v>582</v>
      </c>
      <c r="G1483" s="29">
        <v>1259</v>
      </c>
      <c r="H1483" s="29">
        <v>3</v>
      </c>
      <c r="I1483" s="29">
        <v>6</v>
      </c>
      <c r="J1483" s="29">
        <v>3</v>
      </c>
      <c r="K1483" s="29">
        <v>3</v>
      </c>
      <c r="L1483" s="29">
        <v>0</v>
      </c>
      <c r="M1483" s="29">
        <v>0</v>
      </c>
      <c r="N1483" s="29">
        <v>0</v>
      </c>
      <c r="O1483" s="29">
        <v>0</v>
      </c>
    </row>
    <row r="1484" spans="1:15" x14ac:dyDescent="0.3">
      <c r="A1484" s="28" t="s">
        <v>575</v>
      </c>
      <c r="B1484" s="28" t="s">
        <v>576</v>
      </c>
      <c r="C1484" s="28" t="s">
        <v>561</v>
      </c>
      <c r="D1484" s="28" t="s">
        <v>577</v>
      </c>
      <c r="E1484" s="28" t="s">
        <v>611</v>
      </c>
      <c r="F1484" s="28" t="s">
        <v>583</v>
      </c>
      <c r="G1484" s="29">
        <v>534</v>
      </c>
      <c r="H1484" s="29">
        <v>4</v>
      </c>
      <c r="I1484" s="29">
        <v>2</v>
      </c>
      <c r="J1484" s="29">
        <v>2</v>
      </c>
      <c r="K1484" s="29">
        <v>0</v>
      </c>
      <c r="L1484" s="29">
        <v>0</v>
      </c>
      <c r="M1484" s="29">
        <v>0</v>
      </c>
      <c r="N1484" s="29">
        <v>0</v>
      </c>
      <c r="O1484" s="29">
        <v>0</v>
      </c>
    </row>
    <row r="1485" spans="1:15" x14ac:dyDescent="0.3">
      <c r="A1485" s="28" t="s">
        <v>575</v>
      </c>
      <c r="B1485" s="28" t="s">
        <v>576</v>
      </c>
      <c r="C1485" s="28" t="s">
        <v>561</v>
      </c>
      <c r="D1485" s="28" t="s">
        <v>577</v>
      </c>
      <c r="E1485" s="28" t="s">
        <v>611</v>
      </c>
      <c r="F1485" s="28" t="s">
        <v>584</v>
      </c>
      <c r="G1485" s="29">
        <v>3</v>
      </c>
      <c r="H1485" s="29">
        <v>0</v>
      </c>
      <c r="I1485" s="29">
        <v>1</v>
      </c>
      <c r="J1485" s="29">
        <v>0</v>
      </c>
      <c r="K1485" s="29">
        <v>1</v>
      </c>
      <c r="L1485" s="29">
        <v>0</v>
      </c>
      <c r="M1485" s="29">
        <v>0</v>
      </c>
      <c r="N1485" s="29">
        <v>0</v>
      </c>
      <c r="O1485" s="29">
        <v>0</v>
      </c>
    </row>
    <row r="1486" spans="1:15" x14ac:dyDescent="0.3">
      <c r="A1486" s="28" t="s">
        <v>575</v>
      </c>
      <c r="B1486" s="28" t="s">
        <v>576</v>
      </c>
      <c r="C1486" s="28" t="s">
        <v>561</v>
      </c>
      <c r="D1486" s="28" t="s">
        <v>577</v>
      </c>
      <c r="E1486" s="28" t="s">
        <v>611</v>
      </c>
      <c r="F1486" s="28" t="s">
        <v>585</v>
      </c>
      <c r="G1486" s="29">
        <v>0</v>
      </c>
      <c r="H1486" s="29">
        <v>0</v>
      </c>
      <c r="I1486" s="29">
        <v>5</v>
      </c>
      <c r="J1486" s="29">
        <v>0</v>
      </c>
      <c r="K1486" s="29">
        <v>5</v>
      </c>
      <c r="L1486" s="29">
        <v>0</v>
      </c>
      <c r="M1486" s="29">
        <v>0</v>
      </c>
      <c r="N1486" s="29">
        <v>0</v>
      </c>
      <c r="O1486" s="29">
        <v>0</v>
      </c>
    </row>
    <row r="1487" spans="1:15" x14ac:dyDescent="0.3">
      <c r="A1487" s="28" t="s">
        <v>575</v>
      </c>
      <c r="B1487" s="28" t="s">
        <v>576</v>
      </c>
      <c r="C1487" s="28" t="s">
        <v>561</v>
      </c>
      <c r="D1487" s="28" t="s">
        <v>577</v>
      </c>
      <c r="E1487" s="28" t="s">
        <v>611</v>
      </c>
      <c r="F1487" s="28" t="s">
        <v>586</v>
      </c>
      <c r="G1487" s="29">
        <v>0</v>
      </c>
      <c r="H1487" s="29">
        <v>0</v>
      </c>
      <c r="I1487" s="29">
        <v>3</v>
      </c>
      <c r="J1487" s="29">
        <v>1</v>
      </c>
      <c r="K1487" s="29">
        <v>2</v>
      </c>
      <c r="L1487" s="29">
        <v>0</v>
      </c>
      <c r="M1487" s="29">
        <v>0</v>
      </c>
      <c r="N1487" s="29">
        <v>0</v>
      </c>
      <c r="O1487" s="29">
        <v>0</v>
      </c>
    </row>
    <row r="1488" spans="1:15" x14ac:dyDescent="0.3">
      <c r="A1488" s="28" t="s">
        <v>575</v>
      </c>
      <c r="B1488" s="28" t="s">
        <v>576</v>
      </c>
      <c r="C1488" s="28" t="s">
        <v>561</v>
      </c>
      <c r="D1488" s="28" t="s">
        <v>577</v>
      </c>
      <c r="E1488" s="28" t="s">
        <v>611</v>
      </c>
      <c r="F1488" s="28" t="s">
        <v>587</v>
      </c>
      <c r="G1488" s="29">
        <v>0</v>
      </c>
      <c r="H1488" s="29">
        <v>0</v>
      </c>
      <c r="I1488" s="29">
        <v>1</v>
      </c>
      <c r="J1488" s="29">
        <v>0</v>
      </c>
      <c r="K1488" s="29">
        <v>1</v>
      </c>
      <c r="L1488" s="29">
        <v>0</v>
      </c>
      <c r="M1488" s="29">
        <v>0</v>
      </c>
      <c r="N1488" s="29">
        <v>0</v>
      </c>
      <c r="O1488" s="29">
        <v>0</v>
      </c>
    </row>
    <row r="1489" spans="1:15" x14ac:dyDescent="0.3">
      <c r="A1489" s="28" t="s">
        <v>575</v>
      </c>
      <c r="B1489" s="28" t="s">
        <v>576</v>
      </c>
      <c r="C1489" s="28" t="s">
        <v>561</v>
      </c>
      <c r="D1489" s="28" t="s">
        <v>577</v>
      </c>
      <c r="E1489" s="28" t="s">
        <v>611</v>
      </c>
      <c r="F1489" s="28" t="s">
        <v>588</v>
      </c>
      <c r="G1489" s="29">
        <v>19</v>
      </c>
      <c r="H1489" s="29">
        <v>0</v>
      </c>
      <c r="I1489" s="29">
        <v>1</v>
      </c>
      <c r="J1489" s="29">
        <v>0</v>
      </c>
      <c r="K1489" s="29">
        <v>1</v>
      </c>
      <c r="L1489" s="29">
        <v>0</v>
      </c>
      <c r="M1489" s="29">
        <v>0</v>
      </c>
      <c r="N1489" s="29">
        <v>0</v>
      </c>
      <c r="O1489" s="29">
        <v>0</v>
      </c>
    </row>
    <row r="1490" spans="1:15" x14ac:dyDescent="0.3">
      <c r="A1490" s="28" t="s">
        <v>575</v>
      </c>
      <c r="B1490" s="28" t="s">
        <v>576</v>
      </c>
      <c r="C1490" s="28" t="s">
        <v>561</v>
      </c>
      <c r="D1490" s="28" t="s">
        <v>577</v>
      </c>
      <c r="E1490" s="28" t="s">
        <v>611</v>
      </c>
      <c r="F1490" s="28" t="s">
        <v>589</v>
      </c>
      <c r="G1490" s="29">
        <v>168</v>
      </c>
      <c r="H1490" s="29">
        <v>1</v>
      </c>
      <c r="I1490" s="29">
        <v>2</v>
      </c>
      <c r="J1490" s="29">
        <v>0</v>
      </c>
      <c r="K1490" s="29">
        <v>2</v>
      </c>
      <c r="L1490" s="29">
        <v>0</v>
      </c>
      <c r="M1490" s="29">
        <v>0</v>
      </c>
      <c r="N1490" s="29">
        <v>0</v>
      </c>
      <c r="O1490" s="29">
        <v>0</v>
      </c>
    </row>
    <row r="1491" spans="1:15" x14ac:dyDescent="0.3">
      <c r="A1491" s="28" t="s">
        <v>575</v>
      </c>
      <c r="B1491" s="28" t="s">
        <v>576</v>
      </c>
      <c r="C1491" s="28" t="s">
        <v>561</v>
      </c>
      <c r="D1491" s="28" t="s">
        <v>577</v>
      </c>
      <c r="E1491" s="28" t="s">
        <v>611</v>
      </c>
      <c r="F1491" s="28" t="s">
        <v>590</v>
      </c>
      <c r="G1491" s="29">
        <v>373</v>
      </c>
      <c r="H1491" s="29">
        <v>0</v>
      </c>
      <c r="I1491" s="29">
        <v>1</v>
      </c>
      <c r="J1491" s="29">
        <v>1</v>
      </c>
      <c r="K1491" s="29">
        <v>0</v>
      </c>
      <c r="L1491" s="29">
        <v>0</v>
      </c>
      <c r="M1491" s="29">
        <v>0</v>
      </c>
      <c r="N1491" s="29">
        <v>0</v>
      </c>
      <c r="O1491" s="29">
        <v>0</v>
      </c>
    </row>
    <row r="1492" spans="1:15" x14ac:dyDescent="0.3">
      <c r="A1492" s="28" t="s">
        <v>575</v>
      </c>
      <c r="B1492" s="28" t="s">
        <v>576</v>
      </c>
      <c r="C1492" s="28" t="s">
        <v>561</v>
      </c>
      <c r="D1492" s="28" t="s">
        <v>577</v>
      </c>
      <c r="E1492" s="28" t="s">
        <v>611</v>
      </c>
      <c r="F1492" s="28" t="s">
        <v>591</v>
      </c>
      <c r="G1492" s="29">
        <v>618</v>
      </c>
      <c r="H1492" s="29">
        <v>4</v>
      </c>
      <c r="I1492" s="29">
        <v>6</v>
      </c>
      <c r="J1492" s="29">
        <v>4</v>
      </c>
      <c r="K1492" s="29">
        <v>2</v>
      </c>
      <c r="L1492" s="29">
        <v>500</v>
      </c>
      <c r="M1492" s="29">
        <v>500</v>
      </c>
      <c r="N1492" s="29">
        <v>0</v>
      </c>
      <c r="O1492" s="29">
        <v>0</v>
      </c>
    </row>
    <row r="1493" spans="1:15" x14ac:dyDescent="0.3">
      <c r="A1493" s="28" t="s">
        <v>575</v>
      </c>
      <c r="B1493" s="28" t="s">
        <v>576</v>
      </c>
      <c r="C1493" s="28" t="s">
        <v>561</v>
      </c>
      <c r="D1493" s="28" t="s">
        <v>577</v>
      </c>
      <c r="E1493" s="28" t="s">
        <v>611</v>
      </c>
      <c r="F1493" s="28" t="s">
        <v>592</v>
      </c>
      <c r="G1493" s="29">
        <v>930</v>
      </c>
      <c r="H1493" s="29">
        <v>6</v>
      </c>
      <c r="I1493" s="29">
        <v>0</v>
      </c>
      <c r="J1493" s="29">
        <v>0</v>
      </c>
      <c r="K1493" s="29">
        <v>0</v>
      </c>
      <c r="L1493" s="29">
        <v>0</v>
      </c>
      <c r="M1493" s="29">
        <v>0</v>
      </c>
      <c r="N1493" s="29">
        <v>0</v>
      </c>
      <c r="O1493" s="29">
        <v>0</v>
      </c>
    </row>
    <row r="1494" spans="1:15" x14ac:dyDescent="0.3">
      <c r="A1494" s="28" t="s">
        <v>575</v>
      </c>
      <c r="B1494" s="28" t="s">
        <v>576</v>
      </c>
      <c r="C1494" s="28" t="s">
        <v>561</v>
      </c>
      <c r="D1494" s="28" t="s">
        <v>577</v>
      </c>
      <c r="E1494" s="28" t="s">
        <v>611</v>
      </c>
      <c r="F1494" s="28" t="s">
        <v>593</v>
      </c>
      <c r="G1494" s="29">
        <v>1020</v>
      </c>
      <c r="H1494" s="29">
        <v>1</v>
      </c>
      <c r="I1494" s="29">
        <v>0</v>
      </c>
      <c r="J1494" s="29">
        <v>0</v>
      </c>
      <c r="K1494" s="29">
        <v>0</v>
      </c>
      <c r="L1494" s="29">
        <v>0</v>
      </c>
      <c r="M1494" s="29">
        <v>0</v>
      </c>
      <c r="N1494" s="29">
        <v>0</v>
      </c>
      <c r="O1494" s="29">
        <v>0</v>
      </c>
    </row>
    <row r="1495" spans="1:15" x14ac:dyDescent="0.3">
      <c r="A1495" s="28" t="s">
        <v>575</v>
      </c>
      <c r="B1495" s="28" t="s">
        <v>576</v>
      </c>
      <c r="C1495" s="28" t="s">
        <v>561</v>
      </c>
      <c r="D1495" s="28" t="s">
        <v>577</v>
      </c>
      <c r="E1495" s="28" t="s">
        <v>611</v>
      </c>
      <c r="F1495" s="28" t="s">
        <v>594</v>
      </c>
      <c r="G1495" s="29">
        <v>744</v>
      </c>
      <c r="H1495" s="29">
        <v>3</v>
      </c>
      <c r="I1495" s="29">
        <v>0</v>
      </c>
      <c r="J1495" s="29">
        <v>0</v>
      </c>
      <c r="K1495" s="29">
        <v>0</v>
      </c>
      <c r="L1495" s="29">
        <v>0</v>
      </c>
      <c r="M1495" s="29">
        <v>0</v>
      </c>
      <c r="N1495" s="29">
        <v>0</v>
      </c>
      <c r="O1495" s="29">
        <v>0</v>
      </c>
    </row>
    <row r="1496" spans="1:15" x14ac:dyDescent="0.3">
      <c r="A1496" s="28" t="s">
        <v>575</v>
      </c>
      <c r="B1496" s="28" t="s">
        <v>576</v>
      </c>
      <c r="C1496" s="28" t="s">
        <v>561</v>
      </c>
      <c r="D1496" s="28" t="s">
        <v>577</v>
      </c>
      <c r="E1496" s="28" t="s">
        <v>611</v>
      </c>
      <c r="F1496" s="28" t="s">
        <v>595</v>
      </c>
      <c r="G1496" s="29">
        <v>302</v>
      </c>
      <c r="H1496" s="29">
        <v>0</v>
      </c>
      <c r="I1496" s="29">
        <v>0</v>
      </c>
      <c r="J1496" s="29">
        <v>0</v>
      </c>
      <c r="K1496" s="29">
        <v>0</v>
      </c>
      <c r="L1496" s="29">
        <v>0</v>
      </c>
      <c r="M1496" s="29">
        <v>0</v>
      </c>
      <c r="N1496" s="29">
        <v>0</v>
      </c>
      <c r="O1496" s="29">
        <v>0</v>
      </c>
    </row>
    <row r="1497" spans="1:15" x14ac:dyDescent="0.3">
      <c r="A1497" s="28" t="s">
        <v>575</v>
      </c>
      <c r="B1497" s="28" t="s">
        <v>576</v>
      </c>
      <c r="C1497" s="28" t="s">
        <v>561</v>
      </c>
      <c r="D1497" s="28" t="s">
        <v>577</v>
      </c>
      <c r="E1497" s="28" t="s">
        <v>612</v>
      </c>
      <c r="F1497" s="28" t="s">
        <v>597</v>
      </c>
      <c r="G1497" s="29">
        <v>145</v>
      </c>
      <c r="H1497" s="29">
        <v>0</v>
      </c>
      <c r="I1497" s="29">
        <v>0</v>
      </c>
      <c r="J1497" s="29">
        <v>0</v>
      </c>
      <c r="K1497" s="29">
        <v>0</v>
      </c>
      <c r="L1497" s="29">
        <v>0</v>
      </c>
      <c r="M1497" s="29">
        <v>0</v>
      </c>
      <c r="N1497" s="29">
        <v>0</v>
      </c>
      <c r="O1497" s="29">
        <v>0</v>
      </c>
    </row>
    <row r="1498" spans="1:15" x14ac:dyDescent="0.3">
      <c r="A1498" s="28" t="s">
        <v>575</v>
      </c>
      <c r="B1498" s="28" t="s">
        <v>576</v>
      </c>
      <c r="C1498" s="28" t="s">
        <v>561</v>
      </c>
      <c r="D1498" s="28" t="s">
        <v>577</v>
      </c>
      <c r="E1498" s="28" t="s">
        <v>612</v>
      </c>
      <c r="F1498" s="28" t="s">
        <v>598</v>
      </c>
      <c r="G1498" s="29">
        <v>51</v>
      </c>
      <c r="H1498" s="29">
        <v>0</v>
      </c>
      <c r="I1498" s="29">
        <v>0</v>
      </c>
      <c r="J1498" s="29">
        <v>0</v>
      </c>
      <c r="K1498" s="29">
        <v>0</v>
      </c>
      <c r="L1498" s="29">
        <v>0</v>
      </c>
      <c r="M1498" s="29">
        <v>0</v>
      </c>
      <c r="N1498" s="29">
        <v>0</v>
      </c>
      <c r="O1498" s="29">
        <v>0</v>
      </c>
    </row>
    <row r="1499" spans="1:15" x14ac:dyDescent="0.3">
      <c r="A1499" s="28" t="s">
        <v>575</v>
      </c>
      <c r="B1499" s="28" t="s">
        <v>576</v>
      </c>
      <c r="C1499" s="28" t="s">
        <v>561</v>
      </c>
      <c r="D1499" s="28" t="s">
        <v>577</v>
      </c>
      <c r="E1499" s="28" t="s">
        <v>612</v>
      </c>
      <c r="F1499" s="28" t="s">
        <v>599</v>
      </c>
      <c r="G1499" s="29">
        <v>35</v>
      </c>
      <c r="H1499" s="29">
        <v>0</v>
      </c>
      <c r="I1499" s="29">
        <v>0</v>
      </c>
      <c r="J1499" s="29">
        <v>0</v>
      </c>
      <c r="K1499" s="29">
        <v>0</v>
      </c>
      <c r="L1499" s="29">
        <v>0</v>
      </c>
      <c r="M1499" s="29">
        <v>0</v>
      </c>
      <c r="N1499" s="29">
        <v>0</v>
      </c>
      <c r="O1499" s="29">
        <v>0</v>
      </c>
    </row>
    <row r="1500" spans="1:15" x14ac:dyDescent="0.3">
      <c r="A1500" s="28" t="s">
        <v>575</v>
      </c>
      <c r="B1500" s="28" t="s">
        <v>576</v>
      </c>
      <c r="C1500" s="28" t="s">
        <v>561</v>
      </c>
      <c r="D1500" s="28" t="s">
        <v>577</v>
      </c>
      <c r="E1500" s="28" t="s">
        <v>612</v>
      </c>
      <c r="F1500" s="28" t="s">
        <v>600</v>
      </c>
      <c r="G1500" s="29">
        <v>34</v>
      </c>
      <c r="H1500" s="29">
        <v>0</v>
      </c>
      <c r="I1500" s="29">
        <v>0</v>
      </c>
      <c r="J1500" s="29">
        <v>0</v>
      </c>
      <c r="K1500" s="29">
        <v>0</v>
      </c>
      <c r="L1500" s="29">
        <v>0</v>
      </c>
      <c r="M1500" s="29">
        <v>0</v>
      </c>
      <c r="N1500" s="29">
        <v>0</v>
      </c>
      <c r="O1500" s="29">
        <v>0</v>
      </c>
    </row>
    <row r="1501" spans="1:15" x14ac:dyDescent="0.3">
      <c r="A1501" s="28" t="s">
        <v>575</v>
      </c>
      <c r="B1501" s="28" t="s">
        <v>576</v>
      </c>
      <c r="C1501" s="28" t="s">
        <v>561</v>
      </c>
      <c r="D1501" s="28" t="s">
        <v>577</v>
      </c>
      <c r="E1501" s="28" t="s">
        <v>612</v>
      </c>
      <c r="F1501" s="28" t="s">
        <v>601</v>
      </c>
      <c r="G1501" s="29">
        <v>104</v>
      </c>
      <c r="H1501" s="29">
        <v>0</v>
      </c>
      <c r="I1501" s="29">
        <v>0</v>
      </c>
      <c r="J1501" s="29">
        <v>0</v>
      </c>
      <c r="K1501" s="29">
        <v>0</v>
      </c>
      <c r="L1501" s="29">
        <v>0</v>
      </c>
      <c r="M1501" s="29">
        <v>0</v>
      </c>
      <c r="N1501" s="29">
        <v>0</v>
      </c>
      <c r="O1501" s="29">
        <v>0</v>
      </c>
    </row>
    <row r="1502" spans="1:15" x14ac:dyDescent="0.3">
      <c r="A1502" s="28" t="s">
        <v>575</v>
      </c>
      <c r="B1502" s="28" t="s">
        <v>576</v>
      </c>
      <c r="C1502" s="28" t="s">
        <v>561</v>
      </c>
      <c r="D1502" s="28" t="s">
        <v>577</v>
      </c>
      <c r="E1502" s="28" t="s">
        <v>612</v>
      </c>
      <c r="F1502" s="28" t="s">
        <v>602</v>
      </c>
      <c r="G1502" s="29">
        <v>439</v>
      </c>
      <c r="H1502" s="29">
        <v>0</v>
      </c>
      <c r="I1502" s="29">
        <v>0</v>
      </c>
      <c r="J1502" s="29">
        <v>0</v>
      </c>
      <c r="K1502" s="29">
        <v>0</v>
      </c>
      <c r="L1502" s="29">
        <v>0</v>
      </c>
      <c r="M1502" s="29">
        <v>0</v>
      </c>
      <c r="N1502" s="29">
        <v>0</v>
      </c>
      <c r="O1502" s="29">
        <v>0</v>
      </c>
    </row>
    <row r="1503" spans="1:15" x14ac:dyDescent="0.3">
      <c r="A1503" s="28" t="s">
        <v>575</v>
      </c>
      <c r="B1503" s="28" t="s">
        <v>576</v>
      </c>
      <c r="C1503" s="28" t="s">
        <v>561</v>
      </c>
      <c r="D1503" s="28" t="s">
        <v>577</v>
      </c>
      <c r="E1503" s="28" t="s">
        <v>612</v>
      </c>
      <c r="F1503" s="28" t="s">
        <v>603</v>
      </c>
      <c r="G1503" s="29">
        <v>1657</v>
      </c>
      <c r="H1503" s="29">
        <v>1</v>
      </c>
      <c r="I1503" s="29">
        <v>2</v>
      </c>
      <c r="J1503" s="29">
        <v>0</v>
      </c>
      <c r="K1503" s="29">
        <v>2</v>
      </c>
      <c r="L1503" s="29">
        <v>0</v>
      </c>
      <c r="M1503" s="29">
        <v>0</v>
      </c>
      <c r="N1503" s="29">
        <v>0</v>
      </c>
      <c r="O1503" s="29">
        <v>0</v>
      </c>
    </row>
    <row r="1504" spans="1:15" x14ac:dyDescent="0.3">
      <c r="A1504" s="28" t="s">
        <v>575</v>
      </c>
      <c r="B1504" s="28" t="s">
        <v>576</v>
      </c>
      <c r="C1504" s="28" t="s">
        <v>561</v>
      </c>
      <c r="D1504" s="28" t="s">
        <v>577</v>
      </c>
      <c r="E1504" s="28" t="s">
        <v>612</v>
      </c>
      <c r="F1504" s="28" t="s">
        <v>604</v>
      </c>
      <c r="G1504" s="29">
        <v>3623</v>
      </c>
      <c r="H1504" s="29">
        <v>0</v>
      </c>
      <c r="I1504" s="29">
        <v>0</v>
      </c>
      <c r="J1504" s="29">
        <v>0</v>
      </c>
      <c r="K1504" s="29">
        <v>0</v>
      </c>
      <c r="L1504" s="29">
        <v>0</v>
      </c>
      <c r="M1504" s="29">
        <v>0</v>
      </c>
      <c r="N1504" s="29">
        <v>0</v>
      </c>
      <c r="O1504" s="29">
        <v>0</v>
      </c>
    </row>
    <row r="1505" spans="1:15" x14ac:dyDescent="0.3">
      <c r="A1505" s="28" t="s">
        <v>575</v>
      </c>
      <c r="B1505" s="28" t="s">
        <v>576</v>
      </c>
      <c r="C1505" s="28" t="s">
        <v>561</v>
      </c>
      <c r="D1505" s="28" t="s">
        <v>577</v>
      </c>
      <c r="E1505" s="28" t="s">
        <v>612</v>
      </c>
      <c r="F1505" s="28" t="s">
        <v>581</v>
      </c>
      <c r="G1505" s="29">
        <v>1922</v>
      </c>
      <c r="H1505" s="29">
        <v>2</v>
      </c>
      <c r="I1505" s="29">
        <v>2</v>
      </c>
      <c r="J1505" s="29">
        <v>1</v>
      </c>
      <c r="K1505" s="29">
        <v>1</v>
      </c>
      <c r="L1505" s="29">
        <v>0</v>
      </c>
      <c r="M1505" s="29">
        <v>0</v>
      </c>
      <c r="N1505" s="29">
        <v>0</v>
      </c>
      <c r="O1505" s="29">
        <v>0</v>
      </c>
    </row>
    <row r="1506" spans="1:15" x14ac:dyDescent="0.3">
      <c r="A1506" s="28" t="s">
        <v>575</v>
      </c>
      <c r="B1506" s="28" t="s">
        <v>576</v>
      </c>
      <c r="C1506" s="28" t="s">
        <v>561</v>
      </c>
      <c r="D1506" s="28" t="s">
        <v>577</v>
      </c>
      <c r="E1506" s="28" t="s">
        <v>612</v>
      </c>
      <c r="F1506" s="28" t="s">
        <v>582</v>
      </c>
      <c r="G1506" s="29">
        <v>24</v>
      </c>
      <c r="H1506" s="29">
        <v>0</v>
      </c>
      <c r="I1506" s="29">
        <v>2</v>
      </c>
      <c r="J1506" s="29">
        <v>0</v>
      </c>
      <c r="K1506" s="29">
        <v>2</v>
      </c>
      <c r="L1506" s="29">
        <v>500</v>
      </c>
      <c r="M1506" s="29">
        <v>0</v>
      </c>
      <c r="N1506" s="29">
        <v>500</v>
      </c>
      <c r="O1506" s="29">
        <v>0</v>
      </c>
    </row>
    <row r="1507" spans="1:15" x14ac:dyDescent="0.3">
      <c r="A1507" s="28" t="s">
        <v>575</v>
      </c>
      <c r="B1507" s="28" t="s">
        <v>576</v>
      </c>
      <c r="C1507" s="28" t="s">
        <v>561</v>
      </c>
      <c r="D1507" s="28" t="s">
        <v>577</v>
      </c>
      <c r="E1507" s="28" t="s">
        <v>612</v>
      </c>
      <c r="F1507" s="28" t="s">
        <v>585</v>
      </c>
      <c r="G1507" s="29">
        <v>0</v>
      </c>
      <c r="H1507" s="29">
        <v>0</v>
      </c>
      <c r="I1507" s="29">
        <v>1</v>
      </c>
      <c r="J1507" s="29">
        <v>0</v>
      </c>
      <c r="K1507" s="29">
        <v>1</v>
      </c>
      <c r="L1507" s="29">
        <v>0</v>
      </c>
      <c r="M1507" s="29">
        <v>0</v>
      </c>
      <c r="N1507" s="29">
        <v>0</v>
      </c>
      <c r="O1507" s="29">
        <v>0</v>
      </c>
    </row>
    <row r="1508" spans="1:15" x14ac:dyDescent="0.3">
      <c r="A1508" s="28" t="s">
        <v>575</v>
      </c>
      <c r="B1508" s="28" t="s">
        <v>576</v>
      </c>
      <c r="C1508" s="28" t="s">
        <v>561</v>
      </c>
      <c r="D1508" s="28" t="s">
        <v>577</v>
      </c>
      <c r="E1508" s="28" t="s">
        <v>612</v>
      </c>
      <c r="F1508" s="28" t="s">
        <v>586</v>
      </c>
      <c r="G1508" s="29">
        <v>19</v>
      </c>
      <c r="H1508" s="29">
        <v>0</v>
      </c>
      <c r="I1508" s="29">
        <v>0</v>
      </c>
      <c r="J1508" s="29">
        <v>0</v>
      </c>
      <c r="K1508" s="29">
        <v>0</v>
      </c>
      <c r="L1508" s="29">
        <v>0</v>
      </c>
      <c r="M1508" s="29">
        <v>0</v>
      </c>
      <c r="N1508" s="29">
        <v>0</v>
      </c>
      <c r="O1508" s="29">
        <v>0</v>
      </c>
    </row>
    <row r="1509" spans="1:15" x14ac:dyDescent="0.3">
      <c r="A1509" s="28" t="s">
        <v>575</v>
      </c>
      <c r="B1509" s="28" t="s">
        <v>576</v>
      </c>
      <c r="C1509" s="28" t="s">
        <v>561</v>
      </c>
      <c r="D1509" s="28" t="s">
        <v>577</v>
      </c>
      <c r="E1509" s="28" t="s">
        <v>612</v>
      </c>
      <c r="F1509" s="28" t="s">
        <v>587</v>
      </c>
      <c r="G1509" s="29">
        <v>279</v>
      </c>
      <c r="H1509" s="29">
        <v>1</v>
      </c>
      <c r="I1509" s="29">
        <v>4</v>
      </c>
      <c r="J1509" s="29">
        <v>1</v>
      </c>
      <c r="K1509" s="29">
        <v>3</v>
      </c>
      <c r="L1509" s="29">
        <v>100</v>
      </c>
      <c r="M1509" s="29">
        <v>0</v>
      </c>
      <c r="N1509" s="29">
        <v>100</v>
      </c>
      <c r="O1509" s="29">
        <v>0</v>
      </c>
    </row>
    <row r="1510" spans="1:15" x14ac:dyDescent="0.3">
      <c r="A1510" s="28" t="s">
        <v>575</v>
      </c>
      <c r="B1510" s="28" t="s">
        <v>576</v>
      </c>
      <c r="C1510" s="28" t="s">
        <v>561</v>
      </c>
      <c r="D1510" s="28" t="s">
        <v>577</v>
      </c>
      <c r="E1510" s="28" t="s">
        <v>612</v>
      </c>
      <c r="F1510" s="28" t="s">
        <v>579</v>
      </c>
      <c r="G1510" s="29">
        <v>844</v>
      </c>
      <c r="H1510" s="29">
        <v>2</v>
      </c>
      <c r="I1510" s="29">
        <v>4</v>
      </c>
      <c r="J1510" s="29">
        <v>0</v>
      </c>
      <c r="K1510" s="29">
        <v>4</v>
      </c>
      <c r="L1510" s="29">
        <v>0</v>
      </c>
      <c r="M1510" s="29">
        <v>0</v>
      </c>
      <c r="N1510" s="29">
        <v>0</v>
      </c>
      <c r="O1510" s="29">
        <v>0</v>
      </c>
    </row>
    <row r="1511" spans="1:15" x14ac:dyDescent="0.3">
      <c r="A1511" s="28" t="s">
        <v>575</v>
      </c>
      <c r="B1511" s="28" t="s">
        <v>576</v>
      </c>
      <c r="C1511" s="28" t="s">
        <v>561</v>
      </c>
      <c r="D1511" s="28" t="s">
        <v>577</v>
      </c>
      <c r="E1511" s="28" t="s">
        <v>612</v>
      </c>
      <c r="F1511" s="28" t="s">
        <v>588</v>
      </c>
      <c r="G1511" s="29">
        <v>1212</v>
      </c>
      <c r="H1511" s="29">
        <v>2</v>
      </c>
      <c r="I1511" s="29">
        <v>4</v>
      </c>
      <c r="J1511" s="29">
        <v>0</v>
      </c>
      <c r="K1511" s="29">
        <v>4</v>
      </c>
      <c r="L1511" s="29">
        <v>0</v>
      </c>
      <c r="M1511" s="29">
        <v>0</v>
      </c>
      <c r="N1511" s="29">
        <v>0</v>
      </c>
      <c r="O1511" s="29">
        <v>0</v>
      </c>
    </row>
    <row r="1512" spans="1:15" x14ac:dyDescent="0.3">
      <c r="A1512" s="28" t="s">
        <v>575</v>
      </c>
      <c r="B1512" s="28" t="s">
        <v>576</v>
      </c>
      <c r="C1512" s="28" t="s">
        <v>561</v>
      </c>
      <c r="D1512" s="28" t="s">
        <v>577</v>
      </c>
      <c r="E1512" s="28" t="s">
        <v>612</v>
      </c>
      <c r="F1512" s="28" t="s">
        <v>589</v>
      </c>
      <c r="G1512" s="29">
        <v>1043</v>
      </c>
      <c r="H1512" s="29">
        <v>2</v>
      </c>
      <c r="I1512" s="29">
        <v>2</v>
      </c>
      <c r="J1512" s="29">
        <v>1</v>
      </c>
      <c r="K1512" s="29">
        <v>1</v>
      </c>
      <c r="L1512" s="29">
        <v>0</v>
      </c>
      <c r="M1512" s="29">
        <v>0</v>
      </c>
      <c r="N1512" s="29">
        <v>0</v>
      </c>
      <c r="O1512" s="29">
        <v>0</v>
      </c>
    </row>
    <row r="1513" spans="1:15" x14ac:dyDescent="0.3">
      <c r="A1513" s="28" t="s">
        <v>575</v>
      </c>
      <c r="B1513" s="28" t="s">
        <v>576</v>
      </c>
      <c r="C1513" s="28" t="s">
        <v>561</v>
      </c>
      <c r="D1513" s="28" t="s">
        <v>577</v>
      </c>
      <c r="E1513" s="28" t="s">
        <v>612</v>
      </c>
      <c r="F1513" s="28" t="s">
        <v>590</v>
      </c>
      <c r="G1513" s="29">
        <v>1177</v>
      </c>
      <c r="H1513" s="29">
        <v>2</v>
      </c>
      <c r="I1513" s="29">
        <v>3</v>
      </c>
      <c r="J1513" s="29">
        <v>0</v>
      </c>
      <c r="K1513" s="29">
        <v>3</v>
      </c>
      <c r="L1513" s="29">
        <v>100</v>
      </c>
      <c r="M1513" s="29">
        <v>0</v>
      </c>
      <c r="N1513" s="29">
        <v>100</v>
      </c>
      <c r="O1513" s="29">
        <v>0</v>
      </c>
    </row>
    <row r="1514" spans="1:15" x14ac:dyDescent="0.3">
      <c r="A1514" s="28" t="s">
        <v>575</v>
      </c>
      <c r="B1514" s="28" t="s">
        <v>576</v>
      </c>
      <c r="C1514" s="28" t="s">
        <v>561</v>
      </c>
      <c r="D1514" s="28" t="s">
        <v>577</v>
      </c>
      <c r="E1514" s="28" t="s">
        <v>612</v>
      </c>
      <c r="F1514" s="28" t="s">
        <v>591</v>
      </c>
      <c r="G1514" s="29">
        <v>1090</v>
      </c>
      <c r="H1514" s="29">
        <v>6</v>
      </c>
      <c r="I1514" s="29">
        <v>5</v>
      </c>
      <c r="J1514" s="29">
        <v>2</v>
      </c>
      <c r="K1514" s="29">
        <v>3</v>
      </c>
      <c r="L1514" s="29">
        <v>1000</v>
      </c>
      <c r="M1514" s="29">
        <v>0</v>
      </c>
      <c r="N1514" s="29">
        <v>1000</v>
      </c>
      <c r="O1514" s="29">
        <v>0</v>
      </c>
    </row>
    <row r="1515" spans="1:15" x14ac:dyDescent="0.3">
      <c r="A1515" s="28" t="s">
        <v>575</v>
      </c>
      <c r="B1515" s="28" t="s">
        <v>576</v>
      </c>
      <c r="C1515" s="28" t="s">
        <v>561</v>
      </c>
      <c r="D1515" s="28" t="s">
        <v>577</v>
      </c>
      <c r="E1515" s="28" t="s">
        <v>612</v>
      </c>
      <c r="F1515" s="28" t="s">
        <v>592</v>
      </c>
      <c r="G1515" s="29">
        <v>849</v>
      </c>
      <c r="H1515" s="29">
        <v>2</v>
      </c>
      <c r="I1515" s="29">
        <v>1</v>
      </c>
      <c r="J1515" s="29">
        <v>0</v>
      </c>
      <c r="K1515" s="29">
        <v>1</v>
      </c>
      <c r="L1515" s="29">
        <v>0</v>
      </c>
      <c r="M1515" s="29">
        <v>0</v>
      </c>
      <c r="N1515" s="29">
        <v>0</v>
      </c>
      <c r="O1515" s="29">
        <v>0</v>
      </c>
    </row>
    <row r="1516" spans="1:15" x14ac:dyDescent="0.3">
      <c r="A1516" s="28" t="s">
        <v>575</v>
      </c>
      <c r="B1516" s="28" t="s">
        <v>576</v>
      </c>
      <c r="C1516" s="28" t="s">
        <v>561</v>
      </c>
      <c r="D1516" s="28" t="s">
        <v>577</v>
      </c>
      <c r="E1516" s="28" t="s">
        <v>612</v>
      </c>
      <c r="F1516" s="28" t="s">
        <v>593</v>
      </c>
      <c r="G1516" s="29">
        <v>670</v>
      </c>
      <c r="H1516" s="29">
        <v>4</v>
      </c>
      <c r="I1516" s="29">
        <v>3</v>
      </c>
      <c r="J1516" s="29">
        <v>0</v>
      </c>
      <c r="K1516" s="29">
        <v>3</v>
      </c>
      <c r="L1516" s="29">
        <v>0</v>
      </c>
      <c r="M1516" s="29">
        <v>0</v>
      </c>
      <c r="N1516" s="29">
        <v>0</v>
      </c>
      <c r="O1516" s="29">
        <v>0</v>
      </c>
    </row>
    <row r="1517" spans="1:15" x14ac:dyDescent="0.3">
      <c r="A1517" s="28" t="s">
        <v>575</v>
      </c>
      <c r="B1517" s="28" t="s">
        <v>576</v>
      </c>
      <c r="C1517" s="28" t="s">
        <v>561</v>
      </c>
      <c r="D1517" s="28" t="s">
        <v>577</v>
      </c>
      <c r="E1517" s="28" t="s">
        <v>612</v>
      </c>
      <c r="F1517" s="28" t="s">
        <v>594</v>
      </c>
      <c r="G1517" s="29">
        <v>383</v>
      </c>
      <c r="H1517" s="29">
        <v>1</v>
      </c>
      <c r="I1517" s="29">
        <v>0</v>
      </c>
      <c r="J1517" s="29">
        <v>0</v>
      </c>
      <c r="K1517" s="29">
        <v>0</v>
      </c>
      <c r="L1517" s="29">
        <v>0</v>
      </c>
      <c r="M1517" s="29">
        <v>0</v>
      </c>
      <c r="N1517" s="29">
        <v>0</v>
      </c>
      <c r="O1517" s="29">
        <v>0</v>
      </c>
    </row>
    <row r="1518" spans="1:15" x14ac:dyDescent="0.3">
      <c r="A1518" s="28" t="s">
        <v>575</v>
      </c>
      <c r="B1518" s="28" t="s">
        <v>576</v>
      </c>
      <c r="C1518" s="28" t="s">
        <v>561</v>
      </c>
      <c r="D1518" s="28" t="s">
        <v>577</v>
      </c>
      <c r="E1518" s="28" t="s">
        <v>612</v>
      </c>
      <c r="F1518" s="28" t="s">
        <v>595</v>
      </c>
      <c r="G1518" s="29">
        <v>318</v>
      </c>
      <c r="H1518" s="29">
        <v>0</v>
      </c>
      <c r="I1518" s="29">
        <v>1</v>
      </c>
      <c r="J1518" s="29">
        <v>0</v>
      </c>
      <c r="K1518" s="29">
        <v>1</v>
      </c>
      <c r="L1518" s="29">
        <v>0</v>
      </c>
      <c r="M1518" s="29">
        <v>0</v>
      </c>
      <c r="N1518" s="29">
        <v>0</v>
      </c>
      <c r="O1518" s="29">
        <v>0</v>
      </c>
    </row>
    <row r="1519" spans="1:15" x14ac:dyDescent="0.3">
      <c r="A1519" s="28" t="s">
        <v>575</v>
      </c>
      <c r="B1519" s="28" t="s">
        <v>576</v>
      </c>
      <c r="C1519" s="28" t="s">
        <v>561</v>
      </c>
      <c r="D1519" s="28" t="s">
        <v>577</v>
      </c>
      <c r="E1519" s="28" t="s">
        <v>613</v>
      </c>
      <c r="F1519" s="28" t="s">
        <v>597</v>
      </c>
      <c r="G1519" s="29">
        <v>201</v>
      </c>
      <c r="H1519" s="29">
        <v>1</v>
      </c>
      <c r="I1519" s="29">
        <v>0</v>
      </c>
      <c r="J1519" s="29">
        <v>0</v>
      </c>
      <c r="K1519" s="29">
        <v>0</v>
      </c>
      <c r="L1519" s="29">
        <v>0</v>
      </c>
      <c r="M1519" s="29">
        <v>0</v>
      </c>
      <c r="N1519" s="29">
        <v>0</v>
      </c>
      <c r="O1519" s="29">
        <v>0</v>
      </c>
    </row>
    <row r="1520" spans="1:15" x14ac:dyDescent="0.3">
      <c r="A1520" s="28" t="s">
        <v>575</v>
      </c>
      <c r="B1520" s="28" t="s">
        <v>576</v>
      </c>
      <c r="C1520" s="28" t="s">
        <v>561</v>
      </c>
      <c r="D1520" s="28" t="s">
        <v>577</v>
      </c>
      <c r="E1520" s="28" t="s">
        <v>613</v>
      </c>
      <c r="F1520" s="28" t="s">
        <v>598</v>
      </c>
      <c r="G1520" s="29">
        <v>135</v>
      </c>
      <c r="H1520" s="29">
        <v>0</v>
      </c>
      <c r="I1520" s="29">
        <v>0</v>
      </c>
      <c r="J1520" s="29">
        <v>0</v>
      </c>
      <c r="K1520" s="29">
        <v>0</v>
      </c>
      <c r="L1520" s="29">
        <v>0</v>
      </c>
      <c r="M1520" s="29">
        <v>0</v>
      </c>
      <c r="N1520" s="29">
        <v>0</v>
      </c>
      <c r="O1520" s="29">
        <v>0</v>
      </c>
    </row>
    <row r="1521" spans="1:15" x14ac:dyDescent="0.3">
      <c r="A1521" s="28" t="s">
        <v>575</v>
      </c>
      <c r="B1521" s="28" t="s">
        <v>576</v>
      </c>
      <c r="C1521" s="28" t="s">
        <v>561</v>
      </c>
      <c r="D1521" s="28" t="s">
        <v>577</v>
      </c>
      <c r="E1521" s="28" t="s">
        <v>613</v>
      </c>
      <c r="F1521" s="28" t="s">
        <v>599</v>
      </c>
      <c r="G1521" s="29">
        <v>115</v>
      </c>
      <c r="H1521" s="29">
        <v>1</v>
      </c>
      <c r="I1521" s="29">
        <v>0</v>
      </c>
      <c r="J1521" s="29">
        <v>0</v>
      </c>
      <c r="K1521" s="29">
        <v>0</v>
      </c>
      <c r="L1521" s="29">
        <v>0</v>
      </c>
      <c r="M1521" s="29">
        <v>0</v>
      </c>
      <c r="N1521" s="29">
        <v>0</v>
      </c>
      <c r="O1521" s="29">
        <v>0</v>
      </c>
    </row>
    <row r="1522" spans="1:15" x14ac:dyDescent="0.3">
      <c r="A1522" s="28" t="s">
        <v>575</v>
      </c>
      <c r="B1522" s="28" t="s">
        <v>576</v>
      </c>
      <c r="C1522" s="28" t="s">
        <v>561</v>
      </c>
      <c r="D1522" s="28" t="s">
        <v>577</v>
      </c>
      <c r="E1522" s="28" t="s">
        <v>613</v>
      </c>
      <c r="F1522" s="28" t="s">
        <v>600</v>
      </c>
      <c r="G1522" s="29">
        <v>152</v>
      </c>
      <c r="H1522" s="29">
        <v>2</v>
      </c>
      <c r="I1522" s="29">
        <v>0</v>
      </c>
      <c r="J1522" s="29">
        <v>0</v>
      </c>
      <c r="K1522" s="29">
        <v>0</v>
      </c>
      <c r="L1522" s="29">
        <v>0</v>
      </c>
      <c r="M1522" s="29">
        <v>0</v>
      </c>
      <c r="N1522" s="29">
        <v>0</v>
      </c>
      <c r="O1522" s="29">
        <v>0</v>
      </c>
    </row>
    <row r="1523" spans="1:15" x14ac:dyDescent="0.3">
      <c r="A1523" s="28" t="s">
        <v>575</v>
      </c>
      <c r="B1523" s="28" t="s">
        <v>576</v>
      </c>
      <c r="C1523" s="28" t="s">
        <v>561</v>
      </c>
      <c r="D1523" s="28" t="s">
        <v>577</v>
      </c>
      <c r="E1523" s="28" t="s">
        <v>613</v>
      </c>
      <c r="F1523" s="28" t="s">
        <v>601</v>
      </c>
      <c r="G1523" s="29">
        <v>423</v>
      </c>
      <c r="H1523" s="29">
        <v>0</v>
      </c>
      <c r="I1523" s="29">
        <v>0</v>
      </c>
      <c r="J1523" s="29">
        <v>0</v>
      </c>
      <c r="K1523" s="29">
        <v>0</v>
      </c>
      <c r="L1523" s="29">
        <v>0</v>
      </c>
      <c r="M1523" s="29">
        <v>0</v>
      </c>
      <c r="N1523" s="29">
        <v>0</v>
      </c>
      <c r="O1523" s="29">
        <v>0</v>
      </c>
    </row>
    <row r="1524" spans="1:15" x14ac:dyDescent="0.3">
      <c r="A1524" s="28" t="s">
        <v>575</v>
      </c>
      <c r="B1524" s="28" t="s">
        <v>576</v>
      </c>
      <c r="C1524" s="28" t="s">
        <v>561</v>
      </c>
      <c r="D1524" s="28" t="s">
        <v>577</v>
      </c>
      <c r="E1524" s="28" t="s">
        <v>613</v>
      </c>
      <c r="F1524" s="28" t="s">
        <v>602</v>
      </c>
      <c r="G1524" s="29">
        <v>1342</v>
      </c>
      <c r="H1524" s="29">
        <v>5</v>
      </c>
      <c r="I1524" s="29">
        <v>0</v>
      </c>
      <c r="J1524" s="29">
        <v>0</v>
      </c>
      <c r="K1524" s="29">
        <v>0</v>
      </c>
      <c r="L1524" s="29">
        <v>0</v>
      </c>
      <c r="M1524" s="29">
        <v>0</v>
      </c>
      <c r="N1524" s="29">
        <v>0</v>
      </c>
      <c r="O1524" s="29">
        <v>0</v>
      </c>
    </row>
    <row r="1525" spans="1:15" x14ac:dyDescent="0.3">
      <c r="A1525" s="28" t="s">
        <v>575</v>
      </c>
      <c r="B1525" s="28" t="s">
        <v>576</v>
      </c>
      <c r="C1525" s="28" t="s">
        <v>561</v>
      </c>
      <c r="D1525" s="28" t="s">
        <v>577</v>
      </c>
      <c r="E1525" s="28" t="s">
        <v>613</v>
      </c>
      <c r="F1525" s="28" t="s">
        <v>603</v>
      </c>
      <c r="G1525" s="29">
        <v>2994</v>
      </c>
      <c r="H1525" s="29">
        <v>7</v>
      </c>
      <c r="I1525" s="29">
        <v>4</v>
      </c>
      <c r="J1525" s="29">
        <v>2</v>
      </c>
      <c r="K1525" s="29">
        <v>2</v>
      </c>
      <c r="L1525" s="29">
        <v>0</v>
      </c>
      <c r="M1525" s="29">
        <v>0</v>
      </c>
      <c r="N1525" s="29">
        <v>0</v>
      </c>
      <c r="O1525" s="29">
        <v>0</v>
      </c>
    </row>
    <row r="1526" spans="1:15" x14ac:dyDescent="0.3">
      <c r="A1526" s="28" t="s">
        <v>575</v>
      </c>
      <c r="B1526" s="28" t="s">
        <v>576</v>
      </c>
      <c r="C1526" s="28" t="s">
        <v>561</v>
      </c>
      <c r="D1526" s="28" t="s">
        <v>577</v>
      </c>
      <c r="E1526" s="28" t="s">
        <v>613</v>
      </c>
      <c r="F1526" s="28" t="s">
        <v>604</v>
      </c>
      <c r="G1526" s="29">
        <v>4011</v>
      </c>
      <c r="H1526" s="29">
        <v>5</v>
      </c>
      <c r="I1526" s="29">
        <v>0</v>
      </c>
      <c r="J1526" s="29">
        <v>0</v>
      </c>
      <c r="K1526" s="29">
        <v>0</v>
      </c>
      <c r="L1526" s="29">
        <v>0</v>
      </c>
      <c r="M1526" s="29">
        <v>0</v>
      </c>
      <c r="N1526" s="29">
        <v>0</v>
      </c>
      <c r="O1526" s="29">
        <v>0</v>
      </c>
    </row>
    <row r="1527" spans="1:15" x14ac:dyDescent="0.3">
      <c r="A1527" s="28" t="s">
        <v>575</v>
      </c>
      <c r="B1527" s="28" t="s">
        <v>576</v>
      </c>
      <c r="C1527" s="28" t="s">
        <v>561</v>
      </c>
      <c r="D1527" s="28" t="s">
        <v>577</v>
      </c>
      <c r="E1527" s="28" t="s">
        <v>613</v>
      </c>
      <c r="F1527" s="28" t="s">
        <v>581</v>
      </c>
      <c r="G1527" s="29">
        <v>538</v>
      </c>
      <c r="H1527" s="29">
        <v>2</v>
      </c>
      <c r="I1527" s="29">
        <v>6</v>
      </c>
      <c r="J1527" s="29">
        <v>0</v>
      </c>
      <c r="K1527" s="29">
        <v>6</v>
      </c>
      <c r="L1527" s="29">
        <v>0</v>
      </c>
      <c r="M1527" s="29">
        <v>0</v>
      </c>
      <c r="N1527" s="29">
        <v>0</v>
      </c>
      <c r="O1527" s="29">
        <v>0</v>
      </c>
    </row>
    <row r="1528" spans="1:15" x14ac:dyDescent="0.3">
      <c r="A1528" s="28" t="s">
        <v>575</v>
      </c>
      <c r="B1528" s="28" t="s">
        <v>576</v>
      </c>
      <c r="C1528" s="28" t="s">
        <v>561</v>
      </c>
      <c r="D1528" s="28" t="s">
        <v>577</v>
      </c>
      <c r="E1528" s="28" t="s">
        <v>613</v>
      </c>
      <c r="F1528" s="28" t="s">
        <v>582</v>
      </c>
      <c r="G1528" s="29">
        <v>0</v>
      </c>
      <c r="H1528" s="29">
        <v>0</v>
      </c>
      <c r="I1528" s="29">
        <v>1</v>
      </c>
      <c r="J1528" s="29">
        <v>0</v>
      </c>
      <c r="K1528" s="29">
        <v>1</v>
      </c>
      <c r="L1528" s="29">
        <v>0</v>
      </c>
      <c r="M1528" s="29">
        <v>0</v>
      </c>
      <c r="N1528" s="29">
        <v>0</v>
      </c>
      <c r="O1528" s="29">
        <v>0</v>
      </c>
    </row>
    <row r="1529" spans="1:15" x14ac:dyDescent="0.3">
      <c r="A1529" s="28" t="s">
        <v>575</v>
      </c>
      <c r="B1529" s="28" t="s">
        <v>576</v>
      </c>
      <c r="C1529" s="28" t="s">
        <v>561</v>
      </c>
      <c r="D1529" s="28" t="s">
        <v>577</v>
      </c>
      <c r="E1529" s="28" t="s">
        <v>613</v>
      </c>
      <c r="F1529" s="28" t="s">
        <v>583</v>
      </c>
      <c r="G1529" s="29">
        <v>0</v>
      </c>
      <c r="H1529" s="29">
        <v>0</v>
      </c>
      <c r="I1529" s="29">
        <v>1</v>
      </c>
      <c r="J1529" s="29">
        <v>0</v>
      </c>
      <c r="K1529" s="29">
        <v>1</v>
      </c>
      <c r="L1529" s="29">
        <v>0</v>
      </c>
      <c r="M1529" s="29">
        <v>0</v>
      </c>
      <c r="N1529" s="29">
        <v>0</v>
      </c>
      <c r="O1529" s="29">
        <v>0</v>
      </c>
    </row>
    <row r="1530" spans="1:15" x14ac:dyDescent="0.3">
      <c r="A1530" s="28" t="s">
        <v>575</v>
      </c>
      <c r="B1530" s="28" t="s">
        <v>576</v>
      </c>
      <c r="C1530" s="28" t="s">
        <v>561</v>
      </c>
      <c r="D1530" s="28" t="s">
        <v>577</v>
      </c>
      <c r="E1530" s="28" t="s">
        <v>613</v>
      </c>
      <c r="F1530" s="28" t="s">
        <v>584</v>
      </c>
      <c r="G1530" s="29">
        <v>0</v>
      </c>
      <c r="H1530" s="29">
        <v>0</v>
      </c>
      <c r="I1530" s="29">
        <v>4</v>
      </c>
      <c r="J1530" s="29">
        <v>3</v>
      </c>
      <c r="K1530" s="29">
        <v>1</v>
      </c>
      <c r="L1530" s="29">
        <v>500</v>
      </c>
      <c r="M1530" s="29">
        <v>500</v>
      </c>
      <c r="N1530" s="29">
        <v>0</v>
      </c>
      <c r="O1530" s="29">
        <v>0</v>
      </c>
    </row>
    <row r="1531" spans="1:15" x14ac:dyDescent="0.3">
      <c r="A1531" s="28" t="s">
        <v>575</v>
      </c>
      <c r="B1531" s="28" t="s">
        <v>576</v>
      </c>
      <c r="C1531" s="28" t="s">
        <v>561</v>
      </c>
      <c r="D1531" s="28" t="s">
        <v>577</v>
      </c>
      <c r="E1531" s="28" t="s">
        <v>613</v>
      </c>
      <c r="F1531" s="28" t="s">
        <v>585</v>
      </c>
      <c r="G1531" s="29">
        <v>0</v>
      </c>
      <c r="H1531" s="29">
        <v>0</v>
      </c>
      <c r="I1531" s="29">
        <v>4</v>
      </c>
      <c r="J1531" s="29">
        <v>0</v>
      </c>
      <c r="K1531" s="29">
        <v>4</v>
      </c>
      <c r="L1531" s="29">
        <v>0</v>
      </c>
      <c r="M1531" s="29">
        <v>0</v>
      </c>
      <c r="N1531" s="29">
        <v>0</v>
      </c>
      <c r="O1531" s="29">
        <v>0</v>
      </c>
    </row>
    <row r="1532" spans="1:15" x14ac:dyDescent="0.3">
      <c r="A1532" s="28" t="s">
        <v>575</v>
      </c>
      <c r="B1532" s="28" t="s">
        <v>576</v>
      </c>
      <c r="C1532" s="28" t="s">
        <v>561</v>
      </c>
      <c r="D1532" s="28" t="s">
        <v>577</v>
      </c>
      <c r="E1532" s="28" t="s">
        <v>613</v>
      </c>
      <c r="F1532" s="28" t="s">
        <v>586</v>
      </c>
      <c r="G1532" s="29">
        <v>0</v>
      </c>
      <c r="H1532" s="29">
        <v>0</v>
      </c>
      <c r="I1532" s="29">
        <v>2</v>
      </c>
      <c r="J1532" s="29">
        <v>0</v>
      </c>
      <c r="K1532" s="29">
        <v>2</v>
      </c>
      <c r="L1532" s="29">
        <v>500</v>
      </c>
      <c r="M1532" s="29">
        <v>0</v>
      </c>
      <c r="N1532" s="29">
        <v>500</v>
      </c>
      <c r="O1532" s="29">
        <v>0</v>
      </c>
    </row>
    <row r="1533" spans="1:15" x14ac:dyDescent="0.3">
      <c r="A1533" s="28" t="s">
        <v>575</v>
      </c>
      <c r="B1533" s="28" t="s">
        <v>576</v>
      </c>
      <c r="C1533" s="28" t="s">
        <v>561</v>
      </c>
      <c r="D1533" s="28" t="s">
        <v>577</v>
      </c>
      <c r="E1533" s="28" t="s">
        <v>613</v>
      </c>
      <c r="F1533" s="28" t="s">
        <v>587</v>
      </c>
      <c r="G1533" s="29">
        <v>15</v>
      </c>
      <c r="H1533" s="29">
        <v>1</v>
      </c>
      <c r="I1533" s="29">
        <v>1</v>
      </c>
      <c r="J1533" s="29">
        <v>0</v>
      </c>
      <c r="K1533" s="29">
        <v>1</v>
      </c>
      <c r="L1533" s="29">
        <v>0</v>
      </c>
      <c r="M1533" s="29">
        <v>0</v>
      </c>
      <c r="N1533" s="29">
        <v>0</v>
      </c>
      <c r="O1533" s="29">
        <v>0</v>
      </c>
    </row>
    <row r="1534" spans="1:15" x14ac:dyDescent="0.3">
      <c r="A1534" s="28" t="s">
        <v>575</v>
      </c>
      <c r="B1534" s="28" t="s">
        <v>576</v>
      </c>
      <c r="C1534" s="28" t="s">
        <v>561</v>
      </c>
      <c r="D1534" s="28" t="s">
        <v>577</v>
      </c>
      <c r="E1534" s="28" t="s">
        <v>613</v>
      </c>
      <c r="F1534" s="28" t="s">
        <v>579</v>
      </c>
      <c r="G1534" s="29">
        <v>160</v>
      </c>
      <c r="H1534" s="29">
        <v>0</v>
      </c>
      <c r="I1534" s="29">
        <v>2</v>
      </c>
      <c r="J1534" s="29">
        <v>0</v>
      </c>
      <c r="K1534" s="29">
        <v>2</v>
      </c>
      <c r="L1534" s="29">
        <v>0</v>
      </c>
      <c r="M1534" s="29">
        <v>0</v>
      </c>
      <c r="N1534" s="29">
        <v>0</v>
      </c>
      <c r="O1534" s="29">
        <v>0</v>
      </c>
    </row>
    <row r="1535" spans="1:15" x14ac:dyDescent="0.3">
      <c r="A1535" s="28" t="s">
        <v>575</v>
      </c>
      <c r="B1535" s="28" t="s">
        <v>576</v>
      </c>
      <c r="C1535" s="28" t="s">
        <v>561</v>
      </c>
      <c r="D1535" s="28" t="s">
        <v>577</v>
      </c>
      <c r="E1535" s="28" t="s">
        <v>613</v>
      </c>
      <c r="F1535" s="28" t="s">
        <v>588</v>
      </c>
      <c r="G1535" s="29">
        <v>294</v>
      </c>
      <c r="H1535" s="29">
        <v>0</v>
      </c>
      <c r="I1535" s="29">
        <v>0</v>
      </c>
      <c r="J1535" s="29">
        <v>0</v>
      </c>
      <c r="K1535" s="29">
        <v>0</v>
      </c>
      <c r="L1535" s="29">
        <v>0</v>
      </c>
      <c r="M1535" s="29">
        <v>0</v>
      </c>
      <c r="N1535" s="29">
        <v>0</v>
      </c>
      <c r="O1535" s="29">
        <v>0</v>
      </c>
    </row>
    <row r="1536" spans="1:15" x14ac:dyDescent="0.3">
      <c r="A1536" s="28" t="s">
        <v>575</v>
      </c>
      <c r="B1536" s="28" t="s">
        <v>576</v>
      </c>
      <c r="C1536" s="28" t="s">
        <v>561</v>
      </c>
      <c r="D1536" s="28" t="s">
        <v>577</v>
      </c>
      <c r="E1536" s="28" t="s">
        <v>613</v>
      </c>
      <c r="F1536" s="28" t="s">
        <v>589</v>
      </c>
      <c r="G1536" s="29">
        <v>302</v>
      </c>
      <c r="H1536" s="29">
        <v>0</v>
      </c>
      <c r="I1536" s="29">
        <v>2</v>
      </c>
      <c r="J1536" s="29">
        <v>0</v>
      </c>
      <c r="K1536" s="29">
        <v>2</v>
      </c>
      <c r="L1536" s="29">
        <v>0</v>
      </c>
      <c r="M1536" s="29">
        <v>0</v>
      </c>
      <c r="N1536" s="29">
        <v>0</v>
      </c>
      <c r="O1536" s="29">
        <v>0</v>
      </c>
    </row>
    <row r="1537" spans="1:15" x14ac:dyDescent="0.3">
      <c r="A1537" s="28" t="s">
        <v>575</v>
      </c>
      <c r="B1537" s="28" t="s">
        <v>576</v>
      </c>
      <c r="C1537" s="28" t="s">
        <v>561</v>
      </c>
      <c r="D1537" s="28" t="s">
        <v>577</v>
      </c>
      <c r="E1537" s="28" t="s">
        <v>613</v>
      </c>
      <c r="F1537" s="28" t="s">
        <v>590</v>
      </c>
      <c r="G1537" s="29">
        <v>582</v>
      </c>
      <c r="H1537" s="29">
        <v>1</v>
      </c>
      <c r="I1537" s="29">
        <v>2</v>
      </c>
      <c r="J1537" s="29">
        <v>0</v>
      </c>
      <c r="K1537" s="29">
        <v>2</v>
      </c>
      <c r="L1537" s="29">
        <v>0</v>
      </c>
      <c r="M1537" s="29">
        <v>0</v>
      </c>
      <c r="N1537" s="29">
        <v>0</v>
      </c>
      <c r="O1537" s="29">
        <v>0</v>
      </c>
    </row>
    <row r="1538" spans="1:15" x14ac:dyDescent="0.3">
      <c r="A1538" s="28" t="s">
        <v>575</v>
      </c>
      <c r="B1538" s="28" t="s">
        <v>576</v>
      </c>
      <c r="C1538" s="28" t="s">
        <v>561</v>
      </c>
      <c r="D1538" s="28" t="s">
        <v>577</v>
      </c>
      <c r="E1538" s="28" t="s">
        <v>613</v>
      </c>
      <c r="F1538" s="28" t="s">
        <v>591</v>
      </c>
      <c r="G1538" s="29">
        <v>928</v>
      </c>
      <c r="H1538" s="29">
        <v>1</v>
      </c>
      <c r="I1538" s="29">
        <v>0</v>
      </c>
      <c r="J1538" s="29">
        <v>0</v>
      </c>
      <c r="K1538" s="29">
        <v>0</v>
      </c>
      <c r="L1538" s="29">
        <v>0</v>
      </c>
      <c r="M1538" s="29">
        <v>0</v>
      </c>
      <c r="N1538" s="29">
        <v>0</v>
      </c>
      <c r="O1538" s="29">
        <v>0</v>
      </c>
    </row>
    <row r="1539" spans="1:15" x14ac:dyDescent="0.3">
      <c r="A1539" s="28" t="s">
        <v>575</v>
      </c>
      <c r="B1539" s="28" t="s">
        <v>576</v>
      </c>
      <c r="C1539" s="28" t="s">
        <v>561</v>
      </c>
      <c r="D1539" s="28" t="s">
        <v>577</v>
      </c>
      <c r="E1539" s="28" t="s">
        <v>613</v>
      </c>
      <c r="F1539" s="28" t="s">
        <v>592</v>
      </c>
      <c r="G1539" s="29">
        <v>1299</v>
      </c>
      <c r="H1539" s="29">
        <v>3</v>
      </c>
      <c r="I1539" s="29">
        <v>2</v>
      </c>
      <c r="J1539" s="29">
        <v>2</v>
      </c>
      <c r="K1539" s="29">
        <v>0</v>
      </c>
      <c r="L1539" s="29">
        <v>0</v>
      </c>
      <c r="M1539" s="29">
        <v>0</v>
      </c>
      <c r="N1539" s="29">
        <v>0</v>
      </c>
      <c r="O1539" s="29">
        <v>0</v>
      </c>
    </row>
    <row r="1540" spans="1:15" x14ac:dyDescent="0.3">
      <c r="A1540" s="28" t="s">
        <v>575</v>
      </c>
      <c r="B1540" s="28" t="s">
        <v>576</v>
      </c>
      <c r="C1540" s="28" t="s">
        <v>561</v>
      </c>
      <c r="D1540" s="28" t="s">
        <v>577</v>
      </c>
      <c r="E1540" s="28" t="s">
        <v>613</v>
      </c>
      <c r="F1540" s="28" t="s">
        <v>593</v>
      </c>
      <c r="G1540" s="29">
        <v>1483</v>
      </c>
      <c r="H1540" s="29">
        <v>2</v>
      </c>
      <c r="I1540" s="29">
        <v>0</v>
      </c>
      <c r="J1540" s="29">
        <v>0</v>
      </c>
      <c r="K1540" s="29">
        <v>0</v>
      </c>
      <c r="L1540" s="29">
        <v>0</v>
      </c>
      <c r="M1540" s="29">
        <v>0</v>
      </c>
      <c r="N1540" s="29">
        <v>0</v>
      </c>
      <c r="O1540" s="29">
        <v>0</v>
      </c>
    </row>
    <row r="1541" spans="1:15" x14ac:dyDescent="0.3">
      <c r="A1541" s="28" t="s">
        <v>575</v>
      </c>
      <c r="B1541" s="28" t="s">
        <v>576</v>
      </c>
      <c r="C1541" s="28" t="s">
        <v>561</v>
      </c>
      <c r="D1541" s="28" t="s">
        <v>577</v>
      </c>
      <c r="E1541" s="28" t="s">
        <v>613</v>
      </c>
      <c r="F1541" s="28" t="s">
        <v>594</v>
      </c>
      <c r="G1541" s="29">
        <v>1320</v>
      </c>
      <c r="H1541" s="29">
        <v>4</v>
      </c>
      <c r="I1541" s="29">
        <v>3</v>
      </c>
      <c r="J1541" s="29">
        <v>0</v>
      </c>
      <c r="K1541" s="29">
        <v>3</v>
      </c>
      <c r="L1541" s="29">
        <v>0</v>
      </c>
      <c r="M1541" s="29">
        <v>0</v>
      </c>
      <c r="N1541" s="29">
        <v>0</v>
      </c>
      <c r="O1541" s="29">
        <v>0</v>
      </c>
    </row>
    <row r="1542" spans="1:15" x14ac:dyDescent="0.3">
      <c r="A1542" s="28" t="s">
        <v>575</v>
      </c>
      <c r="B1542" s="28" t="s">
        <v>576</v>
      </c>
      <c r="C1542" s="28" t="s">
        <v>561</v>
      </c>
      <c r="D1542" s="28" t="s">
        <v>577</v>
      </c>
      <c r="E1542" s="28" t="s">
        <v>613</v>
      </c>
      <c r="F1542" s="28" t="s">
        <v>595</v>
      </c>
      <c r="G1542" s="29">
        <v>822</v>
      </c>
      <c r="H1542" s="29">
        <v>1</v>
      </c>
      <c r="I1542" s="29">
        <v>1</v>
      </c>
      <c r="J1542" s="29">
        <v>0</v>
      </c>
      <c r="K1542" s="29">
        <v>1</v>
      </c>
      <c r="L1542" s="29">
        <v>0</v>
      </c>
      <c r="M1542" s="29">
        <v>0</v>
      </c>
      <c r="N1542" s="29">
        <v>0</v>
      </c>
      <c r="O1542" s="29">
        <v>0</v>
      </c>
    </row>
    <row r="1543" spans="1:15" x14ac:dyDescent="0.3">
      <c r="A1543" s="28" t="s">
        <v>575</v>
      </c>
      <c r="B1543" s="28" t="s">
        <v>576</v>
      </c>
      <c r="C1543" s="28" t="s">
        <v>561</v>
      </c>
      <c r="D1543" s="28" t="s">
        <v>577</v>
      </c>
      <c r="E1543" s="28" t="s">
        <v>614</v>
      </c>
      <c r="F1543" s="28" t="s">
        <v>597</v>
      </c>
      <c r="G1543" s="29">
        <v>238</v>
      </c>
      <c r="H1543" s="29">
        <v>0</v>
      </c>
      <c r="I1543" s="29">
        <v>2</v>
      </c>
      <c r="J1543" s="29">
        <v>0</v>
      </c>
      <c r="K1543" s="29">
        <v>2</v>
      </c>
      <c r="L1543" s="29">
        <v>0</v>
      </c>
      <c r="M1543" s="29">
        <v>0</v>
      </c>
      <c r="N1543" s="29">
        <v>0</v>
      </c>
      <c r="O1543" s="29">
        <v>0</v>
      </c>
    </row>
    <row r="1544" spans="1:15" x14ac:dyDescent="0.3">
      <c r="A1544" s="28" t="s">
        <v>575</v>
      </c>
      <c r="B1544" s="28" t="s">
        <v>576</v>
      </c>
      <c r="C1544" s="28" t="s">
        <v>561</v>
      </c>
      <c r="D1544" s="28" t="s">
        <v>577</v>
      </c>
      <c r="E1544" s="28" t="s">
        <v>614</v>
      </c>
      <c r="F1544" s="28" t="s">
        <v>598</v>
      </c>
      <c r="G1544" s="29">
        <v>40</v>
      </c>
      <c r="H1544" s="29">
        <v>0</v>
      </c>
      <c r="I1544" s="29">
        <v>0</v>
      </c>
      <c r="J1544" s="29">
        <v>0</v>
      </c>
      <c r="K1544" s="29">
        <v>0</v>
      </c>
      <c r="L1544" s="29">
        <v>0</v>
      </c>
      <c r="M1544" s="29">
        <v>0</v>
      </c>
      <c r="N1544" s="29">
        <v>0</v>
      </c>
      <c r="O1544" s="29">
        <v>0</v>
      </c>
    </row>
    <row r="1545" spans="1:15" x14ac:dyDescent="0.3">
      <c r="A1545" s="28" t="s">
        <v>575</v>
      </c>
      <c r="B1545" s="28" t="s">
        <v>576</v>
      </c>
      <c r="C1545" s="28" t="s">
        <v>561</v>
      </c>
      <c r="D1545" s="28" t="s">
        <v>577</v>
      </c>
      <c r="E1545" s="28" t="s">
        <v>614</v>
      </c>
      <c r="F1545" s="28" t="s">
        <v>599</v>
      </c>
      <c r="G1545" s="29">
        <v>17</v>
      </c>
      <c r="H1545" s="29">
        <v>0</v>
      </c>
      <c r="I1545" s="29">
        <v>0</v>
      </c>
      <c r="J1545" s="29">
        <v>0</v>
      </c>
      <c r="K1545" s="29">
        <v>0</v>
      </c>
      <c r="L1545" s="29">
        <v>0</v>
      </c>
      <c r="M1545" s="29">
        <v>0</v>
      </c>
      <c r="N1545" s="29">
        <v>0</v>
      </c>
      <c r="O1545" s="29">
        <v>0</v>
      </c>
    </row>
    <row r="1546" spans="1:15" x14ac:dyDescent="0.3">
      <c r="A1546" s="28" t="s">
        <v>575</v>
      </c>
      <c r="B1546" s="28" t="s">
        <v>576</v>
      </c>
      <c r="C1546" s="28" t="s">
        <v>561</v>
      </c>
      <c r="D1546" s="28" t="s">
        <v>577</v>
      </c>
      <c r="E1546" s="28" t="s">
        <v>614</v>
      </c>
      <c r="F1546" s="28" t="s">
        <v>600</v>
      </c>
      <c r="G1546" s="29">
        <v>17</v>
      </c>
      <c r="H1546" s="29">
        <v>0</v>
      </c>
      <c r="I1546" s="29">
        <v>0</v>
      </c>
      <c r="J1546" s="29">
        <v>0</v>
      </c>
      <c r="K1546" s="29">
        <v>0</v>
      </c>
      <c r="L1546" s="29">
        <v>0</v>
      </c>
      <c r="M1546" s="29">
        <v>0</v>
      </c>
      <c r="N1546" s="29">
        <v>0</v>
      </c>
      <c r="O1546" s="29">
        <v>0</v>
      </c>
    </row>
    <row r="1547" spans="1:15" x14ac:dyDescent="0.3">
      <c r="A1547" s="28" t="s">
        <v>575</v>
      </c>
      <c r="B1547" s="28" t="s">
        <v>576</v>
      </c>
      <c r="C1547" s="28" t="s">
        <v>561</v>
      </c>
      <c r="D1547" s="28" t="s">
        <v>577</v>
      </c>
      <c r="E1547" s="28" t="s">
        <v>614</v>
      </c>
      <c r="F1547" s="28" t="s">
        <v>601</v>
      </c>
      <c r="G1547" s="29">
        <v>27</v>
      </c>
      <c r="H1547" s="29">
        <v>0</v>
      </c>
      <c r="I1547" s="29">
        <v>0</v>
      </c>
      <c r="J1547" s="29">
        <v>0</v>
      </c>
      <c r="K1547" s="29">
        <v>0</v>
      </c>
      <c r="L1547" s="29">
        <v>0</v>
      </c>
      <c r="M1547" s="29">
        <v>0</v>
      </c>
      <c r="N1547" s="29">
        <v>0</v>
      </c>
      <c r="O1547" s="29">
        <v>0</v>
      </c>
    </row>
    <row r="1548" spans="1:15" x14ac:dyDescent="0.3">
      <c r="A1548" s="28" t="s">
        <v>575</v>
      </c>
      <c r="B1548" s="28" t="s">
        <v>576</v>
      </c>
      <c r="C1548" s="28" t="s">
        <v>561</v>
      </c>
      <c r="D1548" s="28" t="s">
        <v>577</v>
      </c>
      <c r="E1548" s="28" t="s">
        <v>614</v>
      </c>
      <c r="F1548" s="28" t="s">
        <v>602</v>
      </c>
      <c r="G1548" s="29">
        <v>100</v>
      </c>
      <c r="H1548" s="29">
        <v>0</v>
      </c>
      <c r="I1548" s="29">
        <v>2</v>
      </c>
      <c r="J1548" s="29">
        <v>0</v>
      </c>
      <c r="K1548" s="29">
        <v>2</v>
      </c>
      <c r="L1548" s="29">
        <v>500</v>
      </c>
      <c r="M1548" s="29">
        <v>0</v>
      </c>
      <c r="N1548" s="29">
        <v>500</v>
      </c>
      <c r="O1548" s="29">
        <v>0</v>
      </c>
    </row>
    <row r="1549" spans="1:15" x14ac:dyDescent="0.3">
      <c r="A1549" s="28" t="s">
        <v>575</v>
      </c>
      <c r="B1549" s="28" t="s">
        <v>576</v>
      </c>
      <c r="C1549" s="28" t="s">
        <v>561</v>
      </c>
      <c r="D1549" s="28" t="s">
        <v>577</v>
      </c>
      <c r="E1549" s="28" t="s">
        <v>614</v>
      </c>
      <c r="F1549" s="28" t="s">
        <v>603</v>
      </c>
      <c r="G1549" s="29">
        <v>322</v>
      </c>
      <c r="H1549" s="29">
        <v>1</v>
      </c>
      <c r="I1549" s="29">
        <v>4</v>
      </c>
      <c r="J1549" s="29">
        <v>0</v>
      </c>
      <c r="K1549" s="29">
        <v>4</v>
      </c>
      <c r="L1549" s="29">
        <v>1000</v>
      </c>
      <c r="M1549" s="29">
        <v>0</v>
      </c>
      <c r="N1549" s="29">
        <v>1000</v>
      </c>
      <c r="O1549" s="29">
        <v>0</v>
      </c>
    </row>
    <row r="1550" spans="1:15" x14ac:dyDescent="0.3">
      <c r="A1550" s="28" t="s">
        <v>575</v>
      </c>
      <c r="B1550" s="28" t="s">
        <v>576</v>
      </c>
      <c r="C1550" s="28" t="s">
        <v>561</v>
      </c>
      <c r="D1550" s="28" t="s">
        <v>577</v>
      </c>
      <c r="E1550" s="28" t="s">
        <v>614</v>
      </c>
      <c r="F1550" s="28" t="s">
        <v>604</v>
      </c>
      <c r="G1550" s="29">
        <v>1481</v>
      </c>
      <c r="H1550" s="29">
        <v>4</v>
      </c>
      <c r="I1550" s="29">
        <v>2</v>
      </c>
      <c r="J1550" s="29">
        <v>2</v>
      </c>
      <c r="K1550" s="29">
        <v>0</v>
      </c>
      <c r="L1550" s="29">
        <v>0</v>
      </c>
      <c r="M1550" s="29">
        <v>0</v>
      </c>
      <c r="N1550" s="29">
        <v>0</v>
      </c>
      <c r="O1550" s="29">
        <v>0</v>
      </c>
    </row>
    <row r="1551" spans="1:15" x14ac:dyDescent="0.3">
      <c r="A1551" s="28" t="s">
        <v>575</v>
      </c>
      <c r="B1551" s="28" t="s">
        <v>576</v>
      </c>
      <c r="C1551" s="28" t="s">
        <v>561</v>
      </c>
      <c r="D1551" s="28" t="s">
        <v>577</v>
      </c>
      <c r="E1551" s="28" t="s">
        <v>614</v>
      </c>
      <c r="F1551" s="28" t="s">
        <v>581</v>
      </c>
      <c r="G1551" s="29">
        <v>2595</v>
      </c>
      <c r="H1551" s="29">
        <v>6</v>
      </c>
      <c r="I1551" s="29">
        <v>0</v>
      </c>
      <c r="J1551" s="29">
        <v>0</v>
      </c>
      <c r="K1551" s="29">
        <v>0</v>
      </c>
      <c r="L1551" s="29">
        <v>0</v>
      </c>
      <c r="M1551" s="29">
        <v>0</v>
      </c>
      <c r="N1551" s="29">
        <v>0</v>
      </c>
      <c r="O1551" s="29">
        <v>0</v>
      </c>
    </row>
    <row r="1552" spans="1:15" x14ac:dyDescent="0.3">
      <c r="A1552" s="28" t="s">
        <v>575</v>
      </c>
      <c r="B1552" s="28" t="s">
        <v>576</v>
      </c>
      <c r="C1552" s="28" t="s">
        <v>561</v>
      </c>
      <c r="D1552" s="28" t="s">
        <v>577</v>
      </c>
      <c r="E1552" s="28" t="s">
        <v>614</v>
      </c>
      <c r="F1552" s="28" t="s">
        <v>582</v>
      </c>
      <c r="G1552" s="29">
        <v>2614</v>
      </c>
      <c r="H1552" s="29">
        <v>6</v>
      </c>
      <c r="I1552" s="29">
        <v>2</v>
      </c>
      <c r="J1552" s="29">
        <v>2</v>
      </c>
      <c r="K1552" s="29">
        <v>0</v>
      </c>
      <c r="L1552" s="29">
        <v>0</v>
      </c>
      <c r="M1552" s="29">
        <v>0</v>
      </c>
      <c r="N1552" s="29">
        <v>0</v>
      </c>
      <c r="O1552" s="29">
        <v>0</v>
      </c>
    </row>
    <row r="1553" spans="1:15" x14ac:dyDescent="0.3">
      <c r="A1553" s="28" t="s">
        <v>575</v>
      </c>
      <c r="B1553" s="28" t="s">
        <v>576</v>
      </c>
      <c r="C1553" s="28" t="s">
        <v>561</v>
      </c>
      <c r="D1553" s="28" t="s">
        <v>577</v>
      </c>
      <c r="E1553" s="28" t="s">
        <v>614</v>
      </c>
      <c r="F1553" s="28" t="s">
        <v>583</v>
      </c>
      <c r="G1553" s="29">
        <v>2044</v>
      </c>
      <c r="H1553" s="29">
        <v>1</v>
      </c>
      <c r="I1553" s="29">
        <v>2</v>
      </c>
      <c r="J1553" s="29">
        <v>1</v>
      </c>
      <c r="K1553" s="29">
        <v>1</v>
      </c>
      <c r="L1553" s="29">
        <v>0</v>
      </c>
      <c r="M1553" s="29">
        <v>0</v>
      </c>
      <c r="N1553" s="29">
        <v>0</v>
      </c>
      <c r="O1553" s="29">
        <v>0</v>
      </c>
    </row>
    <row r="1554" spans="1:15" x14ac:dyDescent="0.3">
      <c r="A1554" s="28" t="s">
        <v>575</v>
      </c>
      <c r="B1554" s="28" t="s">
        <v>576</v>
      </c>
      <c r="C1554" s="28" t="s">
        <v>561</v>
      </c>
      <c r="D1554" s="28" t="s">
        <v>577</v>
      </c>
      <c r="E1554" s="28" t="s">
        <v>614</v>
      </c>
      <c r="F1554" s="28" t="s">
        <v>584</v>
      </c>
      <c r="G1554" s="29">
        <v>521</v>
      </c>
      <c r="H1554" s="29">
        <v>0</v>
      </c>
      <c r="I1554" s="29">
        <v>1</v>
      </c>
      <c r="J1554" s="29">
        <v>0</v>
      </c>
      <c r="K1554" s="29">
        <v>1</v>
      </c>
      <c r="L1554" s="29">
        <v>0</v>
      </c>
      <c r="M1554" s="29">
        <v>0</v>
      </c>
      <c r="N1554" s="29">
        <v>0</v>
      </c>
      <c r="O1554" s="29">
        <v>0</v>
      </c>
    </row>
    <row r="1555" spans="1:15" x14ac:dyDescent="0.3">
      <c r="A1555" s="28" t="s">
        <v>575</v>
      </c>
      <c r="B1555" s="28" t="s">
        <v>576</v>
      </c>
      <c r="C1555" s="28" t="s">
        <v>561</v>
      </c>
      <c r="D1555" s="28" t="s">
        <v>577</v>
      </c>
      <c r="E1555" s="28" t="s">
        <v>614</v>
      </c>
      <c r="F1555" s="28" t="s">
        <v>585</v>
      </c>
      <c r="G1555" s="29">
        <v>0</v>
      </c>
      <c r="H1555" s="29">
        <v>0</v>
      </c>
      <c r="I1555" s="29">
        <v>1</v>
      </c>
      <c r="J1555" s="29">
        <v>0</v>
      </c>
      <c r="K1555" s="29">
        <v>1</v>
      </c>
      <c r="L1555" s="29">
        <v>0</v>
      </c>
      <c r="M1555" s="29">
        <v>0</v>
      </c>
      <c r="N1555" s="29">
        <v>0</v>
      </c>
      <c r="O1555" s="29">
        <v>0</v>
      </c>
    </row>
    <row r="1556" spans="1:15" x14ac:dyDescent="0.3">
      <c r="A1556" s="28" t="s">
        <v>575</v>
      </c>
      <c r="B1556" s="28" t="s">
        <v>576</v>
      </c>
      <c r="C1556" s="28" t="s">
        <v>561</v>
      </c>
      <c r="D1556" s="28" t="s">
        <v>577</v>
      </c>
      <c r="E1556" s="28" t="s">
        <v>614</v>
      </c>
      <c r="F1556" s="28" t="s">
        <v>586</v>
      </c>
      <c r="G1556" s="29">
        <v>0</v>
      </c>
      <c r="H1556" s="29">
        <v>0</v>
      </c>
      <c r="I1556" s="29">
        <v>1</v>
      </c>
      <c r="J1556" s="29">
        <v>0</v>
      </c>
      <c r="K1556" s="29">
        <v>1</v>
      </c>
      <c r="L1556" s="29">
        <v>0</v>
      </c>
      <c r="M1556" s="29">
        <v>0</v>
      </c>
      <c r="N1556" s="29">
        <v>0</v>
      </c>
      <c r="O1556" s="29">
        <v>0</v>
      </c>
    </row>
    <row r="1557" spans="1:15" x14ac:dyDescent="0.3">
      <c r="A1557" s="28" t="s">
        <v>575</v>
      </c>
      <c r="B1557" s="28" t="s">
        <v>576</v>
      </c>
      <c r="C1557" s="28" t="s">
        <v>561</v>
      </c>
      <c r="D1557" s="28" t="s">
        <v>577</v>
      </c>
      <c r="E1557" s="28" t="s">
        <v>614</v>
      </c>
      <c r="F1557" s="28" t="s">
        <v>579</v>
      </c>
      <c r="G1557" s="29">
        <v>39</v>
      </c>
      <c r="H1557" s="29">
        <v>0</v>
      </c>
      <c r="I1557" s="29">
        <v>2</v>
      </c>
      <c r="J1557" s="29">
        <v>0</v>
      </c>
      <c r="K1557" s="29">
        <v>2</v>
      </c>
      <c r="L1557" s="29">
        <v>500</v>
      </c>
      <c r="M1557" s="29">
        <v>0</v>
      </c>
      <c r="N1557" s="29">
        <v>500</v>
      </c>
      <c r="O1557" s="29">
        <v>0</v>
      </c>
    </row>
    <row r="1558" spans="1:15" x14ac:dyDescent="0.3">
      <c r="A1558" s="28" t="s">
        <v>575</v>
      </c>
      <c r="B1558" s="28" t="s">
        <v>576</v>
      </c>
      <c r="C1558" s="28" t="s">
        <v>561</v>
      </c>
      <c r="D1558" s="28" t="s">
        <v>577</v>
      </c>
      <c r="E1558" s="28" t="s">
        <v>614</v>
      </c>
      <c r="F1558" s="28" t="s">
        <v>588</v>
      </c>
      <c r="G1558" s="29">
        <v>163</v>
      </c>
      <c r="H1558" s="29">
        <v>0</v>
      </c>
      <c r="I1558" s="29">
        <v>0</v>
      </c>
      <c r="J1558" s="29">
        <v>0</v>
      </c>
      <c r="K1558" s="29">
        <v>0</v>
      </c>
      <c r="L1558" s="29">
        <v>0</v>
      </c>
      <c r="M1558" s="29">
        <v>0</v>
      </c>
      <c r="N1558" s="29">
        <v>0</v>
      </c>
      <c r="O1558" s="29">
        <v>0</v>
      </c>
    </row>
    <row r="1559" spans="1:15" x14ac:dyDescent="0.3">
      <c r="A1559" s="28" t="s">
        <v>575</v>
      </c>
      <c r="B1559" s="28" t="s">
        <v>576</v>
      </c>
      <c r="C1559" s="28" t="s">
        <v>561</v>
      </c>
      <c r="D1559" s="28" t="s">
        <v>577</v>
      </c>
      <c r="E1559" s="28" t="s">
        <v>614</v>
      </c>
      <c r="F1559" s="28" t="s">
        <v>589</v>
      </c>
      <c r="G1559" s="29">
        <v>308</v>
      </c>
      <c r="H1559" s="29">
        <v>1</v>
      </c>
      <c r="I1559" s="29">
        <v>0</v>
      </c>
      <c r="J1559" s="29">
        <v>0</v>
      </c>
      <c r="K1559" s="29">
        <v>0</v>
      </c>
      <c r="L1559" s="29">
        <v>0</v>
      </c>
      <c r="M1559" s="29">
        <v>0</v>
      </c>
      <c r="N1559" s="29">
        <v>0</v>
      </c>
      <c r="O1559" s="29">
        <v>0</v>
      </c>
    </row>
    <row r="1560" spans="1:15" x14ac:dyDescent="0.3">
      <c r="A1560" s="28" t="s">
        <v>575</v>
      </c>
      <c r="B1560" s="28" t="s">
        <v>576</v>
      </c>
      <c r="C1560" s="28" t="s">
        <v>561</v>
      </c>
      <c r="D1560" s="28" t="s">
        <v>577</v>
      </c>
      <c r="E1560" s="28" t="s">
        <v>614</v>
      </c>
      <c r="F1560" s="28" t="s">
        <v>590</v>
      </c>
      <c r="G1560" s="29">
        <v>501</v>
      </c>
      <c r="H1560" s="29">
        <v>1</v>
      </c>
      <c r="I1560" s="29">
        <v>0</v>
      </c>
      <c r="J1560" s="29">
        <v>0</v>
      </c>
      <c r="K1560" s="29">
        <v>0</v>
      </c>
      <c r="L1560" s="29">
        <v>0</v>
      </c>
      <c r="M1560" s="29">
        <v>0</v>
      </c>
      <c r="N1560" s="29">
        <v>0</v>
      </c>
      <c r="O1560" s="29">
        <v>0</v>
      </c>
    </row>
    <row r="1561" spans="1:15" x14ac:dyDescent="0.3">
      <c r="A1561" s="28" t="s">
        <v>575</v>
      </c>
      <c r="B1561" s="28" t="s">
        <v>576</v>
      </c>
      <c r="C1561" s="28" t="s">
        <v>561</v>
      </c>
      <c r="D1561" s="28" t="s">
        <v>577</v>
      </c>
      <c r="E1561" s="28" t="s">
        <v>614</v>
      </c>
      <c r="F1561" s="28" t="s">
        <v>591</v>
      </c>
      <c r="G1561" s="29">
        <v>670</v>
      </c>
      <c r="H1561" s="29">
        <v>2</v>
      </c>
      <c r="I1561" s="29">
        <v>4</v>
      </c>
      <c r="J1561" s="29">
        <v>3</v>
      </c>
      <c r="K1561" s="29">
        <v>1</v>
      </c>
      <c r="L1561" s="29">
        <v>1000</v>
      </c>
      <c r="M1561" s="29">
        <v>1000</v>
      </c>
      <c r="N1561" s="29">
        <v>0</v>
      </c>
      <c r="O1561" s="29">
        <v>0</v>
      </c>
    </row>
    <row r="1562" spans="1:15" x14ac:dyDescent="0.3">
      <c r="A1562" s="28" t="s">
        <v>575</v>
      </c>
      <c r="B1562" s="28" t="s">
        <v>576</v>
      </c>
      <c r="C1562" s="28" t="s">
        <v>561</v>
      </c>
      <c r="D1562" s="28" t="s">
        <v>577</v>
      </c>
      <c r="E1562" s="28" t="s">
        <v>614</v>
      </c>
      <c r="F1562" s="28" t="s">
        <v>592</v>
      </c>
      <c r="G1562" s="29">
        <v>700</v>
      </c>
      <c r="H1562" s="29">
        <v>2</v>
      </c>
      <c r="I1562" s="29">
        <v>0</v>
      </c>
      <c r="J1562" s="29">
        <v>0</v>
      </c>
      <c r="K1562" s="29">
        <v>0</v>
      </c>
      <c r="L1562" s="29">
        <v>0</v>
      </c>
      <c r="M1562" s="29">
        <v>0</v>
      </c>
      <c r="N1562" s="29">
        <v>0</v>
      </c>
      <c r="O1562" s="29">
        <v>0</v>
      </c>
    </row>
    <row r="1563" spans="1:15" x14ac:dyDescent="0.3">
      <c r="A1563" s="28" t="s">
        <v>575</v>
      </c>
      <c r="B1563" s="28" t="s">
        <v>576</v>
      </c>
      <c r="C1563" s="28" t="s">
        <v>561</v>
      </c>
      <c r="D1563" s="28" t="s">
        <v>577</v>
      </c>
      <c r="E1563" s="28" t="s">
        <v>614</v>
      </c>
      <c r="F1563" s="28" t="s">
        <v>593</v>
      </c>
      <c r="G1563" s="29">
        <v>755</v>
      </c>
      <c r="H1563" s="29">
        <v>3</v>
      </c>
      <c r="I1563" s="29">
        <v>4</v>
      </c>
      <c r="J1563" s="29">
        <v>3</v>
      </c>
      <c r="K1563" s="29">
        <v>1</v>
      </c>
      <c r="L1563" s="29">
        <v>500</v>
      </c>
      <c r="M1563" s="29">
        <v>500</v>
      </c>
      <c r="N1563" s="29">
        <v>0</v>
      </c>
      <c r="O1563" s="29">
        <v>0</v>
      </c>
    </row>
    <row r="1564" spans="1:15" x14ac:dyDescent="0.3">
      <c r="A1564" s="28" t="s">
        <v>575</v>
      </c>
      <c r="B1564" s="28" t="s">
        <v>576</v>
      </c>
      <c r="C1564" s="28" t="s">
        <v>561</v>
      </c>
      <c r="D1564" s="28" t="s">
        <v>577</v>
      </c>
      <c r="E1564" s="28" t="s">
        <v>614</v>
      </c>
      <c r="F1564" s="28" t="s">
        <v>594</v>
      </c>
      <c r="G1564" s="29">
        <v>822</v>
      </c>
      <c r="H1564" s="29">
        <v>2</v>
      </c>
      <c r="I1564" s="29">
        <v>2</v>
      </c>
      <c r="J1564" s="29">
        <v>0</v>
      </c>
      <c r="K1564" s="29">
        <v>2</v>
      </c>
      <c r="L1564" s="29">
        <v>0</v>
      </c>
      <c r="M1564" s="29">
        <v>0</v>
      </c>
      <c r="N1564" s="29">
        <v>0</v>
      </c>
      <c r="O1564" s="29">
        <v>0</v>
      </c>
    </row>
    <row r="1565" spans="1:15" x14ac:dyDescent="0.3">
      <c r="A1565" s="28" t="s">
        <v>575</v>
      </c>
      <c r="B1565" s="28" t="s">
        <v>576</v>
      </c>
      <c r="C1565" s="28" t="s">
        <v>561</v>
      </c>
      <c r="D1565" s="28" t="s">
        <v>577</v>
      </c>
      <c r="E1565" s="28" t="s">
        <v>614</v>
      </c>
      <c r="F1565" s="28" t="s">
        <v>595</v>
      </c>
      <c r="G1565" s="29">
        <v>645</v>
      </c>
      <c r="H1565" s="29">
        <v>0</v>
      </c>
      <c r="I1565" s="29">
        <v>0</v>
      </c>
      <c r="J1565" s="29">
        <v>0</v>
      </c>
      <c r="K1565" s="29">
        <v>0</v>
      </c>
      <c r="L1565" s="29">
        <v>0</v>
      </c>
      <c r="M1565" s="29">
        <v>0</v>
      </c>
      <c r="N1565" s="29">
        <v>0</v>
      </c>
      <c r="O1565" s="29">
        <v>0</v>
      </c>
    </row>
    <row r="1566" spans="1:15" x14ac:dyDescent="0.3">
      <c r="A1566" s="28" t="s">
        <v>575</v>
      </c>
      <c r="B1566" s="28" t="s">
        <v>576</v>
      </c>
      <c r="C1566" s="28" t="s">
        <v>561</v>
      </c>
      <c r="D1566" s="28" t="s">
        <v>577</v>
      </c>
      <c r="E1566" s="28" t="s">
        <v>615</v>
      </c>
      <c r="F1566" s="28" t="s">
        <v>597</v>
      </c>
      <c r="G1566" s="29">
        <v>338</v>
      </c>
      <c r="H1566" s="29">
        <v>0</v>
      </c>
      <c r="I1566" s="29">
        <v>0</v>
      </c>
      <c r="J1566" s="29">
        <v>0</v>
      </c>
      <c r="K1566" s="29">
        <v>0</v>
      </c>
      <c r="L1566" s="29">
        <v>0</v>
      </c>
      <c r="M1566" s="29">
        <v>0</v>
      </c>
      <c r="N1566" s="29">
        <v>0</v>
      </c>
      <c r="O1566" s="29">
        <v>0</v>
      </c>
    </row>
    <row r="1567" spans="1:15" x14ac:dyDescent="0.3">
      <c r="A1567" s="28" t="s">
        <v>575</v>
      </c>
      <c r="B1567" s="28" t="s">
        <v>576</v>
      </c>
      <c r="C1567" s="28" t="s">
        <v>561</v>
      </c>
      <c r="D1567" s="28" t="s">
        <v>577</v>
      </c>
      <c r="E1567" s="28" t="s">
        <v>615</v>
      </c>
      <c r="F1567" s="28" t="s">
        <v>598</v>
      </c>
      <c r="G1567" s="29">
        <v>165</v>
      </c>
      <c r="H1567" s="29">
        <v>1</v>
      </c>
      <c r="I1567" s="29">
        <v>0</v>
      </c>
      <c r="J1567" s="29">
        <v>0</v>
      </c>
      <c r="K1567" s="29">
        <v>0</v>
      </c>
      <c r="L1567" s="29">
        <v>0</v>
      </c>
      <c r="M1567" s="29">
        <v>0</v>
      </c>
      <c r="N1567" s="29">
        <v>0</v>
      </c>
      <c r="O1567" s="29">
        <v>0</v>
      </c>
    </row>
    <row r="1568" spans="1:15" x14ac:dyDescent="0.3">
      <c r="A1568" s="28" t="s">
        <v>575</v>
      </c>
      <c r="B1568" s="28" t="s">
        <v>576</v>
      </c>
      <c r="C1568" s="28" t="s">
        <v>561</v>
      </c>
      <c r="D1568" s="28" t="s">
        <v>577</v>
      </c>
      <c r="E1568" s="28" t="s">
        <v>615</v>
      </c>
      <c r="F1568" s="28" t="s">
        <v>599</v>
      </c>
      <c r="G1568" s="29">
        <v>106</v>
      </c>
      <c r="H1568" s="29">
        <v>0</v>
      </c>
      <c r="I1568" s="29">
        <v>0</v>
      </c>
      <c r="J1568" s="29">
        <v>0</v>
      </c>
      <c r="K1568" s="29">
        <v>0</v>
      </c>
      <c r="L1568" s="29">
        <v>0</v>
      </c>
      <c r="M1568" s="29">
        <v>0</v>
      </c>
      <c r="N1568" s="29">
        <v>0</v>
      </c>
      <c r="O1568" s="29">
        <v>0</v>
      </c>
    </row>
    <row r="1569" spans="1:15" x14ac:dyDescent="0.3">
      <c r="A1569" s="28" t="s">
        <v>575</v>
      </c>
      <c r="B1569" s="28" t="s">
        <v>576</v>
      </c>
      <c r="C1569" s="28" t="s">
        <v>561</v>
      </c>
      <c r="D1569" s="28" t="s">
        <v>577</v>
      </c>
      <c r="E1569" s="28" t="s">
        <v>615</v>
      </c>
      <c r="F1569" s="28" t="s">
        <v>600</v>
      </c>
      <c r="G1569" s="29">
        <v>78</v>
      </c>
      <c r="H1569" s="29">
        <v>0</v>
      </c>
      <c r="I1569" s="29">
        <v>0</v>
      </c>
      <c r="J1569" s="29">
        <v>0</v>
      </c>
      <c r="K1569" s="29">
        <v>0</v>
      </c>
      <c r="L1569" s="29">
        <v>0</v>
      </c>
      <c r="M1569" s="29">
        <v>0</v>
      </c>
      <c r="N1569" s="29">
        <v>0</v>
      </c>
      <c r="O1569" s="29">
        <v>0</v>
      </c>
    </row>
    <row r="1570" spans="1:15" x14ac:dyDescent="0.3">
      <c r="A1570" s="28" t="s">
        <v>575</v>
      </c>
      <c r="B1570" s="28" t="s">
        <v>576</v>
      </c>
      <c r="C1570" s="28" t="s">
        <v>561</v>
      </c>
      <c r="D1570" s="28" t="s">
        <v>577</v>
      </c>
      <c r="E1570" s="28" t="s">
        <v>615</v>
      </c>
      <c r="F1570" s="28" t="s">
        <v>601</v>
      </c>
      <c r="G1570" s="29">
        <v>120</v>
      </c>
      <c r="H1570" s="29">
        <v>0</v>
      </c>
      <c r="I1570" s="29">
        <v>0</v>
      </c>
      <c r="J1570" s="29">
        <v>0</v>
      </c>
      <c r="K1570" s="29">
        <v>0</v>
      </c>
      <c r="L1570" s="29">
        <v>0</v>
      </c>
      <c r="M1570" s="29">
        <v>0</v>
      </c>
      <c r="N1570" s="29">
        <v>0</v>
      </c>
      <c r="O1570" s="29">
        <v>0</v>
      </c>
    </row>
    <row r="1571" spans="1:15" x14ac:dyDescent="0.3">
      <c r="A1571" s="28" t="s">
        <v>575</v>
      </c>
      <c r="B1571" s="28" t="s">
        <v>576</v>
      </c>
      <c r="C1571" s="28" t="s">
        <v>561</v>
      </c>
      <c r="D1571" s="28" t="s">
        <v>577</v>
      </c>
      <c r="E1571" s="28" t="s">
        <v>615</v>
      </c>
      <c r="F1571" s="28" t="s">
        <v>602</v>
      </c>
      <c r="G1571" s="29">
        <v>482</v>
      </c>
      <c r="H1571" s="29">
        <v>0</v>
      </c>
      <c r="I1571" s="29">
        <v>1</v>
      </c>
      <c r="J1571" s="29">
        <v>0</v>
      </c>
      <c r="K1571" s="29">
        <v>1</v>
      </c>
      <c r="L1571" s="29">
        <v>0</v>
      </c>
      <c r="M1571" s="29">
        <v>0</v>
      </c>
      <c r="N1571" s="29">
        <v>0</v>
      </c>
      <c r="O1571" s="29">
        <v>0</v>
      </c>
    </row>
    <row r="1572" spans="1:15" x14ac:dyDescent="0.3">
      <c r="A1572" s="28" t="s">
        <v>575</v>
      </c>
      <c r="B1572" s="28" t="s">
        <v>576</v>
      </c>
      <c r="C1572" s="28" t="s">
        <v>561</v>
      </c>
      <c r="D1572" s="28" t="s">
        <v>577</v>
      </c>
      <c r="E1572" s="28" t="s">
        <v>615</v>
      </c>
      <c r="F1572" s="28" t="s">
        <v>603</v>
      </c>
      <c r="G1572" s="29">
        <v>1164</v>
      </c>
      <c r="H1572" s="29">
        <v>2</v>
      </c>
      <c r="I1572" s="29">
        <v>0</v>
      </c>
      <c r="J1572" s="29">
        <v>0</v>
      </c>
      <c r="K1572" s="29">
        <v>0</v>
      </c>
      <c r="L1572" s="29">
        <v>0</v>
      </c>
      <c r="M1572" s="29">
        <v>0</v>
      </c>
      <c r="N1572" s="29">
        <v>0</v>
      </c>
      <c r="O1572" s="29">
        <v>0</v>
      </c>
    </row>
    <row r="1573" spans="1:15" x14ac:dyDescent="0.3">
      <c r="A1573" s="28" t="s">
        <v>575</v>
      </c>
      <c r="B1573" s="28" t="s">
        <v>576</v>
      </c>
      <c r="C1573" s="28" t="s">
        <v>561</v>
      </c>
      <c r="D1573" s="28" t="s">
        <v>577</v>
      </c>
      <c r="E1573" s="28" t="s">
        <v>615</v>
      </c>
      <c r="F1573" s="28" t="s">
        <v>604</v>
      </c>
      <c r="G1573" s="29">
        <v>1978</v>
      </c>
      <c r="H1573" s="29">
        <v>4</v>
      </c>
      <c r="I1573" s="29">
        <v>1</v>
      </c>
      <c r="J1573" s="29">
        <v>0</v>
      </c>
      <c r="K1573" s="29">
        <v>1</v>
      </c>
      <c r="L1573" s="29">
        <v>0</v>
      </c>
      <c r="M1573" s="29">
        <v>0</v>
      </c>
      <c r="N1573" s="29">
        <v>0</v>
      </c>
      <c r="O1573" s="29">
        <v>0</v>
      </c>
    </row>
    <row r="1574" spans="1:15" x14ac:dyDescent="0.3">
      <c r="A1574" s="28" t="s">
        <v>575</v>
      </c>
      <c r="B1574" s="28" t="s">
        <v>576</v>
      </c>
      <c r="C1574" s="28" t="s">
        <v>561</v>
      </c>
      <c r="D1574" s="28" t="s">
        <v>577</v>
      </c>
      <c r="E1574" s="28" t="s">
        <v>615</v>
      </c>
      <c r="F1574" s="28" t="s">
        <v>581</v>
      </c>
      <c r="G1574" s="29">
        <v>2075</v>
      </c>
      <c r="H1574" s="29">
        <v>5</v>
      </c>
      <c r="I1574" s="29">
        <v>2</v>
      </c>
      <c r="J1574" s="29">
        <v>2</v>
      </c>
      <c r="K1574" s="29">
        <v>0</v>
      </c>
      <c r="L1574" s="29">
        <v>500</v>
      </c>
      <c r="M1574" s="29">
        <v>500</v>
      </c>
      <c r="N1574" s="29">
        <v>0</v>
      </c>
      <c r="O1574" s="29">
        <v>0</v>
      </c>
    </row>
    <row r="1575" spans="1:15" x14ac:dyDescent="0.3">
      <c r="A1575" s="28" t="s">
        <v>575</v>
      </c>
      <c r="B1575" s="28" t="s">
        <v>576</v>
      </c>
      <c r="C1575" s="28" t="s">
        <v>561</v>
      </c>
      <c r="D1575" s="28" t="s">
        <v>577</v>
      </c>
      <c r="E1575" s="28" t="s">
        <v>615</v>
      </c>
      <c r="F1575" s="28" t="s">
        <v>582</v>
      </c>
      <c r="G1575" s="29">
        <v>1385</v>
      </c>
      <c r="H1575" s="29">
        <v>3</v>
      </c>
      <c r="I1575" s="29">
        <v>0</v>
      </c>
      <c r="J1575" s="29">
        <v>0</v>
      </c>
      <c r="K1575" s="29">
        <v>0</v>
      </c>
      <c r="L1575" s="29">
        <v>0</v>
      </c>
      <c r="M1575" s="29">
        <v>0</v>
      </c>
      <c r="N1575" s="29">
        <v>0</v>
      </c>
      <c r="O1575" s="29">
        <v>0</v>
      </c>
    </row>
    <row r="1576" spans="1:15" x14ac:dyDescent="0.3">
      <c r="A1576" s="28" t="s">
        <v>575</v>
      </c>
      <c r="B1576" s="28" t="s">
        <v>576</v>
      </c>
      <c r="C1576" s="28" t="s">
        <v>561</v>
      </c>
      <c r="D1576" s="28" t="s">
        <v>577</v>
      </c>
      <c r="E1576" s="28" t="s">
        <v>615</v>
      </c>
      <c r="F1576" s="28" t="s">
        <v>583</v>
      </c>
      <c r="G1576" s="29">
        <v>592</v>
      </c>
      <c r="H1576" s="29">
        <v>0</v>
      </c>
      <c r="I1576" s="29">
        <v>4</v>
      </c>
      <c r="J1576" s="29">
        <v>2</v>
      </c>
      <c r="K1576" s="29">
        <v>2</v>
      </c>
      <c r="L1576" s="29">
        <v>1000</v>
      </c>
      <c r="M1576" s="29">
        <v>1000</v>
      </c>
      <c r="N1576" s="29">
        <v>0</v>
      </c>
      <c r="O1576" s="29">
        <v>0</v>
      </c>
    </row>
    <row r="1577" spans="1:15" x14ac:dyDescent="0.3">
      <c r="A1577" s="28" t="s">
        <v>575</v>
      </c>
      <c r="B1577" s="28" t="s">
        <v>576</v>
      </c>
      <c r="C1577" s="28" t="s">
        <v>561</v>
      </c>
      <c r="D1577" s="28" t="s">
        <v>577</v>
      </c>
      <c r="E1577" s="28" t="s">
        <v>615</v>
      </c>
      <c r="F1577" s="28" t="s">
        <v>584</v>
      </c>
      <c r="G1577" s="29">
        <v>55</v>
      </c>
      <c r="H1577" s="29">
        <v>1</v>
      </c>
      <c r="I1577" s="29">
        <v>0</v>
      </c>
      <c r="J1577" s="29">
        <v>0</v>
      </c>
      <c r="K1577" s="29">
        <v>0</v>
      </c>
      <c r="L1577" s="29">
        <v>0</v>
      </c>
      <c r="M1577" s="29">
        <v>0</v>
      </c>
      <c r="N1577" s="29">
        <v>0</v>
      </c>
      <c r="O1577" s="29">
        <v>0</v>
      </c>
    </row>
    <row r="1578" spans="1:15" x14ac:dyDescent="0.3">
      <c r="A1578" s="28" t="s">
        <v>575</v>
      </c>
      <c r="B1578" s="28" t="s">
        <v>576</v>
      </c>
      <c r="C1578" s="28" t="s">
        <v>561</v>
      </c>
      <c r="D1578" s="28" t="s">
        <v>577</v>
      </c>
      <c r="E1578" s="28" t="s">
        <v>615</v>
      </c>
      <c r="F1578" s="28" t="s">
        <v>585</v>
      </c>
      <c r="G1578" s="29">
        <v>0</v>
      </c>
      <c r="H1578" s="29">
        <v>0</v>
      </c>
      <c r="I1578" s="29">
        <v>1</v>
      </c>
      <c r="J1578" s="29">
        <v>0</v>
      </c>
      <c r="K1578" s="29">
        <v>1</v>
      </c>
      <c r="L1578" s="29">
        <v>0</v>
      </c>
      <c r="M1578" s="29">
        <v>0</v>
      </c>
      <c r="N1578" s="29">
        <v>0</v>
      </c>
      <c r="O1578" s="29">
        <v>0</v>
      </c>
    </row>
    <row r="1579" spans="1:15" x14ac:dyDescent="0.3">
      <c r="A1579" s="28" t="s">
        <v>575</v>
      </c>
      <c r="B1579" s="28" t="s">
        <v>576</v>
      </c>
      <c r="C1579" s="28" t="s">
        <v>561</v>
      </c>
      <c r="D1579" s="28" t="s">
        <v>577</v>
      </c>
      <c r="E1579" s="28" t="s">
        <v>615</v>
      </c>
      <c r="F1579" s="28" t="s">
        <v>587</v>
      </c>
      <c r="G1579" s="29">
        <v>64</v>
      </c>
      <c r="H1579" s="29">
        <v>0</v>
      </c>
      <c r="I1579" s="29">
        <v>0</v>
      </c>
      <c r="J1579" s="29">
        <v>0</v>
      </c>
      <c r="K1579" s="29">
        <v>0</v>
      </c>
      <c r="L1579" s="29">
        <v>0</v>
      </c>
      <c r="M1579" s="29">
        <v>0</v>
      </c>
      <c r="N1579" s="29">
        <v>0</v>
      </c>
      <c r="O1579" s="29">
        <v>0</v>
      </c>
    </row>
    <row r="1580" spans="1:15" x14ac:dyDescent="0.3">
      <c r="A1580" s="28" t="s">
        <v>575</v>
      </c>
      <c r="B1580" s="28" t="s">
        <v>576</v>
      </c>
      <c r="C1580" s="28" t="s">
        <v>561</v>
      </c>
      <c r="D1580" s="28" t="s">
        <v>577</v>
      </c>
      <c r="E1580" s="28" t="s">
        <v>615</v>
      </c>
      <c r="F1580" s="28" t="s">
        <v>579</v>
      </c>
      <c r="G1580" s="29">
        <v>242</v>
      </c>
      <c r="H1580" s="29">
        <v>0</v>
      </c>
      <c r="I1580" s="29">
        <v>0</v>
      </c>
      <c r="J1580" s="29">
        <v>0</v>
      </c>
      <c r="K1580" s="29">
        <v>0</v>
      </c>
      <c r="L1580" s="29">
        <v>0</v>
      </c>
      <c r="M1580" s="29">
        <v>0</v>
      </c>
      <c r="N1580" s="29">
        <v>0</v>
      </c>
      <c r="O1580" s="29">
        <v>0</v>
      </c>
    </row>
    <row r="1581" spans="1:15" x14ac:dyDescent="0.3">
      <c r="A1581" s="28" t="s">
        <v>575</v>
      </c>
      <c r="B1581" s="28" t="s">
        <v>576</v>
      </c>
      <c r="C1581" s="28" t="s">
        <v>561</v>
      </c>
      <c r="D1581" s="28" t="s">
        <v>577</v>
      </c>
      <c r="E1581" s="28" t="s">
        <v>615</v>
      </c>
      <c r="F1581" s="28" t="s">
        <v>588</v>
      </c>
      <c r="G1581" s="29">
        <v>591</v>
      </c>
      <c r="H1581" s="29">
        <v>1</v>
      </c>
      <c r="I1581" s="29">
        <v>0</v>
      </c>
      <c r="J1581" s="29">
        <v>0</v>
      </c>
      <c r="K1581" s="29">
        <v>0</v>
      </c>
      <c r="L1581" s="29">
        <v>0</v>
      </c>
      <c r="M1581" s="29">
        <v>0</v>
      </c>
      <c r="N1581" s="29">
        <v>0</v>
      </c>
      <c r="O1581" s="29">
        <v>0</v>
      </c>
    </row>
    <row r="1582" spans="1:15" x14ac:dyDescent="0.3">
      <c r="A1582" s="28" t="s">
        <v>575</v>
      </c>
      <c r="B1582" s="28" t="s">
        <v>576</v>
      </c>
      <c r="C1582" s="28" t="s">
        <v>561</v>
      </c>
      <c r="D1582" s="28" t="s">
        <v>577</v>
      </c>
      <c r="E1582" s="28" t="s">
        <v>615</v>
      </c>
      <c r="F1582" s="28" t="s">
        <v>589</v>
      </c>
      <c r="G1582" s="29">
        <v>914</v>
      </c>
      <c r="H1582" s="29">
        <v>0</v>
      </c>
      <c r="I1582" s="29">
        <v>0</v>
      </c>
      <c r="J1582" s="29">
        <v>0</v>
      </c>
      <c r="K1582" s="29">
        <v>0</v>
      </c>
      <c r="L1582" s="29">
        <v>0</v>
      </c>
      <c r="M1582" s="29">
        <v>0</v>
      </c>
      <c r="N1582" s="29">
        <v>0</v>
      </c>
      <c r="O1582" s="29">
        <v>0</v>
      </c>
    </row>
    <row r="1583" spans="1:15" x14ac:dyDescent="0.3">
      <c r="A1583" s="28" t="s">
        <v>575</v>
      </c>
      <c r="B1583" s="28" t="s">
        <v>576</v>
      </c>
      <c r="C1583" s="28" t="s">
        <v>561</v>
      </c>
      <c r="D1583" s="28" t="s">
        <v>577</v>
      </c>
      <c r="E1583" s="28" t="s">
        <v>615</v>
      </c>
      <c r="F1583" s="28" t="s">
        <v>590</v>
      </c>
      <c r="G1583" s="29">
        <v>1185</v>
      </c>
      <c r="H1583" s="29">
        <v>1</v>
      </c>
      <c r="I1583" s="29">
        <v>0</v>
      </c>
      <c r="J1583" s="29">
        <v>0</v>
      </c>
      <c r="K1583" s="29">
        <v>0</v>
      </c>
      <c r="L1583" s="29">
        <v>0</v>
      </c>
      <c r="M1583" s="29">
        <v>0</v>
      </c>
      <c r="N1583" s="29">
        <v>0</v>
      </c>
      <c r="O1583" s="29">
        <v>0</v>
      </c>
    </row>
    <row r="1584" spans="1:15" x14ac:dyDescent="0.3">
      <c r="A1584" s="28" t="s">
        <v>575</v>
      </c>
      <c r="B1584" s="28" t="s">
        <v>576</v>
      </c>
      <c r="C1584" s="28" t="s">
        <v>561</v>
      </c>
      <c r="D1584" s="28" t="s">
        <v>577</v>
      </c>
      <c r="E1584" s="28" t="s">
        <v>615</v>
      </c>
      <c r="F1584" s="28" t="s">
        <v>591</v>
      </c>
      <c r="G1584" s="29">
        <v>1446</v>
      </c>
      <c r="H1584" s="29">
        <v>0</v>
      </c>
      <c r="I1584" s="29">
        <v>0</v>
      </c>
      <c r="J1584" s="29">
        <v>0</v>
      </c>
      <c r="K1584" s="29">
        <v>0</v>
      </c>
      <c r="L1584" s="29">
        <v>0</v>
      </c>
      <c r="M1584" s="29">
        <v>0</v>
      </c>
      <c r="N1584" s="29">
        <v>0</v>
      </c>
      <c r="O1584" s="29">
        <v>0</v>
      </c>
    </row>
    <row r="1585" spans="1:15" x14ac:dyDescent="0.3">
      <c r="A1585" s="28" t="s">
        <v>575</v>
      </c>
      <c r="B1585" s="28" t="s">
        <v>576</v>
      </c>
      <c r="C1585" s="28" t="s">
        <v>561</v>
      </c>
      <c r="D1585" s="28" t="s">
        <v>577</v>
      </c>
      <c r="E1585" s="28" t="s">
        <v>615</v>
      </c>
      <c r="F1585" s="28" t="s">
        <v>592</v>
      </c>
      <c r="G1585" s="29">
        <v>1626</v>
      </c>
      <c r="H1585" s="29">
        <v>5</v>
      </c>
      <c r="I1585" s="29">
        <v>11</v>
      </c>
      <c r="J1585" s="29">
        <v>0</v>
      </c>
      <c r="K1585" s="29">
        <v>11</v>
      </c>
      <c r="L1585" s="29">
        <v>100</v>
      </c>
      <c r="M1585" s="29">
        <v>0</v>
      </c>
      <c r="N1585" s="29">
        <v>100</v>
      </c>
      <c r="O1585" s="29">
        <v>0</v>
      </c>
    </row>
    <row r="1586" spans="1:15" x14ac:dyDescent="0.3">
      <c r="A1586" s="28" t="s">
        <v>575</v>
      </c>
      <c r="B1586" s="28" t="s">
        <v>576</v>
      </c>
      <c r="C1586" s="28" t="s">
        <v>561</v>
      </c>
      <c r="D1586" s="28" t="s">
        <v>577</v>
      </c>
      <c r="E1586" s="28" t="s">
        <v>615</v>
      </c>
      <c r="F1586" s="28" t="s">
        <v>593</v>
      </c>
      <c r="G1586" s="29">
        <v>1604</v>
      </c>
      <c r="H1586" s="29">
        <v>5</v>
      </c>
      <c r="I1586" s="29">
        <v>5</v>
      </c>
      <c r="J1586" s="29">
        <v>1</v>
      </c>
      <c r="K1586" s="29">
        <v>4</v>
      </c>
      <c r="L1586" s="29">
        <v>0</v>
      </c>
      <c r="M1586" s="29">
        <v>0</v>
      </c>
      <c r="N1586" s="29">
        <v>0</v>
      </c>
      <c r="O1586" s="29">
        <v>0</v>
      </c>
    </row>
    <row r="1587" spans="1:15" x14ac:dyDescent="0.3">
      <c r="A1587" s="28" t="s">
        <v>575</v>
      </c>
      <c r="B1587" s="28" t="s">
        <v>576</v>
      </c>
      <c r="C1587" s="28" t="s">
        <v>561</v>
      </c>
      <c r="D1587" s="28" t="s">
        <v>577</v>
      </c>
      <c r="E1587" s="28" t="s">
        <v>615</v>
      </c>
      <c r="F1587" s="28" t="s">
        <v>594</v>
      </c>
      <c r="G1587" s="29">
        <v>1100</v>
      </c>
      <c r="H1587" s="29">
        <v>2</v>
      </c>
      <c r="I1587" s="29">
        <v>0</v>
      </c>
      <c r="J1587" s="29">
        <v>0</v>
      </c>
      <c r="K1587" s="29">
        <v>0</v>
      </c>
      <c r="L1587" s="29">
        <v>0</v>
      </c>
      <c r="M1587" s="29">
        <v>0</v>
      </c>
      <c r="N1587" s="29">
        <v>0</v>
      </c>
      <c r="O1587" s="29">
        <v>0</v>
      </c>
    </row>
    <row r="1588" spans="1:15" x14ac:dyDescent="0.3">
      <c r="A1588" s="28" t="s">
        <v>575</v>
      </c>
      <c r="B1588" s="28" t="s">
        <v>576</v>
      </c>
      <c r="C1588" s="28" t="s">
        <v>561</v>
      </c>
      <c r="D1588" s="28" t="s">
        <v>577</v>
      </c>
      <c r="E1588" s="28" t="s">
        <v>615</v>
      </c>
      <c r="F1588" s="28" t="s">
        <v>595</v>
      </c>
      <c r="G1588" s="29">
        <v>792</v>
      </c>
      <c r="H1588" s="29">
        <v>2</v>
      </c>
      <c r="I1588" s="29">
        <v>0</v>
      </c>
      <c r="J1588" s="29">
        <v>0</v>
      </c>
      <c r="K1588" s="29">
        <v>0</v>
      </c>
      <c r="L1588" s="29">
        <v>0</v>
      </c>
      <c r="M1588" s="29">
        <v>0</v>
      </c>
      <c r="N1588" s="29">
        <v>0</v>
      </c>
      <c r="O1588" s="29">
        <v>0</v>
      </c>
    </row>
    <row r="1589" spans="1:15" x14ac:dyDescent="0.3">
      <c r="A1589" s="28" t="s">
        <v>575</v>
      </c>
      <c r="B1589" s="28" t="s">
        <v>576</v>
      </c>
      <c r="C1589" s="28" t="s">
        <v>561</v>
      </c>
      <c r="D1589" s="28" t="s">
        <v>577</v>
      </c>
      <c r="E1589" s="28" t="s">
        <v>616</v>
      </c>
      <c r="F1589" s="28" t="s">
        <v>597</v>
      </c>
      <c r="G1589" s="29">
        <v>426</v>
      </c>
      <c r="H1589" s="29">
        <v>1</v>
      </c>
      <c r="I1589" s="29">
        <v>1</v>
      </c>
      <c r="J1589" s="29">
        <v>1</v>
      </c>
      <c r="K1589" s="29">
        <v>0</v>
      </c>
      <c r="L1589" s="29">
        <v>0</v>
      </c>
      <c r="M1589" s="29">
        <v>0</v>
      </c>
      <c r="N1589" s="29">
        <v>0</v>
      </c>
      <c r="O1589" s="29">
        <v>0</v>
      </c>
    </row>
    <row r="1590" spans="1:15" x14ac:dyDescent="0.3">
      <c r="A1590" s="28" t="s">
        <v>575</v>
      </c>
      <c r="B1590" s="28" t="s">
        <v>576</v>
      </c>
      <c r="C1590" s="28" t="s">
        <v>561</v>
      </c>
      <c r="D1590" s="28" t="s">
        <v>577</v>
      </c>
      <c r="E1590" s="28" t="s">
        <v>616</v>
      </c>
      <c r="F1590" s="28" t="s">
        <v>598</v>
      </c>
      <c r="G1590" s="29">
        <v>185</v>
      </c>
      <c r="H1590" s="29">
        <v>0</v>
      </c>
      <c r="I1590" s="29">
        <v>2</v>
      </c>
      <c r="J1590" s="29">
        <v>0</v>
      </c>
      <c r="K1590" s="29">
        <v>2</v>
      </c>
      <c r="L1590" s="29">
        <v>0</v>
      </c>
      <c r="M1590" s="29">
        <v>0</v>
      </c>
      <c r="N1590" s="29">
        <v>0</v>
      </c>
      <c r="O1590" s="29">
        <v>0</v>
      </c>
    </row>
    <row r="1591" spans="1:15" x14ac:dyDescent="0.3">
      <c r="A1591" s="28" t="s">
        <v>575</v>
      </c>
      <c r="B1591" s="28" t="s">
        <v>576</v>
      </c>
      <c r="C1591" s="28" t="s">
        <v>561</v>
      </c>
      <c r="D1591" s="28" t="s">
        <v>577</v>
      </c>
      <c r="E1591" s="28" t="s">
        <v>616</v>
      </c>
      <c r="F1591" s="28" t="s">
        <v>599</v>
      </c>
      <c r="G1591" s="29">
        <v>83</v>
      </c>
      <c r="H1591" s="29">
        <v>0</v>
      </c>
      <c r="I1591" s="29">
        <v>0</v>
      </c>
      <c r="J1591" s="29">
        <v>0</v>
      </c>
      <c r="K1591" s="29">
        <v>0</v>
      </c>
      <c r="L1591" s="29">
        <v>0</v>
      </c>
      <c r="M1591" s="29">
        <v>0</v>
      </c>
      <c r="N1591" s="29">
        <v>0</v>
      </c>
      <c r="O1591" s="29">
        <v>0</v>
      </c>
    </row>
    <row r="1592" spans="1:15" x14ac:dyDescent="0.3">
      <c r="A1592" s="28" t="s">
        <v>575</v>
      </c>
      <c r="B1592" s="28" t="s">
        <v>576</v>
      </c>
      <c r="C1592" s="28" t="s">
        <v>561</v>
      </c>
      <c r="D1592" s="28" t="s">
        <v>577</v>
      </c>
      <c r="E1592" s="28" t="s">
        <v>616</v>
      </c>
      <c r="F1592" s="28" t="s">
        <v>600</v>
      </c>
      <c r="G1592" s="29">
        <v>21</v>
      </c>
      <c r="H1592" s="29">
        <v>0</v>
      </c>
      <c r="I1592" s="29">
        <v>0</v>
      </c>
      <c r="J1592" s="29">
        <v>0</v>
      </c>
      <c r="K1592" s="29">
        <v>0</v>
      </c>
      <c r="L1592" s="29">
        <v>0</v>
      </c>
      <c r="M1592" s="29">
        <v>0</v>
      </c>
      <c r="N1592" s="29">
        <v>0</v>
      </c>
      <c r="O1592" s="29">
        <v>0</v>
      </c>
    </row>
    <row r="1593" spans="1:15" x14ac:dyDescent="0.3">
      <c r="A1593" s="28" t="s">
        <v>575</v>
      </c>
      <c r="B1593" s="28" t="s">
        <v>576</v>
      </c>
      <c r="C1593" s="28" t="s">
        <v>561</v>
      </c>
      <c r="D1593" s="28" t="s">
        <v>577</v>
      </c>
      <c r="E1593" s="28" t="s">
        <v>616</v>
      </c>
      <c r="F1593" s="28" t="s">
        <v>601</v>
      </c>
      <c r="G1593" s="29">
        <v>22</v>
      </c>
      <c r="H1593" s="29">
        <v>0</v>
      </c>
      <c r="I1593" s="29">
        <v>0</v>
      </c>
      <c r="J1593" s="29">
        <v>0</v>
      </c>
      <c r="K1593" s="29">
        <v>0</v>
      </c>
      <c r="L1593" s="29">
        <v>0</v>
      </c>
      <c r="M1593" s="29">
        <v>0</v>
      </c>
      <c r="N1593" s="29">
        <v>0</v>
      </c>
      <c r="O1593" s="29">
        <v>0</v>
      </c>
    </row>
    <row r="1594" spans="1:15" x14ac:dyDescent="0.3">
      <c r="A1594" s="28" t="s">
        <v>575</v>
      </c>
      <c r="B1594" s="28" t="s">
        <v>576</v>
      </c>
      <c r="C1594" s="28" t="s">
        <v>561</v>
      </c>
      <c r="D1594" s="28" t="s">
        <v>577</v>
      </c>
      <c r="E1594" s="28" t="s">
        <v>616</v>
      </c>
      <c r="F1594" s="28" t="s">
        <v>602</v>
      </c>
      <c r="G1594" s="29">
        <v>29</v>
      </c>
      <c r="H1594" s="29">
        <v>1</v>
      </c>
      <c r="I1594" s="29">
        <v>0</v>
      </c>
      <c r="J1594" s="29">
        <v>0</v>
      </c>
      <c r="K1594" s="29">
        <v>0</v>
      </c>
      <c r="L1594" s="29">
        <v>0</v>
      </c>
      <c r="M1594" s="29">
        <v>0</v>
      </c>
      <c r="N1594" s="29">
        <v>0</v>
      </c>
      <c r="O1594" s="29">
        <v>0</v>
      </c>
    </row>
    <row r="1595" spans="1:15" x14ac:dyDescent="0.3">
      <c r="A1595" s="28" t="s">
        <v>575</v>
      </c>
      <c r="B1595" s="28" t="s">
        <v>576</v>
      </c>
      <c r="C1595" s="28" t="s">
        <v>561</v>
      </c>
      <c r="D1595" s="28" t="s">
        <v>577</v>
      </c>
      <c r="E1595" s="28" t="s">
        <v>616</v>
      </c>
      <c r="F1595" s="28" t="s">
        <v>603</v>
      </c>
      <c r="G1595" s="29">
        <v>79</v>
      </c>
      <c r="H1595" s="29">
        <v>1</v>
      </c>
      <c r="I1595" s="29">
        <v>1</v>
      </c>
      <c r="J1595" s="29">
        <v>0</v>
      </c>
      <c r="K1595" s="29">
        <v>1</v>
      </c>
      <c r="L1595" s="29">
        <v>0</v>
      </c>
      <c r="M1595" s="29">
        <v>0</v>
      </c>
      <c r="N1595" s="29">
        <v>0</v>
      </c>
      <c r="O1595" s="29">
        <v>0</v>
      </c>
    </row>
    <row r="1596" spans="1:15" x14ac:dyDescent="0.3">
      <c r="A1596" s="28" t="s">
        <v>575</v>
      </c>
      <c r="B1596" s="28" t="s">
        <v>576</v>
      </c>
      <c r="C1596" s="28" t="s">
        <v>561</v>
      </c>
      <c r="D1596" s="28" t="s">
        <v>577</v>
      </c>
      <c r="E1596" s="28" t="s">
        <v>616</v>
      </c>
      <c r="F1596" s="28" t="s">
        <v>604</v>
      </c>
      <c r="G1596" s="29">
        <v>243</v>
      </c>
      <c r="H1596" s="29">
        <v>1</v>
      </c>
      <c r="I1596" s="29">
        <v>1</v>
      </c>
      <c r="J1596" s="29">
        <v>0</v>
      </c>
      <c r="K1596" s="29">
        <v>1</v>
      </c>
      <c r="L1596" s="29">
        <v>190</v>
      </c>
      <c r="M1596" s="29">
        <v>0</v>
      </c>
      <c r="N1596" s="29">
        <v>190</v>
      </c>
      <c r="O1596" s="29">
        <v>0</v>
      </c>
    </row>
    <row r="1597" spans="1:15" x14ac:dyDescent="0.3">
      <c r="A1597" s="28" t="s">
        <v>575</v>
      </c>
      <c r="B1597" s="28" t="s">
        <v>576</v>
      </c>
      <c r="C1597" s="28" t="s">
        <v>561</v>
      </c>
      <c r="D1597" s="28" t="s">
        <v>577</v>
      </c>
      <c r="E1597" s="28" t="s">
        <v>616</v>
      </c>
      <c r="F1597" s="28" t="s">
        <v>581</v>
      </c>
      <c r="G1597" s="29">
        <v>378</v>
      </c>
      <c r="H1597" s="29">
        <v>2</v>
      </c>
      <c r="I1597" s="29">
        <v>2</v>
      </c>
      <c r="J1597" s="29">
        <v>0</v>
      </c>
      <c r="K1597" s="29">
        <v>2</v>
      </c>
      <c r="L1597" s="29">
        <v>0</v>
      </c>
      <c r="M1597" s="29">
        <v>0</v>
      </c>
      <c r="N1597" s="29">
        <v>0</v>
      </c>
      <c r="O1597" s="29">
        <v>0</v>
      </c>
    </row>
    <row r="1598" spans="1:15" x14ac:dyDescent="0.3">
      <c r="A1598" s="28" t="s">
        <v>575</v>
      </c>
      <c r="B1598" s="28" t="s">
        <v>576</v>
      </c>
      <c r="C1598" s="28" t="s">
        <v>561</v>
      </c>
      <c r="D1598" s="28" t="s">
        <v>577</v>
      </c>
      <c r="E1598" s="28" t="s">
        <v>616</v>
      </c>
      <c r="F1598" s="28" t="s">
        <v>582</v>
      </c>
      <c r="G1598" s="29">
        <v>811</v>
      </c>
      <c r="H1598" s="29">
        <v>5</v>
      </c>
      <c r="I1598" s="29">
        <v>2</v>
      </c>
      <c r="J1598" s="29">
        <v>0</v>
      </c>
      <c r="K1598" s="29">
        <v>2</v>
      </c>
      <c r="L1598" s="29">
        <v>0</v>
      </c>
      <c r="M1598" s="29">
        <v>0</v>
      </c>
      <c r="N1598" s="29">
        <v>0</v>
      </c>
      <c r="O1598" s="29">
        <v>0</v>
      </c>
    </row>
    <row r="1599" spans="1:15" x14ac:dyDescent="0.3">
      <c r="A1599" s="28" t="s">
        <v>575</v>
      </c>
      <c r="B1599" s="28" t="s">
        <v>576</v>
      </c>
      <c r="C1599" s="28" t="s">
        <v>561</v>
      </c>
      <c r="D1599" s="28" t="s">
        <v>577</v>
      </c>
      <c r="E1599" s="28" t="s">
        <v>616</v>
      </c>
      <c r="F1599" s="28" t="s">
        <v>583</v>
      </c>
      <c r="G1599" s="29">
        <v>1074</v>
      </c>
      <c r="H1599" s="29">
        <v>2</v>
      </c>
      <c r="I1599" s="29">
        <v>6</v>
      </c>
      <c r="J1599" s="29">
        <v>0</v>
      </c>
      <c r="K1599" s="29">
        <v>6</v>
      </c>
      <c r="L1599" s="29">
        <v>100</v>
      </c>
      <c r="M1599" s="29">
        <v>0</v>
      </c>
      <c r="N1599" s="29">
        <v>100</v>
      </c>
      <c r="O1599" s="29">
        <v>0</v>
      </c>
    </row>
    <row r="1600" spans="1:15" x14ac:dyDescent="0.3">
      <c r="A1600" s="28" t="s">
        <v>575</v>
      </c>
      <c r="B1600" s="28" t="s">
        <v>576</v>
      </c>
      <c r="C1600" s="28" t="s">
        <v>561</v>
      </c>
      <c r="D1600" s="28" t="s">
        <v>577</v>
      </c>
      <c r="E1600" s="28" t="s">
        <v>616</v>
      </c>
      <c r="F1600" s="28" t="s">
        <v>584</v>
      </c>
      <c r="G1600" s="29">
        <v>1174</v>
      </c>
      <c r="H1600" s="29">
        <v>5</v>
      </c>
      <c r="I1600" s="29">
        <v>3</v>
      </c>
      <c r="J1600" s="29">
        <v>2</v>
      </c>
      <c r="K1600" s="29">
        <v>1</v>
      </c>
      <c r="L1600" s="29">
        <v>0</v>
      </c>
      <c r="M1600" s="29">
        <v>0</v>
      </c>
      <c r="N1600" s="29">
        <v>0</v>
      </c>
      <c r="O1600" s="29">
        <v>0</v>
      </c>
    </row>
    <row r="1601" spans="1:15" x14ac:dyDescent="0.3">
      <c r="A1601" s="28" t="s">
        <v>575</v>
      </c>
      <c r="B1601" s="28" t="s">
        <v>576</v>
      </c>
      <c r="C1601" s="28" t="s">
        <v>561</v>
      </c>
      <c r="D1601" s="28" t="s">
        <v>577</v>
      </c>
      <c r="E1601" s="28" t="s">
        <v>616</v>
      </c>
      <c r="F1601" s="28" t="s">
        <v>585</v>
      </c>
      <c r="G1601" s="29">
        <v>1289</v>
      </c>
      <c r="H1601" s="29">
        <v>6</v>
      </c>
      <c r="I1601" s="29">
        <v>3</v>
      </c>
      <c r="J1601" s="29">
        <v>3</v>
      </c>
      <c r="K1601" s="29">
        <v>0</v>
      </c>
      <c r="L1601" s="29">
        <v>0</v>
      </c>
      <c r="M1601" s="29">
        <v>0</v>
      </c>
      <c r="N1601" s="29">
        <v>0</v>
      </c>
      <c r="O1601" s="29">
        <v>0</v>
      </c>
    </row>
    <row r="1602" spans="1:15" x14ac:dyDescent="0.3">
      <c r="A1602" s="28" t="s">
        <v>575</v>
      </c>
      <c r="B1602" s="28" t="s">
        <v>576</v>
      </c>
      <c r="C1602" s="28" t="s">
        <v>561</v>
      </c>
      <c r="D1602" s="28" t="s">
        <v>577</v>
      </c>
      <c r="E1602" s="28" t="s">
        <v>616</v>
      </c>
      <c r="F1602" s="28" t="s">
        <v>586</v>
      </c>
      <c r="G1602" s="29">
        <v>1343</v>
      </c>
      <c r="H1602" s="29">
        <v>2</v>
      </c>
      <c r="I1602" s="29">
        <v>2</v>
      </c>
      <c r="J1602" s="29">
        <v>0</v>
      </c>
      <c r="K1602" s="29">
        <v>2</v>
      </c>
      <c r="L1602" s="29">
        <v>0</v>
      </c>
      <c r="M1602" s="29">
        <v>0</v>
      </c>
      <c r="N1602" s="29">
        <v>0</v>
      </c>
      <c r="O1602" s="29">
        <v>0</v>
      </c>
    </row>
    <row r="1603" spans="1:15" x14ac:dyDescent="0.3">
      <c r="A1603" s="28" t="s">
        <v>575</v>
      </c>
      <c r="B1603" s="28" t="s">
        <v>576</v>
      </c>
      <c r="C1603" s="28" t="s">
        <v>561</v>
      </c>
      <c r="D1603" s="28" t="s">
        <v>577</v>
      </c>
      <c r="E1603" s="28" t="s">
        <v>616</v>
      </c>
      <c r="F1603" s="28" t="s">
        <v>587</v>
      </c>
      <c r="G1603" s="29">
        <v>936</v>
      </c>
      <c r="H1603" s="29">
        <v>2</v>
      </c>
      <c r="I1603" s="29">
        <v>3</v>
      </c>
      <c r="J1603" s="29">
        <v>0</v>
      </c>
      <c r="K1603" s="29">
        <v>3</v>
      </c>
      <c r="L1603" s="29">
        <v>500</v>
      </c>
      <c r="M1603" s="29">
        <v>0</v>
      </c>
      <c r="N1603" s="29">
        <v>500</v>
      </c>
      <c r="O1603" s="29">
        <v>0</v>
      </c>
    </row>
    <row r="1604" spans="1:15" x14ac:dyDescent="0.3">
      <c r="A1604" s="28" t="s">
        <v>575</v>
      </c>
      <c r="B1604" s="28" t="s">
        <v>576</v>
      </c>
      <c r="C1604" s="28" t="s">
        <v>561</v>
      </c>
      <c r="D1604" s="28" t="s">
        <v>577</v>
      </c>
      <c r="E1604" s="28" t="s">
        <v>616</v>
      </c>
      <c r="F1604" s="28" t="s">
        <v>579</v>
      </c>
      <c r="G1604" s="29">
        <v>912</v>
      </c>
      <c r="H1604" s="29">
        <v>2</v>
      </c>
      <c r="I1604" s="29">
        <v>2</v>
      </c>
      <c r="J1604" s="29">
        <v>1</v>
      </c>
      <c r="K1604" s="29">
        <v>1</v>
      </c>
      <c r="L1604" s="29">
        <v>0</v>
      </c>
      <c r="M1604" s="29">
        <v>0</v>
      </c>
      <c r="N1604" s="29">
        <v>0</v>
      </c>
      <c r="O1604" s="29">
        <v>0</v>
      </c>
    </row>
    <row r="1605" spans="1:15" x14ac:dyDescent="0.3">
      <c r="A1605" s="28" t="s">
        <v>575</v>
      </c>
      <c r="B1605" s="28" t="s">
        <v>576</v>
      </c>
      <c r="C1605" s="28" t="s">
        <v>561</v>
      </c>
      <c r="D1605" s="28" t="s">
        <v>577</v>
      </c>
      <c r="E1605" s="28" t="s">
        <v>616</v>
      </c>
      <c r="F1605" s="28" t="s">
        <v>588</v>
      </c>
      <c r="G1605" s="29">
        <v>1051</v>
      </c>
      <c r="H1605" s="29">
        <v>1</v>
      </c>
      <c r="I1605" s="29">
        <v>2</v>
      </c>
      <c r="J1605" s="29">
        <v>0</v>
      </c>
      <c r="K1605" s="29">
        <v>2</v>
      </c>
      <c r="L1605" s="29">
        <v>0</v>
      </c>
      <c r="M1605" s="29">
        <v>0</v>
      </c>
      <c r="N1605" s="29">
        <v>0</v>
      </c>
      <c r="O1605" s="29">
        <v>0</v>
      </c>
    </row>
    <row r="1606" spans="1:15" x14ac:dyDescent="0.3">
      <c r="A1606" s="28" t="s">
        <v>575</v>
      </c>
      <c r="B1606" s="28" t="s">
        <v>576</v>
      </c>
      <c r="C1606" s="28" t="s">
        <v>561</v>
      </c>
      <c r="D1606" s="28" t="s">
        <v>577</v>
      </c>
      <c r="E1606" s="28" t="s">
        <v>616</v>
      </c>
      <c r="F1606" s="28" t="s">
        <v>589</v>
      </c>
      <c r="G1606" s="29">
        <v>1064</v>
      </c>
      <c r="H1606" s="29">
        <v>1</v>
      </c>
      <c r="I1606" s="29">
        <v>0</v>
      </c>
      <c r="J1606" s="29">
        <v>0</v>
      </c>
      <c r="K1606" s="29">
        <v>0</v>
      </c>
      <c r="L1606" s="29">
        <v>0</v>
      </c>
      <c r="M1606" s="29">
        <v>0</v>
      </c>
      <c r="N1606" s="29">
        <v>0</v>
      </c>
      <c r="O1606" s="29">
        <v>0</v>
      </c>
    </row>
    <row r="1607" spans="1:15" x14ac:dyDescent="0.3">
      <c r="A1607" s="28" t="s">
        <v>575</v>
      </c>
      <c r="B1607" s="28" t="s">
        <v>576</v>
      </c>
      <c r="C1607" s="28" t="s">
        <v>561</v>
      </c>
      <c r="D1607" s="28" t="s">
        <v>577</v>
      </c>
      <c r="E1607" s="28" t="s">
        <v>616</v>
      </c>
      <c r="F1607" s="28" t="s">
        <v>590</v>
      </c>
      <c r="G1607" s="29">
        <v>1203</v>
      </c>
      <c r="H1607" s="29">
        <v>7</v>
      </c>
      <c r="I1607" s="29">
        <v>2</v>
      </c>
      <c r="J1607" s="29">
        <v>2</v>
      </c>
      <c r="K1607" s="29">
        <v>0</v>
      </c>
      <c r="L1607" s="29">
        <v>0</v>
      </c>
      <c r="M1607" s="29">
        <v>0</v>
      </c>
      <c r="N1607" s="29">
        <v>0</v>
      </c>
      <c r="O1607" s="29">
        <v>0</v>
      </c>
    </row>
    <row r="1608" spans="1:15" x14ac:dyDescent="0.3">
      <c r="A1608" s="28" t="s">
        <v>575</v>
      </c>
      <c r="B1608" s="28" t="s">
        <v>576</v>
      </c>
      <c r="C1608" s="28" t="s">
        <v>561</v>
      </c>
      <c r="D1608" s="28" t="s">
        <v>577</v>
      </c>
      <c r="E1608" s="28" t="s">
        <v>616</v>
      </c>
      <c r="F1608" s="28" t="s">
        <v>591</v>
      </c>
      <c r="G1608" s="29">
        <v>1210</v>
      </c>
      <c r="H1608" s="29">
        <v>0</v>
      </c>
      <c r="I1608" s="29">
        <v>0</v>
      </c>
      <c r="J1608" s="29">
        <v>0</v>
      </c>
      <c r="K1608" s="29">
        <v>0</v>
      </c>
      <c r="L1608" s="29">
        <v>0</v>
      </c>
      <c r="M1608" s="29">
        <v>0</v>
      </c>
      <c r="N1608" s="29">
        <v>0</v>
      </c>
      <c r="O1608" s="29">
        <v>0</v>
      </c>
    </row>
    <row r="1609" spans="1:15" x14ac:dyDescent="0.3">
      <c r="A1609" s="28" t="s">
        <v>575</v>
      </c>
      <c r="B1609" s="28" t="s">
        <v>576</v>
      </c>
      <c r="C1609" s="28" t="s">
        <v>561</v>
      </c>
      <c r="D1609" s="28" t="s">
        <v>577</v>
      </c>
      <c r="E1609" s="28" t="s">
        <v>616</v>
      </c>
      <c r="F1609" s="28" t="s">
        <v>592</v>
      </c>
      <c r="G1609" s="29">
        <v>1226</v>
      </c>
      <c r="H1609" s="29">
        <v>1</v>
      </c>
      <c r="I1609" s="29">
        <v>0</v>
      </c>
      <c r="J1609" s="29">
        <v>0</v>
      </c>
      <c r="K1609" s="29">
        <v>0</v>
      </c>
      <c r="L1609" s="29">
        <v>0</v>
      </c>
      <c r="M1609" s="29">
        <v>0</v>
      </c>
      <c r="N1609" s="29">
        <v>0</v>
      </c>
      <c r="O1609" s="29">
        <v>0</v>
      </c>
    </row>
    <row r="1610" spans="1:15" x14ac:dyDescent="0.3">
      <c r="A1610" s="28" t="s">
        <v>575</v>
      </c>
      <c r="B1610" s="28" t="s">
        <v>576</v>
      </c>
      <c r="C1610" s="28" t="s">
        <v>561</v>
      </c>
      <c r="D1610" s="28" t="s">
        <v>577</v>
      </c>
      <c r="E1610" s="28" t="s">
        <v>616</v>
      </c>
      <c r="F1610" s="28" t="s">
        <v>593</v>
      </c>
      <c r="G1610" s="29">
        <v>996</v>
      </c>
      <c r="H1610" s="29">
        <v>1</v>
      </c>
      <c r="I1610" s="29">
        <v>1</v>
      </c>
      <c r="J1610" s="29">
        <v>0</v>
      </c>
      <c r="K1610" s="29">
        <v>1</v>
      </c>
      <c r="L1610" s="29">
        <v>0</v>
      </c>
      <c r="M1610" s="29">
        <v>0</v>
      </c>
      <c r="N1610" s="29">
        <v>0</v>
      </c>
      <c r="O1610" s="29">
        <v>0</v>
      </c>
    </row>
    <row r="1611" spans="1:15" x14ac:dyDescent="0.3">
      <c r="A1611" s="28" t="s">
        <v>575</v>
      </c>
      <c r="B1611" s="28" t="s">
        <v>576</v>
      </c>
      <c r="C1611" s="28" t="s">
        <v>561</v>
      </c>
      <c r="D1611" s="28" t="s">
        <v>577</v>
      </c>
      <c r="E1611" s="28" t="s">
        <v>616</v>
      </c>
      <c r="F1611" s="28" t="s">
        <v>594</v>
      </c>
      <c r="G1611" s="29">
        <v>623</v>
      </c>
      <c r="H1611" s="29">
        <v>5</v>
      </c>
      <c r="I1611" s="29">
        <v>0</v>
      </c>
      <c r="J1611" s="29">
        <v>0</v>
      </c>
      <c r="K1611" s="29">
        <v>0</v>
      </c>
      <c r="L1611" s="29">
        <v>0</v>
      </c>
      <c r="M1611" s="29">
        <v>0</v>
      </c>
      <c r="N1611" s="29">
        <v>0</v>
      </c>
      <c r="O1611" s="29">
        <v>0</v>
      </c>
    </row>
    <row r="1612" spans="1:15" x14ac:dyDescent="0.3">
      <c r="A1612" s="28" t="s">
        <v>575</v>
      </c>
      <c r="B1612" s="28" t="s">
        <v>576</v>
      </c>
      <c r="C1612" s="28" t="s">
        <v>561</v>
      </c>
      <c r="D1612" s="28" t="s">
        <v>577</v>
      </c>
      <c r="E1612" s="28" t="s">
        <v>616</v>
      </c>
      <c r="F1612" s="28" t="s">
        <v>595</v>
      </c>
      <c r="G1612" s="29">
        <v>408</v>
      </c>
      <c r="H1612" s="29">
        <v>0</v>
      </c>
      <c r="I1612" s="29">
        <v>1</v>
      </c>
      <c r="J1612" s="29">
        <v>0</v>
      </c>
      <c r="K1612" s="29">
        <v>1</v>
      </c>
      <c r="L1612" s="29">
        <v>0</v>
      </c>
      <c r="M1612" s="29">
        <v>0</v>
      </c>
      <c r="N1612" s="29">
        <v>0</v>
      </c>
      <c r="O1612" s="29">
        <v>0</v>
      </c>
    </row>
    <row r="1613" spans="1:15" x14ac:dyDescent="0.3">
      <c r="A1613" s="28" t="s">
        <v>575</v>
      </c>
      <c r="B1613" s="28" t="s">
        <v>576</v>
      </c>
      <c r="C1613" s="28" t="s">
        <v>561</v>
      </c>
      <c r="D1613" s="28" t="s">
        <v>577</v>
      </c>
      <c r="E1613" s="28" t="s">
        <v>617</v>
      </c>
      <c r="F1613" s="28" t="s">
        <v>597</v>
      </c>
      <c r="G1613" s="29">
        <v>218</v>
      </c>
      <c r="H1613" s="29">
        <v>0</v>
      </c>
      <c r="I1613" s="29">
        <v>6</v>
      </c>
      <c r="J1613" s="29">
        <v>3</v>
      </c>
      <c r="K1613" s="29">
        <v>3</v>
      </c>
      <c r="L1613" s="29">
        <v>1000</v>
      </c>
      <c r="M1613" s="29">
        <v>0</v>
      </c>
      <c r="N1613" s="29">
        <v>1000</v>
      </c>
      <c r="O1613" s="29">
        <v>0</v>
      </c>
    </row>
    <row r="1614" spans="1:15" x14ac:dyDescent="0.3">
      <c r="A1614" s="28" t="s">
        <v>575</v>
      </c>
      <c r="B1614" s="28" t="s">
        <v>576</v>
      </c>
      <c r="C1614" s="28" t="s">
        <v>561</v>
      </c>
      <c r="D1614" s="28" t="s">
        <v>577</v>
      </c>
      <c r="E1614" s="28" t="s">
        <v>617</v>
      </c>
      <c r="F1614" s="28" t="s">
        <v>598</v>
      </c>
      <c r="G1614" s="29">
        <v>107</v>
      </c>
      <c r="H1614" s="29">
        <v>0</v>
      </c>
      <c r="I1614" s="29">
        <v>0</v>
      </c>
      <c r="J1614" s="29">
        <v>0</v>
      </c>
      <c r="K1614" s="29">
        <v>0</v>
      </c>
      <c r="L1614" s="29">
        <v>0</v>
      </c>
      <c r="M1614" s="29">
        <v>0</v>
      </c>
      <c r="N1614" s="29">
        <v>0</v>
      </c>
      <c r="O1614" s="29">
        <v>0</v>
      </c>
    </row>
    <row r="1615" spans="1:15" x14ac:dyDescent="0.3">
      <c r="A1615" s="28" t="s">
        <v>575</v>
      </c>
      <c r="B1615" s="28" t="s">
        <v>576</v>
      </c>
      <c r="C1615" s="28" t="s">
        <v>561</v>
      </c>
      <c r="D1615" s="28" t="s">
        <v>577</v>
      </c>
      <c r="E1615" s="28" t="s">
        <v>617</v>
      </c>
      <c r="F1615" s="28" t="s">
        <v>599</v>
      </c>
      <c r="G1615" s="29">
        <v>85</v>
      </c>
      <c r="H1615" s="29">
        <v>0</v>
      </c>
      <c r="I1615" s="29">
        <v>0</v>
      </c>
      <c r="J1615" s="29">
        <v>0</v>
      </c>
      <c r="K1615" s="29">
        <v>0</v>
      </c>
      <c r="L1615" s="29">
        <v>0</v>
      </c>
      <c r="M1615" s="29">
        <v>0</v>
      </c>
      <c r="N1615" s="29">
        <v>0</v>
      </c>
      <c r="O1615" s="29">
        <v>0</v>
      </c>
    </row>
    <row r="1616" spans="1:15" x14ac:dyDescent="0.3">
      <c r="A1616" s="28" t="s">
        <v>575</v>
      </c>
      <c r="B1616" s="28" t="s">
        <v>576</v>
      </c>
      <c r="C1616" s="28" t="s">
        <v>561</v>
      </c>
      <c r="D1616" s="28" t="s">
        <v>577</v>
      </c>
      <c r="E1616" s="28" t="s">
        <v>617</v>
      </c>
      <c r="F1616" s="28" t="s">
        <v>600</v>
      </c>
      <c r="G1616" s="29">
        <v>74</v>
      </c>
      <c r="H1616" s="29">
        <v>1</v>
      </c>
      <c r="I1616" s="29">
        <v>0</v>
      </c>
      <c r="J1616" s="29">
        <v>0</v>
      </c>
      <c r="K1616" s="29">
        <v>0</v>
      </c>
      <c r="L1616" s="29">
        <v>0</v>
      </c>
      <c r="M1616" s="29">
        <v>0</v>
      </c>
      <c r="N1616" s="29">
        <v>0</v>
      </c>
      <c r="O1616" s="29">
        <v>0</v>
      </c>
    </row>
    <row r="1617" spans="1:15" x14ac:dyDescent="0.3">
      <c r="A1617" s="28" t="s">
        <v>575</v>
      </c>
      <c r="B1617" s="28" t="s">
        <v>576</v>
      </c>
      <c r="C1617" s="28" t="s">
        <v>561</v>
      </c>
      <c r="D1617" s="28" t="s">
        <v>577</v>
      </c>
      <c r="E1617" s="28" t="s">
        <v>617</v>
      </c>
      <c r="F1617" s="28" t="s">
        <v>601</v>
      </c>
      <c r="G1617" s="29">
        <v>183</v>
      </c>
      <c r="H1617" s="29">
        <v>0</v>
      </c>
      <c r="I1617" s="29">
        <v>0</v>
      </c>
      <c r="J1617" s="29">
        <v>0</v>
      </c>
      <c r="K1617" s="29">
        <v>0</v>
      </c>
      <c r="L1617" s="29">
        <v>0</v>
      </c>
      <c r="M1617" s="29">
        <v>0</v>
      </c>
      <c r="N1617" s="29">
        <v>0</v>
      </c>
      <c r="O1617" s="29">
        <v>0</v>
      </c>
    </row>
    <row r="1618" spans="1:15" x14ac:dyDescent="0.3">
      <c r="A1618" s="28" t="s">
        <v>575</v>
      </c>
      <c r="B1618" s="28" t="s">
        <v>576</v>
      </c>
      <c r="C1618" s="28" t="s">
        <v>561</v>
      </c>
      <c r="D1618" s="28" t="s">
        <v>577</v>
      </c>
      <c r="E1618" s="28" t="s">
        <v>617</v>
      </c>
      <c r="F1618" s="28" t="s">
        <v>602</v>
      </c>
      <c r="G1618" s="29">
        <v>407</v>
      </c>
      <c r="H1618" s="29">
        <v>0</v>
      </c>
      <c r="I1618" s="29">
        <v>0</v>
      </c>
      <c r="J1618" s="29">
        <v>0</v>
      </c>
      <c r="K1618" s="29">
        <v>0</v>
      </c>
      <c r="L1618" s="29">
        <v>0</v>
      </c>
      <c r="M1618" s="29">
        <v>0</v>
      </c>
      <c r="N1618" s="29">
        <v>0</v>
      </c>
      <c r="O1618" s="29">
        <v>0</v>
      </c>
    </row>
    <row r="1619" spans="1:15" x14ac:dyDescent="0.3">
      <c r="A1619" s="28" t="s">
        <v>575</v>
      </c>
      <c r="B1619" s="28" t="s">
        <v>576</v>
      </c>
      <c r="C1619" s="28" t="s">
        <v>561</v>
      </c>
      <c r="D1619" s="28" t="s">
        <v>577</v>
      </c>
      <c r="E1619" s="28" t="s">
        <v>617</v>
      </c>
      <c r="F1619" s="28" t="s">
        <v>603</v>
      </c>
      <c r="G1619" s="29">
        <v>1102</v>
      </c>
      <c r="H1619" s="29">
        <v>1</v>
      </c>
      <c r="I1619" s="29">
        <v>3</v>
      </c>
      <c r="J1619" s="29">
        <v>0</v>
      </c>
      <c r="K1619" s="29">
        <v>3</v>
      </c>
      <c r="L1619" s="29">
        <v>0</v>
      </c>
      <c r="M1619" s="29">
        <v>0</v>
      </c>
      <c r="N1619" s="29">
        <v>0</v>
      </c>
      <c r="O1619" s="29">
        <v>0</v>
      </c>
    </row>
    <row r="1620" spans="1:15" x14ac:dyDescent="0.3">
      <c r="A1620" s="28" t="s">
        <v>575</v>
      </c>
      <c r="B1620" s="28" t="s">
        <v>576</v>
      </c>
      <c r="C1620" s="28" t="s">
        <v>561</v>
      </c>
      <c r="D1620" s="28" t="s">
        <v>577</v>
      </c>
      <c r="E1620" s="28" t="s">
        <v>617</v>
      </c>
      <c r="F1620" s="28" t="s">
        <v>604</v>
      </c>
      <c r="G1620" s="29">
        <v>2544</v>
      </c>
      <c r="H1620" s="29">
        <v>3</v>
      </c>
      <c r="I1620" s="29">
        <v>1</v>
      </c>
      <c r="J1620" s="29">
        <v>1</v>
      </c>
      <c r="K1620" s="29">
        <v>0</v>
      </c>
      <c r="L1620" s="29">
        <v>0</v>
      </c>
      <c r="M1620" s="29">
        <v>0</v>
      </c>
      <c r="N1620" s="29">
        <v>0</v>
      </c>
      <c r="O1620" s="29">
        <v>0</v>
      </c>
    </row>
    <row r="1621" spans="1:15" x14ac:dyDescent="0.3">
      <c r="A1621" s="28" t="s">
        <v>575</v>
      </c>
      <c r="B1621" s="28" t="s">
        <v>576</v>
      </c>
      <c r="C1621" s="28" t="s">
        <v>561</v>
      </c>
      <c r="D1621" s="28" t="s">
        <v>577</v>
      </c>
      <c r="E1621" s="28" t="s">
        <v>617</v>
      </c>
      <c r="F1621" s="28" t="s">
        <v>581</v>
      </c>
      <c r="G1621" s="29">
        <v>1773</v>
      </c>
      <c r="H1621" s="29">
        <v>3</v>
      </c>
      <c r="I1621" s="29">
        <v>1</v>
      </c>
      <c r="J1621" s="29">
        <v>1</v>
      </c>
      <c r="K1621" s="29">
        <v>0</v>
      </c>
      <c r="L1621" s="29">
        <v>0</v>
      </c>
      <c r="M1621" s="29">
        <v>0</v>
      </c>
      <c r="N1621" s="29">
        <v>0</v>
      </c>
      <c r="O1621" s="29">
        <v>0</v>
      </c>
    </row>
    <row r="1622" spans="1:15" x14ac:dyDescent="0.3">
      <c r="A1622" s="28" t="s">
        <v>575</v>
      </c>
      <c r="B1622" s="28" t="s">
        <v>576</v>
      </c>
      <c r="C1622" s="28" t="s">
        <v>561</v>
      </c>
      <c r="D1622" s="28" t="s">
        <v>577</v>
      </c>
      <c r="E1622" s="28" t="s">
        <v>617</v>
      </c>
      <c r="F1622" s="28" t="s">
        <v>582</v>
      </c>
      <c r="G1622" s="29">
        <v>1364</v>
      </c>
      <c r="H1622" s="29">
        <v>2</v>
      </c>
      <c r="I1622" s="29">
        <v>2</v>
      </c>
      <c r="J1622" s="29">
        <v>0</v>
      </c>
      <c r="K1622" s="29">
        <v>2</v>
      </c>
      <c r="L1622" s="29">
        <v>500</v>
      </c>
      <c r="M1622" s="29">
        <v>0</v>
      </c>
      <c r="N1622" s="29">
        <v>500</v>
      </c>
      <c r="O1622" s="29">
        <v>0</v>
      </c>
    </row>
    <row r="1623" spans="1:15" x14ac:dyDescent="0.3">
      <c r="A1623" s="28" t="s">
        <v>575</v>
      </c>
      <c r="B1623" s="28" t="s">
        <v>576</v>
      </c>
      <c r="C1623" s="28" t="s">
        <v>561</v>
      </c>
      <c r="D1623" s="28" t="s">
        <v>577</v>
      </c>
      <c r="E1623" s="28" t="s">
        <v>617</v>
      </c>
      <c r="F1623" s="28" t="s">
        <v>583</v>
      </c>
      <c r="G1623" s="29">
        <v>889</v>
      </c>
      <c r="H1623" s="29">
        <v>0</v>
      </c>
      <c r="I1623" s="29">
        <v>3</v>
      </c>
      <c r="J1623" s="29">
        <v>1</v>
      </c>
      <c r="K1623" s="29">
        <v>2</v>
      </c>
      <c r="L1623" s="29">
        <v>0</v>
      </c>
      <c r="M1623" s="29">
        <v>0</v>
      </c>
      <c r="N1623" s="29">
        <v>0</v>
      </c>
      <c r="O1623" s="29">
        <v>0</v>
      </c>
    </row>
    <row r="1624" spans="1:15" x14ac:dyDescent="0.3">
      <c r="A1624" s="28" t="s">
        <v>575</v>
      </c>
      <c r="B1624" s="28" t="s">
        <v>576</v>
      </c>
      <c r="C1624" s="28" t="s">
        <v>561</v>
      </c>
      <c r="D1624" s="28" t="s">
        <v>577</v>
      </c>
      <c r="E1624" s="28" t="s">
        <v>617</v>
      </c>
      <c r="F1624" s="28" t="s">
        <v>584</v>
      </c>
      <c r="G1624" s="29">
        <v>672</v>
      </c>
      <c r="H1624" s="29">
        <v>1</v>
      </c>
      <c r="I1624" s="29">
        <v>5</v>
      </c>
      <c r="J1624" s="29">
        <v>3</v>
      </c>
      <c r="K1624" s="29">
        <v>2</v>
      </c>
      <c r="L1624" s="29">
        <v>500</v>
      </c>
      <c r="M1624" s="29">
        <v>500</v>
      </c>
      <c r="N1624" s="29">
        <v>0</v>
      </c>
      <c r="O1624" s="29">
        <v>0</v>
      </c>
    </row>
    <row r="1625" spans="1:15" x14ac:dyDescent="0.3">
      <c r="A1625" s="28" t="s">
        <v>575</v>
      </c>
      <c r="B1625" s="28" t="s">
        <v>576</v>
      </c>
      <c r="C1625" s="28" t="s">
        <v>561</v>
      </c>
      <c r="D1625" s="28" t="s">
        <v>577</v>
      </c>
      <c r="E1625" s="28" t="s">
        <v>617</v>
      </c>
      <c r="F1625" s="28" t="s">
        <v>585</v>
      </c>
      <c r="G1625" s="29">
        <v>625</v>
      </c>
      <c r="H1625" s="29">
        <v>3</v>
      </c>
      <c r="I1625" s="29">
        <v>0</v>
      </c>
      <c r="J1625" s="29">
        <v>0</v>
      </c>
      <c r="K1625" s="29">
        <v>0</v>
      </c>
      <c r="L1625" s="29">
        <v>0</v>
      </c>
      <c r="M1625" s="29">
        <v>0</v>
      </c>
      <c r="N1625" s="29">
        <v>0</v>
      </c>
      <c r="O1625" s="29">
        <v>0</v>
      </c>
    </row>
    <row r="1626" spans="1:15" x14ac:dyDescent="0.3">
      <c r="A1626" s="28" t="s">
        <v>575</v>
      </c>
      <c r="B1626" s="28" t="s">
        <v>576</v>
      </c>
      <c r="C1626" s="28" t="s">
        <v>561</v>
      </c>
      <c r="D1626" s="28" t="s">
        <v>577</v>
      </c>
      <c r="E1626" s="28" t="s">
        <v>617</v>
      </c>
      <c r="F1626" s="28" t="s">
        <v>586</v>
      </c>
      <c r="G1626" s="29">
        <v>523</v>
      </c>
      <c r="H1626" s="29">
        <v>1</v>
      </c>
      <c r="I1626" s="29">
        <v>0</v>
      </c>
      <c r="J1626" s="29">
        <v>0</v>
      </c>
      <c r="K1626" s="29">
        <v>0</v>
      </c>
      <c r="L1626" s="29">
        <v>0</v>
      </c>
      <c r="M1626" s="29">
        <v>0</v>
      </c>
      <c r="N1626" s="29">
        <v>0</v>
      </c>
      <c r="O1626" s="29">
        <v>0</v>
      </c>
    </row>
    <row r="1627" spans="1:15" x14ac:dyDescent="0.3">
      <c r="A1627" s="28" t="s">
        <v>575</v>
      </c>
      <c r="B1627" s="28" t="s">
        <v>576</v>
      </c>
      <c r="C1627" s="28" t="s">
        <v>561</v>
      </c>
      <c r="D1627" s="28" t="s">
        <v>618</v>
      </c>
      <c r="E1627" s="28" t="s">
        <v>578</v>
      </c>
      <c r="F1627" s="28" t="s">
        <v>579</v>
      </c>
      <c r="G1627" s="29">
        <v>0</v>
      </c>
      <c r="H1627" s="29">
        <v>1</v>
      </c>
      <c r="I1627" s="29">
        <v>0</v>
      </c>
      <c r="J1627" s="29">
        <v>0</v>
      </c>
      <c r="K1627" s="29">
        <v>0</v>
      </c>
      <c r="L1627" s="29">
        <v>0</v>
      </c>
      <c r="M1627" s="29">
        <v>0</v>
      </c>
      <c r="N1627" s="29">
        <v>0</v>
      </c>
      <c r="O1627" s="29">
        <v>0</v>
      </c>
    </row>
    <row r="1628" spans="1:15" x14ac:dyDescent="0.3">
      <c r="A1628" s="28" t="s">
        <v>575</v>
      </c>
      <c r="B1628" s="28" t="s">
        <v>576</v>
      </c>
      <c r="C1628" s="28" t="s">
        <v>561</v>
      </c>
      <c r="D1628" s="28" t="s">
        <v>618</v>
      </c>
      <c r="E1628" s="28" t="s">
        <v>578</v>
      </c>
      <c r="F1628" s="28" t="s">
        <v>588</v>
      </c>
      <c r="G1628" s="29">
        <v>5</v>
      </c>
      <c r="H1628" s="29">
        <v>0</v>
      </c>
      <c r="I1628" s="29">
        <v>0</v>
      </c>
      <c r="J1628" s="29">
        <v>0</v>
      </c>
      <c r="K1628" s="29">
        <v>0</v>
      </c>
      <c r="L1628" s="29">
        <v>0</v>
      </c>
      <c r="M1628" s="29">
        <v>0</v>
      </c>
      <c r="N1628" s="29">
        <v>0</v>
      </c>
      <c r="O1628" s="29">
        <v>0</v>
      </c>
    </row>
    <row r="1629" spans="1:15" x14ac:dyDescent="0.3">
      <c r="A1629" s="28" t="s">
        <v>575</v>
      </c>
      <c r="B1629" s="28" t="s">
        <v>576</v>
      </c>
      <c r="C1629" s="28" t="s">
        <v>561</v>
      </c>
      <c r="D1629" s="28" t="s">
        <v>618</v>
      </c>
      <c r="E1629" s="28" t="s">
        <v>620</v>
      </c>
      <c r="F1629" s="28" t="s">
        <v>602</v>
      </c>
      <c r="G1629" s="29">
        <v>2</v>
      </c>
      <c r="H1629" s="29">
        <v>0</v>
      </c>
      <c r="I1629" s="29">
        <v>0</v>
      </c>
      <c r="J1629" s="29">
        <v>0</v>
      </c>
      <c r="K1629" s="29">
        <v>0</v>
      </c>
      <c r="L1629" s="29">
        <v>0</v>
      </c>
      <c r="M1629" s="29">
        <v>0</v>
      </c>
      <c r="N1629" s="29">
        <v>0</v>
      </c>
      <c r="O1629" s="29">
        <v>0</v>
      </c>
    </row>
    <row r="1630" spans="1:15" x14ac:dyDescent="0.3">
      <c r="A1630" s="28" t="s">
        <v>575</v>
      </c>
      <c r="B1630" s="28" t="s">
        <v>576</v>
      </c>
      <c r="C1630" s="28" t="s">
        <v>561</v>
      </c>
      <c r="D1630" s="28" t="s">
        <v>618</v>
      </c>
      <c r="E1630" s="28" t="s">
        <v>620</v>
      </c>
      <c r="F1630" s="28" t="s">
        <v>603</v>
      </c>
      <c r="G1630" s="29">
        <v>1</v>
      </c>
      <c r="H1630" s="29">
        <v>0</v>
      </c>
      <c r="I1630" s="29">
        <v>0</v>
      </c>
      <c r="J1630" s="29">
        <v>0</v>
      </c>
      <c r="K1630" s="29">
        <v>0</v>
      </c>
      <c r="L1630" s="29">
        <v>0</v>
      </c>
      <c r="M1630" s="29">
        <v>0</v>
      </c>
      <c r="N1630" s="29">
        <v>0</v>
      </c>
      <c r="O1630" s="29">
        <v>0</v>
      </c>
    </row>
    <row r="1631" spans="1:15" x14ac:dyDescent="0.3">
      <c r="A1631" s="28" t="s">
        <v>575</v>
      </c>
      <c r="B1631" s="28" t="s">
        <v>576</v>
      </c>
      <c r="C1631" s="28" t="s">
        <v>561</v>
      </c>
      <c r="D1631" s="28" t="s">
        <v>618</v>
      </c>
      <c r="E1631" s="28" t="s">
        <v>620</v>
      </c>
      <c r="F1631" s="28" t="s">
        <v>581</v>
      </c>
      <c r="G1631" s="29">
        <v>62</v>
      </c>
      <c r="H1631" s="29">
        <v>0</v>
      </c>
      <c r="I1631" s="29">
        <v>0</v>
      </c>
      <c r="J1631" s="29">
        <v>0</v>
      </c>
      <c r="K1631" s="29">
        <v>0</v>
      </c>
      <c r="L1631" s="29">
        <v>0</v>
      </c>
      <c r="M1631" s="29">
        <v>0</v>
      </c>
      <c r="N1631" s="29">
        <v>0</v>
      </c>
      <c r="O1631" s="29">
        <v>0</v>
      </c>
    </row>
    <row r="1632" spans="1:15" x14ac:dyDescent="0.3">
      <c r="A1632" s="28" t="s">
        <v>575</v>
      </c>
      <c r="B1632" s="28" t="s">
        <v>576</v>
      </c>
      <c r="C1632" s="28" t="s">
        <v>561</v>
      </c>
      <c r="D1632" s="28" t="s">
        <v>618</v>
      </c>
      <c r="E1632" s="28" t="s">
        <v>620</v>
      </c>
      <c r="F1632" s="28" t="s">
        <v>582</v>
      </c>
      <c r="G1632" s="29">
        <v>21</v>
      </c>
      <c r="H1632" s="29">
        <v>1</v>
      </c>
      <c r="I1632" s="29">
        <v>0</v>
      </c>
      <c r="J1632" s="29">
        <v>0</v>
      </c>
      <c r="K1632" s="29">
        <v>0</v>
      </c>
      <c r="L1632" s="29">
        <v>0</v>
      </c>
      <c r="M1632" s="29">
        <v>0</v>
      </c>
      <c r="N1632" s="29">
        <v>0</v>
      </c>
      <c r="O1632" s="29">
        <v>0</v>
      </c>
    </row>
    <row r="1633" spans="1:15" x14ac:dyDescent="0.3">
      <c r="A1633" s="28" t="s">
        <v>575</v>
      </c>
      <c r="B1633" s="28" t="s">
        <v>576</v>
      </c>
      <c r="C1633" s="28" t="s">
        <v>561</v>
      </c>
      <c r="D1633" s="28" t="s">
        <v>618</v>
      </c>
      <c r="E1633" s="28" t="s">
        <v>620</v>
      </c>
      <c r="F1633" s="28" t="s">
        <v>584</v>
      </c>
      <c r="G1633" s="29">
        <v>1</v>
      </c>
      <c r="H1633" s="29">
        <v>0</v>
      </c>
      <c r="I1633" s="29">
        <v>0</v>
      </c>
      <c r="J1633" s="29">
        <v>0</v>
      </c>
      <c r="K1633" s="29">
        <v>0</v>
      </c>
      <c r="L1633" s="29">
        <v>0</v>
      </c>
      <c r="M1633" s="29">
        <v>0</v>
      </c>
      <c r="N1633" s="29">
        <v>0</v>
      </c>
      <c r="O1633" s="29">
        <v>0</v>
      </c>
    </row>
    <row r="1634" spans="1:15" x14ac:dyDescent="0.3">
      <c r="A1634" s="28" t="s">
        <v>575</v>
      </c>
      <c r="B1634" s="28" t="s">
        <v>576</v>
      </c>
      <c r="C1634" s="28" t="s">
        <v>561</v>
      </c>
      <c r="D1634" s="28" t="s">
        <v>618</v>
      </c>
      <c r="E1634" s="28" t="s">
        <v>620</v>
      </c>
      <c r="F1634" s="28" t="s">
        <v>589</v>
      </c>
      <c r="G1634" s="29">
        <v>3</v>
      </c>
      <c r="H1634" s="29">
        <v>0</v>
      </c>
      <c r="I1634" s="29">
        <v>0</v>
      </c>
      <c r="J1634" s="29">
        <v>0</v>
      </c>
      <c r="K1634" s="29">
        <v>0</v>
      </c>
      <c r="L1634" s="29">
        <v>0</v>
      </c>
      <c r="M1634" s="29">
        <v>0</v>
      </c>
      <c r="N1634" s="29">
        <v>0</v>
      </c>
      <c r="O1634" s="29">
        <v>0</v>
      </c>
    </row>
    <row r="1635" spans="1:15" x14ac:dyDescent="0.3">
      <c r="A1635" s="28" t="s">
        <v>575</v>
      </c>
      <c r="B1635" s="28" t="s">
        <v>576</v>
      </c>
      <c r="C1635" s="28" t="s">
        <v>561</v>
      </c>
      <c r="D1635" s="28" t="s">
        <v>618</v>
      </c>
      <c r="E1635" s="28" t="s">
        <v>619</v>
      </c>
      <c r="F1635" s="28" t="s">
        <v>583</v>
      </c>
      <c r="G1635" s="29">
        <v>1</v>
      </c>
      <c r="H1635" s="29">
        <v>0</v>
      </c>
      <c r="I1635" s="29">
        <v>0</v>
      </c>
      <c r="J1635" s="29">
        <v>0</v>
      </c>
      <c r="K1635" s="29">
        <v>0</v>
      </c>
      <c r="L1635" s="29">
        <v>0</v>
      </c>
      <c r="M1635" s="29">
        <v>0</v>
      </c>
      <c r="N1635" s="29">
        <v>0</v>
      </c>
      <c r="O1635" s="29">
        <v>0</v>
      </c>
    </row>
    <row r="1636" spans="1:15" x14ac:dyDescent="0.3">
      <c r="A1636" s="28" t="s">
        <v>575</v>
      </c>
      <c r="B1636" s="28" t="s">
        <v>576</v>
      </c>
      <c r="C1636" s="28" t="s">
        <v>561</v>
      </c>
      <c r="D1636" s="28" t="s">
        <v>618</v>
      </c>
      <c r="E1636" s="28" t="s">
        <v>619</v>
      </c>
      <c r="F1636" s="28" t="s">
        <v>593</v>
      </c>
      <c r="G1636" s="29">
        <v>1886</v>
      </c>
      <c r="H1636" s="29">
        <v>3</v>
      </c>
      <c r="I1636" s="29">
        <v>1</v>
      </c>
      <c r="J1636" s="29">
        <v>1</v>
      </c>
      <c r="K1636" s="29">
        <v>0</v>
      </c>
      <c r="L1636" s="29">
        <v>0</v>
      </c>
      <c r="M1636" s="29">
        <v>0</v>
      </c>
      <c r="N1636" s="29">
        <v>0</v>
      </c>
      <c r="O1636" s="29">
        <v>0</v>
      </c>
    </row>
    <row r="1637" spans="1:15" x14ac:dyDescent="0.3">
      <c r="A1637" s="28" t="s">
        <v>575</v>
      </c>
      <c r="B1637" s="28" t="s">
        <v>576</v>
      </c>
      <c r="C1637" s="28" t="s">
        <v>561</v>
      </c>
      <c r="D1637" s="28" t="s">
        <v>618</v>
      </c>
      <c r="E1637" s="28" t="s">
        <v>619</v>
      </c>
      <c r="F1637" s="28" t="s">
        <v>594</v>
      </c>
      <c r="G1637" s="29">
        <v>3258</v>
      </c>
      <c r="H1637" s="29">
        <v>2</v>
      </c>
      <c r="I1637" s="29">
        <v>0</v>
      </c>
      <c r="J1637" s="29">
        <v>0</v>
      </c>
      <c r="K1637" s="29">
        <v>0</v>
      </c>
      <c r="L1637" s="29">
        <v>0</v>
      </c>
      <c r="M1637" s="29">
        <v>0</v>
      </c>
      <c r="N1637" s="29">
        <v>0</v>
      </c>
      <c r="O1637" s="29">
        <v>0</v>
      </c>
    </row>
    <row r="1638" spans="1:15" x14ac:dyDescent="0.3">
      <c r="A1638" s="28" t="s">
        <v>575</v>
      </c>
      <c r="B1638" s="28" t="s">
        <v>576</v>
      </c>
      <c r="C1638" s="28" t="s">
        <v>561</v>
      </c>
      <c r="D1638" s="28" t="s">
        <v>618</v>
      </c>
      <c r="E1638" s="28" t="s">
        <v>619</v>
      </c>
      <c r="F1638" s="28" t="s">
        <v>595</v>
      </c>
      <c r="G1638" s="29">
        <v>1909</v>
      </c>
      <c r="H1638" s="29">
        <v>5</v>
      </c>
      <c r="I1638" s="29">
        <v>2</v>
      </c>
      <c r="J1638" s="29">
        <v>2</v>
      </c>
      <c r="K1638" s="29">
        <v>0</v>
      </c>
      <c r="L1638" s="29">
        <v>0</v>
      </c>
      <c r="M1638" s="29">
        <v>0</v>
      </c>
      <c r="N1638" s="29">
        <v>0</v>
      </c>
      <c r="O1638" s="29">
        <v>0</v>
      </c>
    </row>
    <row r="1639" spans="1:15" x14ac:dyDescent="0.3">
      <c r="A1639" s="28" t="s">
        <v>575</v>
      </c>
      <c r="B1639" s="28" t="s">
        <v>576</v>
      </c>
      <c r="C1639" s="28" t="s">
        <v>561</v>
      </c>
      <c r="D1639" s="28" t="s">
        <v>618</v>
      </c>
      <c r="E1639" s="28" t="s">
        <v>580</v>
      </c>
      <c r="F1639" s="28" t="s">
        <v>597</v>
      </c>
      <c r="G1639" s="29">
        <v>1190</v>
      </c>
      <c r="H1639" s="29">
        <v>4</v>
      </c>
      <c r="I1639" s="29">
        <v>1</v>
      </c>
      <c r="J1639" s="29">
        <v>1</v>
      </c>
      <c r="K1639" s="29">
        <v>0</v>
      </c>
      <c r="L1639" s="29">
        <v>0</v>
      </c>
      <c r="M1639" s="29">
        <v>0</v>
      </c>
      <c r="N1639" s="29">
        <v>0</v>
      </c>
      <c r="O1639" s="29">
        <v>0</v>
      </c>
    </row>
    <row r="1640" spans="1:15" x14ac:dyDescent="0.3">
      <c r="A1640" s="28" t="s">
        <v>575</v>
      </c>
      <c r="B1640" s="28" t="s">
        <v>576</v>
      </c>
      <c r="C1640" s="28" t="s">
        <v>561</v>
      </c>
      <c r="D1640" s="28" t="s">
        <v>618</v>
      </c>
      <c r="E1640" s="28" t="s">
        <v>580</v>
      </c>
      <c r="F1640" s="28" t="s">
        <v>598</v>
      </c>
      <c r="G1640" s="29">
        <v>616</v>
      </c>
      <c r="H1640" s="29">
        <v>0</v>
      </c>
      <c r="I1640" s="29">
        <v>0</v>
      </c>
      <c r="J1640" s="29">
        <v>0</v>
      </c>
      <c r="K1640" s="29">
        <v>0</v>
      </c>
      <c r="L1640" s="29">
        <v>0</v>
      </c>
      <c r="M1640" s="29">
        <v>0</v>
      </c>
      <c r="N1640" s="29">
        <v>0</v>
      </c>
      <c r="O1640" s="29">
        <v>0</v>
      </c>
    </row>
    <row r="1641" spans="1:15" x14ac:dyDescent="0.3">
      <c r="A1641" s="28" t="s">
        <v>575</v>
      </c>
      <c r="B1641" s="28" t="s">
        <v>576</v>
      </c>
      <c r="C1641" s="28" t="s">
        <v>561</v>
      </c>
      <c r="D1641" s="28" t="s">
        <v>618</v>
      </c>
      <c r="E1641" s="28" t="s">
        <v>580</v>
      </c>
      <c r="F1641" s="28" t="s">
        <v>599</v>
      </c>
      <c r="G1641" s="29">
        <v>337</v>
      </c>
      <c r="H1641" s="29">
        <v>0</v>
      </c>
      <c r="I1641" s="29">
        <v>0</v>
      </c>
      <c r="J1641" s="29">
        <v>0</v>
      </c>
      <c r="K1641" s="29">
        <v>0</v>
      </c>
      <c r="L1641" s="29">
        <v>0</v>
      </c>
      <c r="M1641" s="29">
        <v>0</v>
      </c>
      <c r="N1641" s="29">
        <v>0</v>
      </c>
      <c r="O1641" s="29">
        <v>0</v>
      </c>
    </row>
    <row r="1642" spans="1:15" x14ac:dyDescent="0.3">
      <c r="A1642" s="28" t="s">
        <v>575</v>
      </c>
      <c r="B1642" s="28" t="s">
        <v>576</v>
      </c>
      <c r="C1642" s="28" t="s">
        <v>561</v>
      </c>
      <c r="D1642" s="28" t="s">
        <v>618</v>
      </c>
      <c r="E1642" s="28" t="s">
        <v>580</v>
      </c>
      <c r="F1642" s="28" t="s">
        <v>600</v>
      </c>
      <c r="G1642" s="29">
        <v>334</v>
      </c>
      <c r="H1642" s="29">
        <v>1</v>
      </c>
      <c r="I1642" s="29">
        <v>0</v>
      </c>
      <c r="J1642" s="29">
        <v>0</v>
      </c>
      <c r="K1642" s="29">
        <v>0</v>
      </c>
      <c r="L1642" s="29">
        <v>0</v>
      </c>
      <c r="M1642" s="29">
        <v>0</v>
      </c>
      <c r="N1642" s="29">
        <v>0</v>
      </c>
      <c r="O1642" s="29">
        <v>0</v>
      </c>
    </row>
    <row r="1643" spans="1:15" x14ac:dyDescent="0.3">
      <c r="A1643" s="28" t="s">
        <v>575</v>
      </c>
      <c r="B1643" s="28" t="s">
        <v>576</v>
      </c>
      <c r="C1643" s="28" t="s">
        <v>561</v>
      </c>
      <c r="D1643" s="28" t="s">
        <v>618</v>
      </c>
      <c r="E1643" s="28" t="s">
        <v>580</v>
      </c>
      <c r="F1643" s="28" t="s">
        <v>601</v>
      </c>
      <c r="G1643" s="29">
        <v>532</v>
      </c>
      <c r="H1643" s="29">
        <v>0</v>
      </c>
      <c r="I1643" s="29">
        <v>0</v>
      </c>
      <c r="J1643" s="29">
        <v>0</v>
      </c>
      <c r="K1643" s="29">
        <v>0</v>
      </c>
      <c r="L1643" s="29">
        <v>0</v>
      </c>
      <c r="M1643" s="29">
        <v>0</v>
      </c>
      <c r="N1643" s="29">
        <v>0</v>
      </c>
      <c r="O1643" s="29">
        <v>0</v>
      </c>
    </row>
    <row r="1644" spans="1:15" x14ac:dyDescent="0.3">
      <c r="A1644" s="28" t="s">
        <v>575</v>
      </c>
      <c r="B1644" s="28" t="s">
        <v>576</v>
      </c>
      <c r="C1644" s="28" t="s">
        <v>561</v>
      </c>
      <c r="D1644" s="28" t="s">
        <v>618</v>
      </c>
      <c r="E1644" s="28" t="s">
        <v>580</v>
      </c>
      <c r="F1644" s="28" t="s">
        <v>602</v>
      </c>
      <c r="G1644" s="29">
        <v>1557</v>
      </c>
      <c r="H1644" s="29">
        <v>1</v>
      </c>
      <c r="I1644" s="29">
        <v>0</v>
      </c>
      <c r="J1644" s="29">
        <v>0</v>
      </c>
      <c r="K1644" s="29">
        <v>0</v>
      </c>
      <c r="L1644" s="29">
        <v>0</v>
      </c>
      <c r="M1644" s="29">
        <v>0</v>
      </c>
      <c r="N1644" s="29">
        <v>0</v>
      </c>
      <c r="O1644" s="29">
        <v>0</v>
      </c>
    </row>
    <row r="1645" spans="1:15" x14ac:dyDescent="0.3">
      <c r="A1645" s="28" t="s">
        <v>575</v>
      </c>
      <c r="B1645" s="28" t="s">
        <v>576</v>
      </c>
      <c r="C1645" s="28" t="s">
        <v>561</v>
      </c>
      <c r="D1645" s="28" t="s">
        <v>618</v>
      </c>
      <c r="E1645" s="28" t="s">
        <v>580</v>
      </c>
      <c r="F1645" s="28" t="s">
        <v>603</v>
      </c>
      <c r="G1645" s="29">
        <v>3917</v>
      </c>
      <c r="H1645" s="29">
        <v>3</v>
      </c>
      <c r="I1645" s="29">
        <v>0</v>
      </c>
      <c r="J1645" s="29">
        <v>0</v>
      </c>
      <c r="K1645" s="29">
        <v>0</v>
      </c>
      <c r="L1645" s="29">
        <v>0</v>
      </c>
      <c r="M1645" s="29">
        <v>0</v>
      </c>
      <c r="N1645" s="29">
        <v>0</v>
      </c>
      <c r="O1645" s="29">
        <v>0</v>
      </c>
    </row>
    <row r="1646" spans="1:15" x14ac:dyDescent="0.3">
      <c r="A1646" s="28" t="s">
        <v>575</v>
      </c>
      <c r="B1646" s="28" t="s">
        <v>576</v>
      </c>
      <c r="C1646" s="28" t="s">
        <v>561</v>
      </c>
      <c r="D1646" s="28" t="s">
        <v>618</v>
      </c>
      <c r="E1646" s="28" t="s">
        <v>580</v>
      </c>
      <c r="F1646" s="28" t="s">
        <v>604</v>
      </c>
      <c r="G1646" s="29">
        <v>9416</v>
      </c>
      <c r="H1646" s="29">
        <v>6</v>
      </c>
      <c r="I1646" s="29">
        <v>2</v>
      </c>
      <c r="J1646" s="29">
        <v>2</v>
      </c>
      <c r="K1646" s="29">
        <v>0</v>
      </c>
      <c r="L1646" s="29">
        <v>0</v>
      </c>
      <c r="M1646" s="29">
        <v>0</v>
      </c>
      <c r="N1646" s="29">
        <v>0</v>
      </c>
      <c r="O1646" s="29">
        <v>0</v>
      </c>
    </row>
    <row r="1647" spans="1:15" x14ac:dyDescent="0.3">
      <c r="A1647" s="28" t="s">
        <v>575</v>
      </c>
      <c r="B1647" s="28" t="s">
        <v>576</v>
      </c>
      <c r="C1647" s="28" t="s">
        <v>561</v>
      </c>
      <c r="D1647" s="28" t="s">
        <v>618</v>
      </c>
      <c r="E1647" s="28" t="s">
        <v>580</v>
      </c>
      <c r="F1647" s="28" t="s">
        <v>581</v>
      </c>
      <c r="G1647" s="29">
        <v>11420</v>
      </c>
      <c r="H1647" s="29">
        <v>13</v>
      </c>
      <c r="I1647" s="29">
        <v>7</v>
      </c>
      <c r="J1647" s="29">
        <v>4</v>
      </c>
      <c r="K1647" s="29">
        <v>3</v>
      </c>
      <c r="L1647" s="29">
        <v>0</v>
      </c>
      <c r="M1647" s="29">
        <v>0</v>
      </c>
      <c r="N1647" s="29">
        <v>0</v>
      </c>
      <c r="O1647" s="29">
        <v>0</v>
      </c>
    </row>
    <row r="1648" spans="1:15" x14ac:dyDescent="0.3">
      <c r="A1648" s="28" t="s">
        <v>575</v>
      </c>
      <c r="B1648" s="28" t="s">
        <v>576</v>
      </c>
      <c r="C1648" s="28" t="s">
        <v>561</v>
      </c>
      <c r="D1648" s="28" t="s">
        <v>618</v>
      </c>
      <c r="E1648" s="28" t="s">
        <v>580</v>
      </c>
      <c r="F1648" s="28" t="s">
        <v>582</v>
      </c>
      <c r="G1648" s="29">
        <v>10765</v>
      </c>
      <c r="H1648" s="29">
        <v>6</v>
      </c>
      <c r="I1648" s="29">
        <v>1</v>
      </c>
      <c r="J1648" s="29">
        <v>1</v>
      </c>
      <c r="K1648" s="29">
        <v>0</v>
      </c>
      <c r="L1648" s="29">
        <v>0</v>
      </c>
      <c r="M1648" s="29">
        <v>0</v>
      </c>
      <c r="N1648" s="29">
        <v>0</v>
      </c>
      <c r="O1648" s="29">
        <v>0</v>
      </c>
    </row>
    <row r="1649" spans="1:15" x14ac:dyDescent="0.3">
      <c r="A1649" s="28" t="s">
        <v>575</v>
      </c>
      <c r="B1649" s="28" t="s">
        <v>576</v>
      </c>
      <c r="C1649" s="28" t="s">
        <v>561</v>
      </c>
      <c r="D1649" s="28" t="s">
        <v>618</v>
      </c>
      <c r="E1649" s="28" t="s">
        <v>580</v>
      </c>
      <c r="F1649" s="28" t="s">
        <v>583</v>
      </c>
      <c r="G1649" s="29">
        <v>11157</v>
      </c>
      <c r="H1649" s="29">
        <v>5</v>
      </c>
      <c r="I1649" s="29">
        <v>3</v>
      </c>
      <c r="J1649" s="29">
        <v>2</v>
      </c>
      <c r="K1649" s="29">
        <v>1</v>
      </c>
      <c r="L1649" s="29">
        <v>0</v>
      </c>
      <c r="M1649" s="29">
        <v>0</v>
      </c>
      <c r="N1649" s="29">
        <v>0</v>
      </c>
      <c r="O1649" s="29">
        <v>0</v>
      </c>
    </row>
    <row r="1650" spans="1:15" x14ac:dyDescent="0.3">
      <c r="A1650" s="28" t="s">
        <v>575</v>
      </c>
      <c r="B1650" s="28" t="s">
        <v>576</v>
      </c>
      <c r="C1650" s="28" t="s">
        <v>561</v>
      </c>
      <c r="D1650" s="28" t="s">
        <v>618</v>
      </c>
      <c r="E1650" s="28" t="s">
        <v>580</v>
      </c>
      <c r="F1650" s="28" t="s">
        <v>584</v>
      </c>
      <c r="G1650" s="29">
        <v>11384</v>
      </c>
      <c r="H1650" s="29">
        <v>7</v>
      </c>
      <c r="I1650" s="29">
        <v>4</v>
      </c>
      <c r="J1650" s="29">
        <v>4</v>
      </c>
      <c r="K1650" s="29">
        <v>0</v>
      </c>
      <c r="L1650" s="29">
        <v>1000</v>
      </c>
      <c r="M1650" s="29">
        <v>1000</v>
      </c>
      <c r="N1650" s="29">
        <v>0</v>
      </c>
      <c r="O1650" s="29">
        <v>0</v>
      </c>
    </row>
    <row r="1651" spans="1:15" x14ac:dyDescent="0.3">
      <c r="A1651" s="28" t="s">
        <v>575</v>
      </c>
      <c r="B1651" s="28" t="s">
        <v>576</v>
      </c>
      <c r="C1651" s="28" t="s">
        <v>561</v>
      </c>
      <c r="D1651" s="28" t="s">
        <v>618</v>
      </c>
      <c r="E1651" s="28" t="s">
        <v>580</v>
      </c>
      <c r="F1651" s="28" t="s">
        <v>585</v>
      </c>
      <c r="G1651" s="29">
        <v>10886</v>
      </c>
      <c r="H1651" s="29">
        <v>7</v>
      </c>
      <c r="I1651" s="29">
        <v>7</v>
      </c>
      <c r="J1651" s="29">
        <v>3</v>
      </c>
      <c r="K1651" s="29">
        <v>4</v>
      </c>
      <c r="L1651" s="29">
        <v>0</v>
      </c>
      <c r="M1651" s="29">
        <v>0</v>
      </c>
      <c r="N1651" s="29">
        <v>0</v>
      </c>
      <c r="O1651" s="29">
        <v>0</v>
      </c>
    </row>
    <row r="1652" spans="1:15" x14ac:dyDescent="0.3">
      <c r="A1652" s="28" t="s">
        <v>575</v>
      </c>
      <c r="B1652" s="28" t="s">
        <v>576</v>
      </c>
      <c r="C1652" s="28" t="s">
        <v>561</v>
      </c>
      <c r="D1652" s="28" t="s">
        <v>618</v>
      </c>
      <c r="E1652" s="28" t="s">
        <v>580</v>
      </c>
      <c r="F1652" s="28" t="s">
        <v>586</v>
      </c>
      <c r="G1652" s="29">
        <v>11028</v>
      </c>
      <c r="H1652" s="29">
        <v>9</v>
      </c>
      <c r="I1652" s="29">
        <v>3</v>
      </c>
      <c r="J1652" s="29">
        <v>3</v>
      </c>
      <c r="K1652" s="29">
        <v>0</v>
      </c>
      <c r="L1652" s="29">
        <v>0</v>
      </c>
      <c r="M1652" s="29">
        <v>0</v>
      </c>
      <c r="N1652" s="29">
        <v>0</v>
      </c>
      <c r="O1652" s="29">
        <v>0</v>
      </c>
    </row>
    <row r="1653" spans="1:15" x14ac:dyDescent="0.3">
      <c r="A1653" s="28" t="s">
        <v>575</v>
      </c>
      <c r="B1653" s="28" t="s">
        <v>576</v>
      </c>
      <c r="C1653" s="28" t="s">
        <v>561</v>
      </c>
      <c r="D1653" s="28" t="s">
        <v>618</v>
      </c>
      <c r="E1653" s="28" t="s">
        <v>580</v>
      </c>
      <c r="F1653" s="28" t="s">
        <v>587</v>
      </c>
      <c r="G1653" s="29">
        <v>9728</v>
      </c>
      <c r="H1653" s="29">
        <v>5</v>
      </c>
      <c r="I1653" s="29">
        <v>2</v>
      </c>
      <c r="J1653" s="29">
        <v>1</v>
      </c>
      <c r="K1653" s="29">
        <v>1</v>
      </c>
      <c r="L1653" s="29">
        <v>0</v>
      </c>
      <c r="M1653" s="29">
        <v>0</v>
      </c>
      <c r="N1653" s="29">
        <v>0</v>
      </c>
      <c r="O1653" s="29">
        <v>0</v>
      </c>
    </row>
    <row r="1654" spans="1:15" x14ac:dyDescent="0.3">
      <c r="A1654" s="28" t="s">
        <v>575</v>
      </c>
      <c r="B1654" s="28" t="s">
        <v>576</v>
      </c>
      <c r="C1654" s="28" t="s">
        <v>561</v>
      </c>
      <c r="D1654" s="28" t="s">
        <v>618</v>
      </c>
      <c r="E1654" s="28" t="s">
        <v>580</v>
      </c>
      <c r="F1654" s="28" t="s">
        <v>579</v>
      </c>
      <c r="G1654" s="29">
        <v>9449</v>
      </c>
      <c r="H1654" s="29">
        <v>5</v>
      </c>
      <c r="I1654" s="29">
        <v>1</v>
      </c>
      <c r="J1654" s="29">
        <v>1</v>
      </c>
      <c r="K1654" s="29">
        <v>0</v>
      </c>
      <c r="L1654" s="29">
        <v>0</v>
      </c>
      <c r="M1654" s="29">
        <v>0</v>
      </c>
      <c r="N1654" s="29">
        <v>0</v>
      </c>
      <c r="O1654" s="29">
        <v>0</v>
      </c>
    </row>
    <row r="1655" spans="1:15" x14ac:dyDescent="0.3">
      <c r="A1655" s="28" t="s">
        <v>575</v>
      </c>
      <c r="B1655" s="28" t="s">
        <v>576</v>
      </c>
      <c r="C1655" s="28" t="s">
        <v>561</v>
      </c>
      <c r="D1655" s="28" t="s">
        <v>618</v>
      </c>
      <c r="E1655" s="28" t="s">
        <v>580</v>
      </c>
      <c r="F1655" s="28" t="s">
        <v>588</v>
      </c>
      <c r="G1655" s="29">
        <v>7910</v>
      </c>
      <c r="H1655" s="29">
        <v>13</v>
      </c>
      <c r="I1655" s="29">
        <v>4</v>
      </c>
      <c r="J1655" s="29">
        <v>3</v>
      </c>
      <c r="K1655" s="29">
        <v>1</v>
      </c>
      <c r="L1655" s="29">
        <v>0</v>
      </c>
      <c r="M1655" s="29">
        <v>0</v>
      </c>
      <c r="N1655" s="29">
        <v>0</v>
      </c>
      <c r="O1655" s="29">
        <v>0</v>
      </c>
    </row>
    <row r="1656" spans="1:15" x14ac:dyDescent="0.3">
      <c r="A1656" s="28" t="s">
        <v>575</v>
      </c>
      <c r="B1656" s="28" t="s">
        <v>576</v>
      </c>
      <c r="C1656" s="28" t="s">
        <v>561</v>
      </c>
      <c r="D1656" s="28" t="s">
        <v>618</v>
      </c>
      <c r="E1656" s="28" t="s">
        <v>580</v>
      </c>
      <c r="F1656" s="28" t="s">
        <v>589</v>
      </c>
      <c r="G1656" s="29">
        <v>5014</v>
      </c>
      <c r="H1656" s="29">
        <v>5</v>
      </c>
      <c r="I1656" s="29">
        <v>4</v>
      </c>
      <c r="J1656" s="29">
        <v>4</v>
      </c>
      <c r="K1656" s="29">
        <v>0</v>
      </c>
      <c r="L1656" s="29">
        <v>0</v>
      </c>
      <c r="M1656" s="29">
        <v>0</v>
      </c>
      <c r="N1656" s="29">
        <v>0</v>
      </c>
      <c r="O1656" s="29">
        <v>0</v>
      </c>
    </row>
    <row r="1657" spans="1:15" x14ac:dyDescent="0.3">
      <c r="A1657" s="28" t="s">
        <v>575</v>
      </c>
      <c r="B1657" s="28" t="s">
        <v>576</v>
      </c>
      <c r="C1657" s="28" t="s">
        <v>561</v>
      </c>
      <c r="D1657" s="28" t="s">
        <v>618</v>
      </c>
      <c r="E1657" s="28" t="s">
        <v>580</v>
      </c>
      <c r="F1657" s="28" t="s">
        <v>590</v>
      </c>
      <c r="G1657" s="29">
        <v>4757</v>
      </c>
      <c r="H1657" s="29">
        <v>4</v>
      </c>
      <c r="I1657" s="29">
        <v>4</v>
      </c>
      <c r="J1657" s="29">
        <v>3</v>
      </c>
      <c r="K1657" s="29">
        <v>1</v>
      </c>
      <c r="L1657" s="29">
        <v>0</v>
      </c>
      <c r="M1657" s="29">
        <v>0</v>
      </c>
      <c r="N1657" s="29">
        <v>0</v>
      </c>
      <c r="O1657" s="29">
        <v>0</v>
      </c>
    </row>
    <row r="1658" spans="1:15" x14ac:dyDescent="0.3">
      <c r="A1658" s="28" t="s">
        <v>575</v>
      </c>
      <c r="B1658" s="28" t="s">
        <v>576</v>
      </c>
      <c r="C1658" s="28" t="s">
        <v>561</v>
      </c>
      <c r="D1658" s="28" t="s">
        <v>618</v>
      </c>
      <c r="E1658" s="28" t="s">
        <v>580</v>
      </c>
      <c r="F1658" s="28" t="s">
        <v>591</v>
      </c>
      <c r="G1658" s="29">
        <v>4768</v>
      </c>
      <c r="H1658" s="29">
        <v>1</v>
      </c>
      <c r="I1658" s="29">
        <v>0</v>
      </c>
      <c r="J1658" s="29">
        <v>0</v>
      </c>
      <c r="K1658" s="29">
        <v>0</v>
      </c>
      <c r="L1658" s="29">
        <v>0</v>
      </c>
      <c r="M1658" s="29">
        <v>0</v>
      </c>
      <c r="N1658" s="29">
        <v>0</v>
      </c>
      <c r="O1658" s="29">
        <v>0</v>
      </c>
    </row>
    <row r="1659" spans="1:15" x14ac:dyDescent="0.3">
      <c r="A1659" s="28" t="s">
        <v>575</v>
      </c>
      <c r="B1659" s="28" t="s">
        <v>576</v>
      </c>
      <c r="C1659" s="28" t="s">
        <v>561</v>
      </c>
      <c r="D1659" s="28" t="s">
        <v>618</v>
      </c>
      <c r="E1659" s="28" t="s">
        <v>580</v>
      </c>
      <c r="F1659" s="28" t="s">
        <v>592</v>
      </c>
      <c r="G1659" s="29">
        <v>4333</v>
      </c>
      <c r="H1659" s="29">
        <v>4</v>
      </c>
      <c r="I1659" s="29">
        <v>0</v>
      </c>
      <c r="J1659" s="29">
        <v>0</v>
      </c>
      <c r="K1659" s="29">
        <v>0</v>
      </c>
      <c r="L1659" s="29">
        <v>0</v>
      </c>
      <c r="M1659" s="29">
        <v>0</v>
      </c>
      <c r="N1659" s="29">
        <v>0</v>
      </c>
      <c r="O1659" s="29">
        <v>0</v>
      </c>
    </row>
    <row r="1660" spans="1:15" x14ac:dyDescent="0.3">
      <c r="A1660" s="28" t="s">
        <v>575</v>
      </c>
      <c r="B1660" s="28" t="s">
        <v>576</v>
      </c>
      <c r="C1660" s="28" t="s">
        <v>561</v>
      </c>
      <c r="D1660" s="28" t="s">
        <v>618</v>
      </c>
      <c r="E1660" s="28" t="s">
        <v>580</v>
      </c>
      <c r="F1660" s="28" t="s">
        <v>593</v>
      </c>
      <c r="G1660" s="29">
        <v>4158</v>
      </c>
      <c r="H1660" s="29">
        <v>3</v>
      </c>
      <c r="I1660" s="29">
        <v>0</v>
      </c>
      <c r="J1660" s="29">
        <v>0</v>
      </c>
      <c r="K1660" s="29">
        <v>0</v>
      </c>
      <c r="L1660" s="29">
        <v>0</v>
      </c>
      <c r="M1660" s="29">
        <v>0</v>
      </c>
      <c r="N1660" s="29">
        <v>0</v>
      </c>
      <c r="O1660" s="29">
        <v>0</v>
      </c>
    </row>
    <row r="1661" spans="1:15" x14ac:dyDescent="0.3">
      <c r="A1661" s="28" t="s">
        <v>575</v>
      </c>
      <c r="B1661" s="28" t="s">
        <v>576</v>
      </c>
      <c r="C1661" s="28" t="s">
        <v>561</v>
      </c>
      <c r="D1661" s="28" t="s">
        <v>618</v>
      </c>
      <c r="E1661" s="28" t="s">
        <v>580</v>
      </c>
      <c r="F1661" s="28" t="s">
        <v>594</v>
      </c>
      <c r="G1661" s="29">
        <v>407</v>
      </c>
      <c r="H1661" s="29">
        <v>0</v>
      </c>
      <c r="I1661" s="29">
        <v>1</v>
      </c>
      <c r="J1661" s="29">
        <v>0</v>
      </c>
      <c r="K1661" s="29">
        <v>1</v>
      </c>
      <c r="L1661" s="29">
        <v>0</v>
      </c>
      <c r="M1661" s="29">
        <v>0</v>
      </c>
      <c r="N1661" s="29">
        <v>0</v>
      </c>
      <c r="O1661" s="29">
        <v>0</v>
      </c>
    </row>
    <row r="1662" spans="1:15" x14ac:dyDescent="0.3">
      <c r="A1662" s="28" t="s">
        <v>575</v>
      </c>
      <c r="B1662" s="28" t="s">
        <v>576</v>
      </c>
      <c r="C1662" s="28" t="s">
        <v>561</v>
      </c>
      <c r="D1662" s="28" t="s">
        <v>618</v>
      </c>
      <c r="E1662" s="28" t="s">
        <v>596</v>
      </c>
      <c r="F1662" s="28" t="s">
        <v>582</v>
      </c>
      <c r="G1662" s="29">
        <v>2</v>
      </c>
      <c r="H1662" s="29">
        <v>0</v>
      </c>
      <c r="I1662" s="29">
        <v>0</v>
      </c>
      <c r="J1662" s="29">
        <v>0</v>
      </c>
      <c r="K1662" s="29">
        <v>0</v>
      </c>
      <c r="L1662" s="29">
        <v>0</v>
      </c>
      <c r="M1662" s="29">
        <v>0</v>
      </c>
      <c r="N1662" s="29">
        <v>0</v>
      </c>
      <c r="O1662" s="29">
        <v>0</v>
      </c>
    </row>
    <row r="1663" spans="1:15" x14ac:dyDescent="0.3">
      <c r="A1663" s="28" t="s">
        <v>575</v>
      </c>
      <c r="B1663" s="28" t="s">
        <v>576</v>
      </c>
      <c r="C1663" s="28" t="s">
        <v>561</v>
      </c>
      <c r="D1663" s="28" t="s">
        <v>618</v>
      </c>
      <c r="E1663" s="28" t="s">
        <v>596</v>
      </c>
      <c r="F1663" s="28" t="s">
        <v>583</v>
      </c>
      <c r="G1663" s="29">
        <v>3</v>
      </c>
      <c r="H1663" s="29">
        <v>0</v>
      </c>
      <c r="I1663" s="29">
        <v>0</v>
      </c>
      <c r="J1663" s="29">
        <v>0</v>
      </c>
      <c r="K1663" s="29">
        <v>0</v>
      </c>
      <c r="L1663" s="29">
        <v>0</v>
      </c>
      <c r="M1663" s="29">
        <v>0</v>
      </c>
      <c r="N1663" s="29">
        <v>0</v>
      </c>
      <c r="O1663" s="29">
        <v>0</v>
      </c>
    </row>
    <row r="1664" spans="1:15" x14ac:dyDescent="0.3">
      <c r="A1664" s="28" t="s">
        <v>575</v>
      </c>
      <c r="B1664" s="28" t="s">
        <v>576</v>
      </c>
      <c r="C1664" s="28" t="s">
        <v>561</v>
      </c>
      <c r="D1664" s="28" t="s">
        <v>618</v>
      </c>
      <c r="E1664" s="28" t="s">
        <v>596</v>
      </c>
      <c r="F1664" s="28" t="s">
        <v>584</v>
      </c>
      <c r="G1664" s="29">
        <v>5</v>
      </c>
      <c r="H1664" s="29">
        <v>0</v>
      </c>
      <c r="I1664" s="29">
        <v>0</v>
      </c>
      <c r="J1664" s="29">
        <v>0</v>
      </c>
      <c r="K1664" s="29">
        <v>0</v>
      </c>
      <c r="L1664" s="29">
        <v>0</v>
      </c>
      <c r="M1664" s="29">
        <v>0</v>
      </c>
      <c r="N1664" s="29">
        <v>0</v>
      </c>
      <c r="O1664" s="29">
        <v>0</v>
      </c>
    </row>
    <row r="1665" spans="1:15" x14ac:dyDescent="0.3">
      <c r="A1665" s="28" t="s">
        <v>575</v>
      </c>
      <c r="B1665" s="28" t="s">
        <v>576</v>
      </c>
      <c r="C1665" s="28" t="s">
        <v>561</v>
      </c>
      <c r="D1665" s="28" t="s">
        <v>618</v>
      </c>
      <c r="E1665" s="28" t="s">
        <v>596</v>
      </c>
      <c r="F1665" s="28" t="s">
        <v>585</v>
      </c>
      <c r="G1665" s="29">
        <v>8</v>
      </c>
      <c r="H1665" s="29">
        <v>0</v>
      </c>
      <c r="I1665" s="29">
        <v>0</v>
      </c>
      <c r="J1665" s="29">
        <v>0</v>
      </c>
      <c r="K1665" s="29">
        <v>0</v>
      </c>
      <c r="L1665" s="29">
        <v>0</v>
      </c>
      <c r="M1665" s="29">
        <v>0</v>
      </c>
      <c r="N1665" s="29">
        <v>0</v>
      </c>
      <c r="O1665" s="29">
        <v>0</v>
      </c>
    </row>
    <row r="1666" spans="1:15" x14ac:dyDescent="0.3">
      <c r="A1666" s="28" t="s">
        <v>575</v>
      </c>
      <c r="B1666" s="28" t="s">
        <v>576</v>
      </c>
      <c r="C1666" s="28" t="s">
        <v>561</v>
      </c>
      <c r="D1666" s="28" t="s">
        <v>618</v>
      </c>
      <c r="E1666" s="28" t="s">
        <v>596</v>
      </c>
      <c r="F1666" s="28" t="s">
        <v>586</v>
      </c>
      <c r="G1666" s="29">
        <v>343</v>
      </c>
      <c r="H1666" s="29">
        <v>0</v>
      </c>
      <c r="I1666" s="29">
        <v>0</v>
      </c>
      <c r="J1666" s="29">
        <v>0</v>
      </c>
      <c r="K1666" s="29">
        <v>0</v>
      </c>
      <c r="L1666" s="29">
        <v>0</v>
      </c>
      <c r="M1666" s="29">
        <v>0</v>
      </c>
      <c r="N1666" s="29">
        <v>0</v>
      </c>
      <c r="O1666" s="29">
        <v>0</v>
      </c>
    </row>
    <row r="1667" spans="1:15" x14ac:dyDescent="0.3">
      <c r="A1667" s="28" t="s">
        <v>575</v>
      </c>
      <c r="B1667" s="28" t="s">
        <v>576</v>
      </c>
      <c r="C1667" s="28" t="s">
        <v>561</v>
      </c>
      <c r="D1667" s="28" t="s">
        <v>618</v>
      </c>
      <c r="E1667" s="28" t="s">
        <v>596</v>
      </c>
      <c r="F1667" s="28" t="s">
        <v>587</v>
      </c>
      <c r="G1667" s="29">
        <v>1827</v>
      </c>
      <c r="H1667" s="29">
        <v>4</v>
      </c>
      <c r="I1667" s="29">
        <v>2</v>
      </c>
      <c r="J1667" s="29">
        <v>2</v>
      </c>
      <c r="K1667" s="29">
        <v>0</v>
      </c>
      <c r="L1667" s="29">
        <v>0</v>
      </c>
      <c r="M1667" s="29">
        <v>0</v>
      </c>
      <c r="N1667" s="29">
        <v>0</v>
      </c>
      <c r="O1667" s="29">
        <v>0</v>
      </c>
    </row>
    <row r="1668" spans="1:15" x14ac:dyDescent="0.3">
      <c r="A1668" s="28" t="s">
        <v>575</v>
      </c>
      <c r="B1668" s="28" t="s">
        <v>576</v>
      </c>
      <c r="C1668" s="28" t="s">
        <v>561</v>
      </c>
      <c r="D1668" s="28" t="s">
        <v>618</v>
      </c>
      <c r="E1668" s="28" t="s">
        <v>596</v>
      </c>
      <c r="F1668" s="28" t="s">
        <v>579</v>
      </c>
      <c r="G1668" s="29">
        <v>2589</v>
      </c>
      <c r="H1668" s="29">
        <v>2</v>
      </c>
      <c r="I1668" s="29">
        <v>4</v>
      </c>
      <c r="J1668" s="29">
        <v>0</v>
      </c>
      <c r="K1668" s="29">
        <v>4</v>
      </c>
      <c r="L1668" s="29">
        <v>1000</v>
      </c>
      <c r="M1668" s="29">
        <v>0</v>
      </c>
      <c r="N1668" s="29">
        <v>1000</v>
      </c>
      <c r="O1668" s="29">
        <v>0</v>
      </c>
    </row>
    <row r="1669" spans="1:15" x14ac:dyDescent="0.3">
      <c r="A1669" s="28" t="s">
        <v>575</v>
      </c>
      <c r="B1669" s="28" t="s">
        <v>576</v>
      </c>
      <c r="C1669" s="28" t="s">
        <v>561</v>
      </c>
      <c r="D1669" s="28" t="s">
        <v>618</v>
      </c>
      <c r="E1669" s="28" t="s">
        <v>596</v>
      </c>
      <c r="F1669" s="28" t="s">
        <v>588</v>
      </c>
      <c r="G1669" s="29">
        <v>55</v>
      </c>
      <c r="H1669" s="29">
        <v>0</v>
      </c>
      <c r="I1669" s="29">
        <v>5</v>
      </c>
      <c r="J1669" s="29">
        <v>0</v>
      </c>
      <c r="K1669" s="29">
        <v>5</v>
      </c>
      <c r="L1669" s="29">
        <v>100</v>
      </c>
      <c r="M1669" s="29">
        <v>0</v>
      </c>
      <c r="N1669" s="29">
        <v>100</v>
      </c>
      <c r="O1669" s="29">
        <v>0</v>
      </c>
    </row>
    <row r="1670" spans="1:15" x14ac:dyDescent="0.3">
      <c r="A1670" s="28" t="s">
        <v>575</v>
      </c>
      <c r="B1670" s="28" t="s">
        <v>576</v>
      </c>
      <c r="C1670" s="28" t="s">
        <v>561</v>
      </c>
      <c r="D1670" s="28" t="s">
        <v>618</v>
      </c>
      <c r="E1670" s="28" t="s">
        <v>596</v>
      </c>
      <c r="F1670" s="28" t="s">
        <v>589</v>
      </c>
      <c r="G1670" s="29">
        <v>52</v>
      </c>
      <c r="H1670" s="29">
        <v>0</v>
      </c>
      <c r="I1670" s="29">
        <v>0</v>
      </c>
      <c r="J1670" s="29">
        <v>0</v>
      </c>
      <c r="K1670" s="29">
        <v>0</v>
      </c>
      <c r="L1670" s="29">
        <v>0</v>
      </c>
      <c r="M1670" s="29">
        <v>0</v>
      </c>
      <c r="N1670" s="29">
        <v>0</v>
      </c>
      <c r="O1670" s="29">
        <v>0</v>
      </c>
    </row>
    <row r="1671" spans="1:15" x14ac:dyDescent="0.3">
      <c r="A1671" s="28" t="s">
        <v>575</v>
      </c>
      <c r="B1671" s="28" t="s">
        <v>576</v>
      </c>
      <c r="C1671" s="28" t="s">
        <v>561</v>
      </c>
      <c r="D1671" s="28" t="s">
        <v>618</v>
      </c>
      <c r="E1671" s="28" t="s">
        <v>596</v>
      </c>
      <c r="F1671" s="28" t="s">
        <v>590</v>
      </c>
      <c r="G1671" s="29">
        <v>35</v>
      </c>
      <c r="H1671" s="29">
        <v>0</v>
      </c>
      <c r="I1671" s="29">
        <v>4</v>
      </c>
      <c r="J1671" s="29">
        <v>0</v>
      </c>
      <c r="K1671" s="29">
        <v>4</v>
      </c>
      <c r="L1671" s="29">
        <v>500</v>
      </c>
      <c r="M1671" s="29">
        <v>0</v>
      </c>
      <c r="N1671" s="29">
        <v>500</v>
      </c>
      <c r="O1671" s="29">
        <v>0</v>
      </c>
    </row>
    <row r="1672" spans="1:15" x14ac:dyDescent="0.3">
      <c r="A1672" s="28" t="s">
        <v>575</v>
      </c>
      <c r="B1672" s="28" t="s">
        <v>576</v>
      </c>
      <c r="C1672" s="28" t="s">
        <v>561</v>
      </c>
      <c r="D1672" s="28" t="s">
        <v>618</v>
      </c>
      <c r="E1672" s="28" t="s">
        <v>596</v>
      </c>
      <c r="F1672" s="28" t="s">
        <v>591</v>
      </c>
      <c r="G1672" s="29">
        <v>2</v>
      </c>
      <c r="H1672" s="29">
        <v>1</v>
      </c>
      <c r="I1672" s="29">
        <v>2</v>
      </c>
      <c r="J1672" s="29">
        <v>0</v>
      </c>
      <c r="K1672" s="29">
        <v>2</v>
      </c>
      <c r="L1672" s="29">
        <v>0</v>
      </c>
      <c r="M1672" s="29">
        <v>0</v>
      </c>
      <c r="N1672" s="29">
        <v>0</v>
      </c>
      <c r="O1672" s="29">
        <v>0</v>
      </c>
    </row>
    <row r="1673" spans="1:15" x14ac:dyDescent="0.3">
      <c r="A1673" s="28" t="s">
        <v>575</v>
      </c>
      <c r="B1673" s="28" t="s">
        <v>576</v>
      </c>
      <c r="C1673" s="28" t="s">
        <v>561</v>
      </c>
      <c r="D1673" s="28" t="s">
        <v>618</v>
      </c>
      <c r="E1673" s="28" t="s">
        <v>596</v>
      </c>
      <c r="F1673" s="28" t="s">
        <v>592</v>
      </c>
      <c r="G1673" s="29">
        <v>6</v>
      </c>
      <c r="H1673" s="29">
        <v>1</v>
      </c>
      <c r="I1673" s="29">
        <v>0</v>
      </c>
      <c r="J1673" s="29">
        <v>0</v>
      </c>
      <c r="K1673" s="29">
        <v>0</v>
      </c>
      <c r="L1673" s="29">
        <v>0</v>
      </c>
      <c r="M1673" s="29">
        <v>0</v>
      </c>
      <c r="N1673" s="29">
        <v>0</v>
      </c>
      <c r="O1673" s="29">
        <v>0</v>
      </c>
    </row>
    <row r="1674" spans="1:15" x14ac:dyDescent="0.3">
      <c r="A1674" s="28" t="s">
        <v>575</v>
      </c>
      <c r="B1674" s="28" t="s">
        <v>576</v>
      </c>
      <c r="C1674" s="28" t="s">
        <v>561</v>
      </c>
      <c r="D1674" s="28" t="s">
        <v>618</v>
      </c>
      <c r="E1674" s="28" t="s">
        <v>596</v>
      </c>
      <c r="F1674" s="28" t="s">
        <v>593</v>
      </c>
      <c r="G1674" s="29">
        <v>26</v>
      </c>
      <c r="H1674" s="29">
        <v>0</v>
      </c>
      <c r="I1674" s="29">
        <v>0</v>
      </c>
      <c r="J1674" s="29">
        <v>0</v>
      </c>
      <c r="K1674" s="29">
        <v>0</v>
      </c>
      <c r="L1674" s="29">
        <v>0</v>
      </c>
      <c r="M1674" s="29">
        <v>0</v>
      </c>
      <c r="N1674" s="29">
        <v>0</v>
      </c>
      <c r="O1674" s="29">
        <v>0</v>
      </c>
    </row>
    <row r="1675" spans="1:15" x14ac:dyDescent="0.3">
      <c r="A1675" s="28" t="s">
        <v>575</v>
      </c>
      <c r="B1675" s="28" t="s">
        <v>576</v>
      </c>
      <c r="C1675" s="28" t="s">
        <v>561</v>
      </c>
      <c r="D1675" s="28" t="s">
        <v>618</v>
      </c>
      <c r="E1675" s="28" t="s">
        <v>596</v>
      </c>
      <c r="F1675" s="28" t="s">
        <v>594</v>
      </c>
      <c r="G1675" s="29">
        <v>51</v>
      </c>
      <c r="H1675" s="29">
        <v>0</v>
      </c>
      <c r="I1675" s="29">
        <v>0</v>
      </c>
      <c r="J1675" s="29">
        <v>0</v>
      </c>
      <c r="K1675" s="29">
        <v>0</v>
      </c>
      <c r="L1675" s="29">
        <v>0</v>
      </c>
      <c r="M1675" s="29">
        <v>0</v>
      </c>
      <c r="N1675" s="29">
        <v>0</v>
      </c>
      <c r="O1675" s="29">
        <v>0</v>
      </c>
    </row>
    <row r="1676" spans="1:15" x14ac:dyDescent="0.3">
      <c r="A1676" s="28" t="s">
        <v>575</v>
      </c>
      <c r="B1676" s="28" t="s">
        <v>576</v>
      </c>
      <c r="C1676" s="28" t="s">
        <v>561</v>
      </c>
      <c r="D1676" s="28" t="s">
        <v>618</v>
      </c>
      <c r="E1676" s="28" t="s">
        <v>596</v>
      </c>
      <c r="F1676" s="28" t="s">
        <v>595</v>
      </c>
      <c r="G1676" s="29">
        <v>95</v>
      </c>
      <c r="H1676" s="29">
        <v>0</v>
      </c>
      <c r="I1676" s="29">
        <v>0</v>
      </c>
      <c r="J1676" s="29">
        <v>0</v>
      </c>
      <c r="K1676" s="29">
        <v>0</v>
      </c>
      <c r="L1676" s="29">
        <v>0</v>
      </c>
      <c r="M1676" s="29">
        <v>0</v>
      </c>
      <c r="N1676" s="29">
        <v>0</v>
      </c>
      <c r="O1676" s="29">
        <v>0</v>
      </c>
    </row>
    <row r="1677" spans="1:15" x14ac:dyDescent="0.3">
      <c r="A1677" s="28" t="s">
        <v>575</v>
      </c>
      <c r="B1677" s="28" t="s">
        <v>576</v>
      </c>
      <c r="C1677" s="28" t="s">
        <v>561</v>
      </c>
      <c r="D1677" s="28" t="s">
        <v>618</v>
      </c>
      <c r="E1677" s="28" t="s">
        <v>605</v>
      </c>
      <c r="F1677" s="28" t="s">
        <v>597</v>
      </c>
      <c r="G1677" s="29">
        <v>89</v>
      </c>
      <c r="H1677" s="29">
        <v>0</v>
      </c>
      <c r="I1677" s="29">
        <v>0</v>
      </c>
      <c r="J1677" s="29">
        <v>0</v>
      </c>
      <c r="K1677" s="29">
        <v>0</v>
      </c>
      <c r="L1677" s="29">
        <v>0</v>
      </c>
      <c r="M1677" s="29">
        <v>0</v>
      </c>
      <c r="N1677" s="29">
        <v>0</v>
      </c>
      <c r="O1677" s="29">
        <v>0</v>
      </c>
    </row>
    <row r="1678" spans="1:15" x14ac:dyDescent="0.3">
      <c r="A1678" s="28" t="s">
        <v>575</v>
      </c>
      <c r="B1678" s="28" t="s">
        <v>576</v>
      </c>
      <c r="C1678" s="28" t="s">
        <v>561</v>
      </c>
      <c r="D1678" s="28" t="s">
        <v>618</v>
      </c>
      <c r="E1678" s="28" t="s">
        <v>605</v>
      </c>
      <c r="F1678" s="28" t="s">
        <v>598</v>
      </c>
      <c r="G1678" s="29">
        <v>118</v>
      </c>
      <c r="H1678" s="29">
        <v>0</v>
      </c>
      <c r="I1678" s="29">
        <v>0</v>
      </c>
      <c r="J1678" s="29">
        <v>0</v>
      </c>
      <c r="K1678" s="29">
        <v>0</v>
      </c>
      <c r="L1678" s="29">
        <v>0</v>
      </c>
      <c r="M1678" s="29">
        <v>0</v>
      </c>
      <c r="N1678" s="29">
        <v>0</v>
      </c>
      <c r="O1678" s="29">
        <v>0</v>
      </c>
    </row>
    <row r="1679" spans="1:15" x14ac:dyDescent="0.3">
      <c r="A1679" s="28" t="s">
        <v>575</v>
      </c>
      <c r="B1679" s="28" t="s">
        <v>576</v>
      </c>
      <c r="C1679" s="28" t="s">
        <v>561</v>
      </c>
      <c r="D1679" s="28" t="s">
        <v>618</v>
      </c>
      <c r="E1679" s="28" t="s">
        <v>605</v>
      </c>
      <c r="F1679" s="28" t="s">
        <v>599</v>
      </c>
      <c r="G1679" s="29">
        <v>98</v>
      </c>
      <c r="H1679" s="29">
        <v>0</v>
      </c>
      <c r="I1679" s="29">
        <v>0</v>
      </c>
      <c r="J1679" s="29">
        <v>0</v>
      </c>
      <c r="K1679" s="29">
        <v>0</v>
      </c>
      <c r="L1679" s="29">
        <v>0</v>
      </c>
      <c r="M1679" s="29">
        <v>0</v>
      </c>
      <c r="N1679" s="29">
        <v>0</v>
      </c>
      <c r="O1679" s="29">
        <v>0</v>
      </c>
    </row>
    <row r="1680" spans="1:15" x14ac:dyDescent="0.3">
      <c r="A1680" s="28" t="s">
        <v>575</v>
      </c>
      <c r="B1680" s="28" t="s">
        <v>576</v>
      </c>
      <c r="C1680" s="28" t="s">
        <v>561</v>
      </c>
      <c r="D1680" s="28" t="s">
        <v>618</v>
      </c>
      <c r="E1680" s="28" t="s">
        <v>605</v>
      </c>
      <c r="F1680" s="28" t="s">
        <v>600</v>
      </c>
      <c r="G1680" s="29">
        <v>120</v>
      </c>
      <c r="H1680" s="29">
        <v>0</v>
      </c>
      <c r="I1680" s="29">
        <v>0</v>
      </c>
      <c r="J1680" s="29">
        <v>0</v>
      </c>
      <c r="K1680" s="29">
        <v>0</v>
      </c>
      <c r="L1680" s="29">
        <v>0</v>
      </c>
      <c r="M1680" s="29">
        <v>0</v>
      </c>
      <c r="N1680" s="29">
        <v>0</v>
      </c>
      <c r="O1680" s="29">
        <v>0</v>
      </c>
    </row>
    <row r="1681" spans="1:15" x14ac:dyDescent="0.3">
      <c r="A1681" s="28" t="s">
        <v>575</v>
      </c>
      <c r="B1681" s="28" t="s">
        <v>576</v>
      </c>
      <c r="C1681" s="28" t="s">
        <v>561</v>
      </c>
      <c r="D1681" s="28" t="s">
        <v>618</v>
      </c>
      <c r="E1681" s="28" t="s">
        <v>605</v>
      </c>
      <c r="F1681" s="28" t="s">
        <v>601</v>
      </c>
      <c r="G1681" s="29">
        <v>365</v>
      </c>
      <c r="H1681" s="29">
        <v>0</v>
      </c>
      <c r="I1681" s="29">
        <v>0</v>
      </c>
      <c r="J1681" s="29">
        <v>0</v>
      </c>
      <c r="K1681" s="29">
        <v>0</v>
      </c>
      <c r="L1681" s="29">
        <v>0</v>
      </c>
      <c r="M1681" s="29">
        <v>0</v>
      </c>
      <c r="N1681" s="29">
        <v>0</v>
      </c>
      <c r="O1681" s="29">
        <v>0</v>
      </c>
    </row>
    <row r="1682" spans="1:15" x14ac:dyDescent="0.3">
      <c r="A1682" s="28" t="s">
        <v>575</v>
      </c>
      <c r="B1682" s="28" t="s">
        <v>576</v>
      </c>
      <c r="C1682" s="28" t="s">
        <v>561</v>
      </c>
      <c r="D1682" s="28" t="s">
        <v>618</v>
      </c>
      <c r="E1682" s="28" t="s">
        <v>605</v>
      </c>
      <c r="F1682" s="28" t="s">
        <v>602</v>
      </c>
      <c r="G1682" s="29">
        <v>1489</v>
      </c>
      <c r="H1682" s="29">
        <v>1</v>
      </c>
      <c r="I1682" s="29">
        <v>0</v>
      </c>
      <c r="J1682" s="29">
        <v>0</v>
      </c>
      <c r="K1682" s="29">
        <v>0</v>
      </c>
      <c r="L1682" s="29">
        <v>0</v>
      </c>
      <c r="M1682" s="29">
        <v>0</v>
      </c>
      <c r="N1682" s="29">
        <v>0</v>
      </c>
      <c r="O1682" s="29">
        <v>0</v>
      </c>
    </row>
    <row r="1683" spans="1:15" x14ac:dyDescent="0.3">
      <c r="A1683" s="28" t="s">
        <v>575</v>
      </c>
      <c r="B1683" s="28" t="s">
        <v>576</v>
      </c>
      <c r="C1683" s="28" t="s">
        <v>561</v>
      </c>
      <c r="D1683" s="28" t="s">
        <v>618</v>
      </c>
      <c r="E1683" s="28" t="s">
        <v>605</v>
      </c>
      <c r="F1683" s="28" t="s">
        <v>603</v>
      </c>
      <c r="G1683" s="29">
        <v>713</v>
      </c>
      <c r="H1683" s="29">
        <v>2</v>
      </c>
      <c r="I1683" s="29">
        <v>4</v>
      </c>
      <c r="J1683" s="29">
        <v>2</v>
      </c>
      <c r="K1683" s="29">
        <v>2</v>
      </c>
      <c r="L1683" s="29">
        <v>0</v>
      </c>
      <c r="M1683" s="29">
        <v>0</v>
      </c>
      <c r="N1683" s="29">
        <v>0</v>
      </c>
      <c r="O1683" s="29">
        <v>0</v>
      </c>
    </row>
    <row r="1684" spans="1:15" x14ac:dyDescent="0.3">
      <c r="A1684" s="28" t="s">
        <v>575</v>
      </c>
      <c r="B1684" s="28" t="s">
        <v>576</v>
      </c>
      <c r="C1684" s="28" t="s">
        <v>561</v>
      </c>
      <c r="D1684" s="28" t="s">
        <v>618</v>
      </c>
      <c r="E1684" s="28" t="s">
        <v>605</v>
      </c>
      <c r="F1684" s="28" t="s">
        <v>581</v>
      </c>
      <c r="G1684" s="29">
        <v>2</v>
      </c>
      <c r="H1684" s="29">
        <v>0</v>
      </c>
      <c r="I1684" s="29">
        <v>0</v>
      </c>
      <c r="J1684" s="29">
        <v>0</v>
      </c>
      <c r="K1684" s="29">
        <v>0</v>
      </c>
      <c r="L1684" s="29">
        <v>0</v>
      </c>
      <c r="M1684" s="29">
        <v>0</v>
      </c>
      <c r="N1684" s="29">
        <v>0</v>
      </c>
      <c r="O1684" s="29">
        <v>0</v>
      </c>
    </row>
    <row r="1685" spans="1:15" x14ac:dyDescent="0.3">
      <c r="A1685" s="28" t="s">
        <v>575</v>
      </c>
      <c r="B1685" s="28" t="s">
        <v>576</v>
      </c>
      <c r="C1685" s="28" t="s">
        <v>561</v>
      </c>
      <c r="D1685" s="28" t="s">
        <v>618</v>
      </c>
      <c r="E1685" s="28" t="s">
        <v>605</v>
      </c>
      <c r="F1685" s="28" t="s">
        <v>582</v>
      </c>
      <c r="G1685" s="29">
        <v>2</v>
      </c>
      <c r="H1685" s="29">
        <v>0</v>
      </c>
      <c r="I1685" s="29">
        <v>0</v>
      </c>
      <c r="J1685" s="29">
        <v>0</v>
      </c>
      <c r="K1685" s="29">
        <v>0</v>
      </c>
      <c r="L1685" s="29">
        <v>0</v>
      </c>
      <c r="M1685" s="29">
        <v>0</v>
      </c>
      <c r="N1685" s="29">
        <v>0</v>
      </c>
      <c r="O1685" s="29">
        <v>0</v>
      </c>
    </row>
    <row r="1686" spans="1:15" x14ac:dyDescent="0.3">
      <c r="A1686" s="28" t="s">
        <v>575</v>
      </c>
      <c r="B1686" s="28" t="s">
        <v>576</v>
      </c>
      <c r="C1686" s="28" t="s">
        <v>561</v>
      </c>
      <c r="D1686" s="28" t="s">
        <v>618</v>
      </c>
      <c r="E1686" s="28" t="s">
        <v>605</v>
      </c>
      <c r="F1686" s="28" t="s">
        <v>583</v>
      </c>
      <c r="G1686" s="29">
        <v>4</v>
      </c>
      <c r="H1686" s="29">
        <v>0</v>
      </c>
      <c r="I1686" s="29">
        <v>1</v>
      </c>
      <c r="J1686" s="29">
        <v>0</v>
      </c>
      <c r="K1686" s="29">
        <v>1</v>
      </c>
      <c r="L1686" s="29">
        <v>0</v>
      </c>
      <c r="M1686" s="29">
        <v>0</v>
      </c>
      <c r="N1686" s="29">
        <v>0</v>
      </c>
      <c r="O1686" s="29">
        <v>0</v>
      </c>
    </row>
    <row r="1687" spans="1:15" x14ac:dyDescent="0.3">
      <c r="A1687" s="28" t="s">
        <v>575</v>
      </c>
      <c r="B1687" s="28" t="s">
        <v>576</v>
      </c>
      <c r="C1687" s="28" t="s">
        <v>561</v>
      </c>
      <c r="D1687" s="28" t="s">
        <v>618</v>
      </c>
      <c r="E1687" s="28" t="s">
        <v>605</v>
      </c>
      <c r="F1687" s="28" t="s">
        <v>584</v>
      </c>
      <c r="G1687" s="29">
        <v>6</v>
      </c>
      <c r="H1687" s="29">
        <v>0</v>
      </c>
      <c r="I1687" s="29">
        <v>0</v>
      </c>
      <c r="J1687" s="29">
        <v>0</v>
      </c>
      <c r="K1687" s="29">
        <v>0</v>
      </c>
      <c r="L1687" s="29">
        <v>0</v>
      </c>
      <c r="M1687" s="29">
        <v>0</v>
      </c>
      <c r="N1687" s="29">
        <v>0</v>
      </c>
      <c r="O1687" s="29">
        <v>0</v>
      </c>
    </row>
    <row r="1688" spans="1:15" x14ac:dyDescent="0.3">
      <c r="A1688" s="28" t="s">
        <v>575</v>
      </c>
      <c r="B1688" s="28" t="s">
        <v>576</v>
      </c>
      <c r="C1688" s="28" t="s">
        <v>561</v>
      </c>
      <c r="D1688" s="28" t="s">
        <v>618</v>
      </c>
      <c r="E1688" s="28" t="s">
        <v>605</v>
      </c>
      <c r="F1688" s="28" t="s">
        <v>585</v>
      </c>
      <c r="G1688" s="29">
        <v>179</v>
      </c>
      <c r="H1688" s="29">
        <v>0</v>
      </c>
      <c r="I1688" s="29">
        <v>1</v>
      </c>
      <c r="J1688" s="29">
        <v>0</v>
      </c>
      <c r="K1688" s="29">
        <v>1</v>
      </c>
      <c r="L1688" s="29">
        <v>0</v>
      </c>
      <c r="M1688" s="29">
        <v>0</v>
      </c>
      <c r="N1688" s="29">
        <v>0</v>
      </c>
      <c r="O1688" s="29">
        <v>0</v>
      </c>
    </row>
    <row r="1689" spans="1:15" x14ac:dyDescent="0.3">
      <c r="A1689" s="28" t="s">
        <v>575</v>
      </c>
      <c r="B1689" s="28" t="s">
        <v>576</v>
      </c>
      <c r="C1689" s="28" t="s">
        <v>561</v>
      </c>
      <c r="D1689" s="28" t="s">
        <v>618</v>
      </c>
      <c r="E1689" s="28" t="s">
        <v>605</v>
      </c>
      <c r="F1689" s="28" t="s">
        <v>586</v>
      </c>
      <c r="G1689" s="29">
        <v>463</v>
      </c>
      <c r="H1689" s="29">
        <v>0</v>
      </c>
      <c r="I1689" s="29">
        <v>1</v>
      </c>
      <c r="J1689" s="29">
        <v>0</v>
      </c>
      <c r="K1689" s="29">
        <v>1</v>
      </c>
      <c r="L1689" s="29">
        <v>0</v>
      </c>
      <c r="M1689" s="29">
        <v>0</v>
      </c>
      <c r="N1689" s="29">
        <v>0</v>
      </c>
      <c r="O1689" s="29">
        <v>0</v>
      </c>
    </row>
    <row r="1690" spans="1:15" x14ac:dyDescent="0.3">
      <c r="A1690" s="28" t="s">
        <v>575</v>
      </c>
      <c r="B1690" s="28" t="s">
        <v>576</v>
      </c>
      <c r="C1690" s="28" t="s">
        <v>561</v>
      </c>
      <c r="D1690" s="28" t="s">
        <v>618</v>
      </c>
      <c r="E1690" s="28" t="s">
        <v>605</v>
      </c>
      <c r="F1690" s="28" t="s">
        <v>587</v>
      </c>
      <c r="G1690" s="29">
        <v>870</v>
      </c>
      <c r="H1690" s="29">
        <v>1</v>
      </c>
      <c r="I1690" s="29">
        <v>3</v>
      </c>
      <c r="J1690" s="29">
        <v>1</v>
      </c>
      <c r="K1690" s="29">
        <v>2</v>
      </c>
      <c r="L1690" s="29">
        <v>0</v>
      </c>
      <c r="M1690" s="29">
        <v>0</v>
      </c>
      <c r="N1690" s="29">
        <v>0</v>
      </c>
      <c r="O1690" s="29">
        <v>0</v>
      </c>
    </row>
    <row r="1691" spans="1:15" x14ac:dyDescent="0.3">
      <c r="A1691" s="28" t="s">
        <v>575</v>
      </c>
      <c r="B1691" s="28" t="s">
        <v>576</v>
      </c>
      <c r="C1691" s="28" t="s">
        <v>561</v>
      </c>
      <c r="D1691" s="28" t="s">
        <v>618</v>
      </c>
      <c r="E1691" s="28" t="s">
        <v>605</v>
      </c>
      <c r="F1691" s="28" t="s">
        <v>579</v>
      </c>
      <c r="G1691" s="29">
        <v>1093</v>
      </c>
      <c r="H1691" s="29">
        <v>0</v>
      </c>
      <c r="I1691" s="29">
        <v>3</v>
      </c>
      <c r="J1691" s="29">
        <v>0</v>
      </c>
      <c r="K1691" s="29">
        <v>3</v>
      </c>
      <c r="L1691" s="29">
        <v>500</v>
      </c>
      <c r="M1691" s="29">
        <v>0</v>
      </c>
      <c r="N1691" s="29">
        <v>500</v>
      </c>
      <c r="O1691" s="29">
        <v>0</v>
      </c>
    </row>
    <row r="1692" spans="1:15" x14ac:dyDescent="0.3">
      <c r="A1692" s="28" t="s">
        <v>575</v>
      </c>
      <c r="B1692" s="28" t="s">
        <v>576</v>
      </c>
      <c r="C1692" s="28" t="s">
        <v>561</v>
      </c>
      <c r="D1692" s="28" t="s">
        <v>618</v>
      </c>
      <c r="E1692" s="28" t="s">
        <v>605</v>
      </c>
      <c r="F1692" s="28" t="s">
        <v>588</v>
      </c>
      <c r="G1692" s="29">
        <v>931</v>
      </c>
      <c r="H1692" s="29">
        <v>1</v>
      </c>
      <c r="I1692" s="29">
        <v>1</v>
      </c>
      <c r="J1692" s="29">
        <v>1</v>
      </c>
      <c r="K1692" s="29">
        <v>0</v>
      </c>
      <c r="L1692" s="29">
        <v>0</v>
      </c>
      <c r="M1692" s="29">
        <v>0</v>
      </c>
      <c r="N1692" s="29">
        <v>0</v>
      </c>
      <c r="O1692" s="29">
        <v>0</v>
      </c>
    </row>
    <row r="1693" spans="1:15" x14ac:dyDescent="0.3">
      <c r="A1693" s="28" t="s">
        <v>575</v>
      </c>
      <c r="B1693" s="28" t="s">
        <v>576</v>
      </c>
      <c r="C1693" s="28" t="s">
        <v>561</v>
      </c>
      <c r="D1693" s="28" t="s">
        <v>618</v>
      </c>
      <c r="E1693" s="28" t="s">
        <v>605</v>
      </c>
      <c r="F1693" s="28" t="s">
        <v>589</v>
      </c>
      <c r="G1693" s="29">
        <v>424</v>
      </c>
      <c r="H1693" s="29">
        <v>0</v>
      </c>
      <c r="I1693" s="29">
        <v>0</v>
      </c>
      <c r="J1693" s="29">
        <v>0</v>
      </c>
      <c r="K1693" s="29">
        <v>0</v>
      </c>
      <c r="L1693" s="29">
        <v>0</v>
      </c>
      <c r="M1693" s="29">
        <v>0</v>
      </c>
      <c r="N1693" s="29">
        <v>0</v>
      </c>
      <c r="O1693" s="29">
        <v>0</v>
      </c>
    </row>
    <row r="1694" spans="1:15" x14ac:dyDescent="0.3">
      <c r="A1694" s="28" t="s">
        <v>575</v>
      </c>
      <c r="B1694" s="28" t="s">
        <v>576</v>
      </c>
      <c r="C1694" s="28" t="s">
        <v>561</v>
      </c>
      <c r="D1694" s="28" t="s">
        <v>618</v>
      </c>
      <c r="E1694" s="28" t="s">
        <v>605</v>
      </c>
      <c r="F1694" s="28" t="s">
        <v>590</v>
      </c>
      <c r="G1694" s="29">
        <v>188</v>
      </c>
      <c r="H1694" s="29">
        <v>0</v>
      </c>
      <c r="I1694" s="29">
        <v>1</v>
      </c>
      <c r="J1694" s="29">
        <v>0</v>
      </c>
      <c r="K1694" s="29">
        <v>1</v>
      </c>
      <c r="L1694" s="29">
        <v>0</v>
      </c>
      <c r="M1694" s="29">
        <v>0</v>
      </c>
      <c r="N1694" s="29">
        <v>0</v>
      </c>
      <c r="O1694" s="29">
        <v>0</v>
      </c>
    </row>
    <row r="1695" spans="1:15" x14ac:dyDescent="0.3">
      <c r="A1695" s="28" t="s">
        <v>575</v>
      </c>
      <c r="B1695" s="28" t="s">
        <v>576</v>
      </c>
      <c r="C1695" s="28" t="s">
        <v>561</v>
      </c>
      <c r="D1695" s="28" t="s">
        <v>618</v>
      </c>
      <c r="E1695" s="28" t="s">
        <v>605</v>
      </c>
      <c r="F1695" s="28" t="s">
        <v>591</v>
      </c>
      <c r="G1695" s="29">
        <v>104</v>
      </c>
      <c r="H1695" s="29">
        <v>0</v>
      </c>
      <c r="I1695" s="29">
        <v>0</v>
      </c>
      <c r="J1695" s="29">
        <v>0</v>
      </c>
      <c r="K1695" s="29">
        <v>0</v>
      </c>
      <c r="L1695" s="29">
        <v>0</v>
      </c>
      <c r="M1695" s="29">
        <v>0</v>
      </c>
      <c r="N1695" s="29">
        <v>0</v>
      </c>
      <c r="O1695" s="29">
        <v>0</v>
      </c>
    </row>
    <row r="1696" spans="1:15" x14ac:dyDescent="0.3">
      <c r="A1696" s="28" t="s">
        <v>575</v>
      </c>
      <c r="B1696" s="28" t="s">
        <v>576</v>
      </c>
      <c r="C1696" s="28" t="s">
        <v>561</v>
      </c>
      <c r="D1696" s="28" t="s">
        <v>618</v>
      </c>
      <c r="E1696" s="28" t="s">
        <v>605</v>
      </c>
      <c r="F1696" s="28" t="s">
        <v>592</v>
      </c>
      <c r="G1696" s="29">
        <v>114</v>
      </c>
      <c r="H1696" s="29">
        <v>0</v>
      </c>
      <c r="I1696" s="29">
        <v>0</v>
      </c>
      <c r="J1696" s="29">
        <v>0</v>
      </c>
      <c r="K1696" s="29">
        <v>0</v>
      </c>
      <c r="L1696" s="29">
        <v>0</v>
      </c>
      <c r="M1696" s="29">
        <v>0</v>
      </c>
      <c r="N1696" s="29">
        <v>0</v>
      </c>
      <c r="O1696" s="29">
        <v>0</v>
      </c>
    </row>
    <row r="1697" spans="1:15" x14ac:dyDescent="0.3">
      <c r="A1697" s="28" t="s">
        <v>575</v>
      </c>
      <c r="B1697" s="28" t="s">
        <v>576</v>
      </c>
      <c r="C1697" s="28" t="s">
        <v>561</v>
      </c>
      <c r="D1697" s="28" t="s">
        <v>618</v>
      </c>
      <c r="E1697" s="28" t="s">
        <v>605</v>
      </c>
      <c r="F1697" s="28" t="s">
        <v>593</v>
      </c>
      <c r="G1697" s="29">
        <v>64</v>
      </c>
      <c r="H1697" s="29">
        <v>0</v>
      </c>
      <c r="I1697" s="29">
        <v>0</v>
      </c>
      <c r="J1697" s="29">
        <v>0</v>
      </c>
      <c r="K1697" s="29">
        <v>0</v>
      </c>
      <c r="L1697" s="29">
        <v>0</v>
      </c>
      <c r="M1697" s="29">
        <v>0</v>
      </c>
      <c r="N1697" s="29">
        <v>0</v>
      </c>
      <c r="O1697" s="29">
        <v>0</v>
      </c>
    </row>
    <row r="1698" spans="1:15" x14ac:dyDescent="0.3">
      <c r="A1698" s="28" t="s">
        <v>575</v>
      </c>
      <c r="B1698" s="28" t="s">
        <v>576</v>
      </c>
      <c r="C1698" s="28" t="s">
        <v>561</v>
      </c>
      <c r="D1698" s="28" t="s">
        <v>618</v>
      </c>
      <c r="E1698" s="28" t="s">
        <v>605</v>
      </c>
      <c r="F1698" s="28" t="s">
        <v>594</v>
      </c>
      <c r="G1698" s="29">
        <v>30</v>
      </c>
      <c r="H1698" s="29">
        <v>0</v>
      </c>
      <c r="I1698" s="29">
        <v>0</v>
      </c>
      <c r="J1698" s="29">
        <v>0</v>
      </c>
      <c r="K1698" s="29">
        <v>0</v>
      </c>
      <c r="L1698" s="29">
        <v>0</v>
      </c>
      <c r="M1698" s="29">
        <v>0</v>
      </c>
      <c r="N1698" s="29">
        <v>0</v>
      </c>
      <c r="O1698" s="29">
        <v>0</v>
      </c>
    </row>
    <row r="1699" spans="1:15" x14ac:dyDescent="0.3">
      <c r="A1699" s="28" t="s">
        <v>575</v>
      </c>
      <c r="B1699" s="28" t="s">
        <v>576</v>
      </c>
      <c r="C1699" s="28" t="s">
        <v>561</v>
      </c>
      <c r="D1699" s="28" t="s">
        <v>618</v>
      </c>
      <c r="E1699" s="28" t="s">
        <v>605</v>
      </c>
      <c r="F1699" s="28" t="s">
        <v>595</v>
      </c>
      <c r="G1699" s="29">
        <v>21</v>
      </c>
      <c r="H1699" s="29">
        <v>0</v>
      </c>
      <c r="I1699" s="29">
        <v>0</v>
      </c>
      <c r="J1699" s="29">
        <v>0</v>
      </c>
      <c r="K1699" s="29">
        <v>0</v>
      </c>
      <c r="L1699" s="29">
        <v>0</v>
      </c>
      <c r="M1699" s="29">
        <v>0</v>
      </c>
      <c r="N1699" s="29">
        <v>0</v>
      </c>
      <c r="O1699" s="29">
        <v>0</v>
      </c>
    </row>
    <row r="1700" spans="1:15" x14ac:dyDescent="0.3">
      <c r="A1700" s="28" t="s">
        <v>575</v>
      </c>
      <c r="B1700" s="28" t="s">
        <v>576</v>
      </c>
      <c r="C1700" s="28" t="s">
        <v>561</v>
      </c>
      <c r="D1700" s="28" t="s">
        <v>618</v>
      </c>
      <c r="E1700" s="28" t="s">
        <v>606</v>
      </c>
      <c r="F1700" s="28" t="s">
        <v>597</v>
      </c>
      <c r="G1700" s="29">
        <v>34</v>
      </c>
      <c r="H1700" s="29">
        <v>0</v>
      </c>
      <c r="I1700" s="29">
        <v>1</v>
      </c>
      <c r="J1700" s="29">
        <v>0</v>
      </c>
      <c r="K1700" s="29">
        <v>1</v>
      </c>
      <c r="L1700" s="29">
        <v>0</v>
      </c>
      <c r="M1700" s="29">
        <v>0</v>
      </c>
      <c r="N1700" s="29">
        <v>0</v>
      </c>
      <c r="O1700" s="29">
        <v>0</v>
      </c>
    </row>
    <row r="1701" spans="1:15" x14ac:dyDescent="0.3">
      <c r="A1701" s="28" t="s">
        <v>575</v>
      </c>
      <c r="B1701" s="28" t="s">
        <v>576</v>
      </c>
      <c r="C1701" s="28" t="s">
        <v>561</v>
      </c>
      <c r="D1701" s="28" t="s">
        <v>618</v>
      </c>
      <c r="E1701" s="28" t="s">
        <v>606</v>
      </c>
      <c r="F1701" s="28" t="s">
        <v>598</v>
      </c>
      <c r="G1701" s="29">
        <v>50</v>
      </c>
      <c r="H1701" s="29">
        <v>0</v>
      </c>
      <c r="I1701" s="29">
        <v>1</v>
      </c>
      <c r="J1701" s="29">
        <v>0</v>
      </c>
      <c r="K1701" s="29">
        <v>1</v>
      </c>
      <c r="L1701" s="29">
        <v>0</v>
      </c>
      <c r="M1701" s="29">
        <v>0</v>
      </c>
      <c r="N1701" s="29">
        <v>0</v>
      </c>
      <c r="O1701" s="29">
        <v>0</v>
      </c>
    </row>
    <row r="1702" spans="1:15" x14ac:dyDescent="0.3">
      <c r="A1702" s="28" t="s">
        <v>575</v>
      </c>
      <c r="B1702" s="28" t="s">
        <v>576</v>
      </c>
      <c r="C1702" s="28" t="s">
        <v>561</v>
      </c>
      <c r="D1702" s="28" t="s">
        <v>618</v>
      </c>
      <c r="E1702" s="28" t="s">
        <v>606</v>
      </c>
      <c r="F1702" s="28" t="s">
        <v>599</v>
      </c>
      <c r="G1702" s="29">
        <v>104</v>
      </c>
      <c r="H1702" s="29">
        <v>0</v>
      </c>
      <c r="I1702" s="29">
        <v>0</v>
      </c>
      <c r="J1702" s="29">
        <v>0</v>
      </c>
      <c r="K1702" s="29">
        <v>0</v>
      </c>
      <c r="L1702" s="29">
        <v>0</v>
      </c>
      <c r="M1702" s="29">
        <v>0</v>
      </c>
      <c r="N1702" s="29">
        <v>0</v>
      </c>
      <c r="O1702" s="29">
        <v>0</v>
      </c>
    </row>
    <row r="1703" spans="1:15" x14ac:dyDescent="0.3">
      <c r="A1703" s="28" t="s">
        <v>575</v>
      </c>
      <c r="B1703" s="28" t="s">
        <v>576</v>
      </c>
      <c r="C1703" s="28" t="s">
        <v>561</v>
      </c>
      <c r="D1703" s="28" t="s">
        <v>618</v>
      </c>
      <c r="E1703" s="28" t="s">
        <v>606</v>
      </c>
      <c r="F1703" s="28" t="s">
        <v>600</v>
      </c>
      <c r="G1703" s="29">
        <v>248</v>
      </c>
      <c r="H1703" s="29">
        <v>1</v>
      </c>
      <c r="I1703" s="29">
        <v>0</v>
      </c>
      <c r="J1703" s="29">
        <v>0</v>
      </c>
      <c r="K1703" s="29">
        <v>0</v>
      </c>
      <c r="L1703" s="29">
        <v>0</v>
      </c>
      <c r="M1703" s="29">
        <v>0</v>
      </c>
      <c r="N1703" s="29">
        <v>0</v>
      </c>
      <c r="O1703" s="29">
        <v>0</v>
      </c>
    </row>
    <row r="1704" spans="1:15" x14ac:dyDescent="0.3">
      <c r="A1704" s="28" t="s">
        <v>575</v>
      </c>
      <c r="B1704" s="28" t="s">
        <v>576</v>
      </c>
      <c r="C1704" s="28" t="s">
        <v>561</v>
      </c>
      <c r="D1704" s="28" t="s">
        <v>618</v>
      </c>
      <c r="E1704" s="28" t="s">
        <v>606</v>
      </c>
      <c r="F1704" s="28" t="s">
        <v>601</v>
      </c>
      <c r="G1704" s="29">
        <v>338</v>
      </c>
      <c r="H1704" s="29">
        <v>0</v>
      </c>
      <c r="I1704" s="29">
        <v>0</v>
      </c>
      <c r="J1704" s="29">
        <v>0</v>
      </c>
      <c r="K1704" s="29">
        <v>0</v>
      </c>
      <c r="L1704" s="29">
        <v>0</v>
      </c>
      <c r="M1704" s="29">
        <v>0</v>
      </c>
      <c r="N1704" s="29">
        <v>0</v>
      </c>
      <c r="O1704" s="29">
        <v>0</v>
      </c>
    </row>
    <row r="1705" spans="1:15" x14ac:dyDescent="0.3">
      <c r="A1705" s="28" t="s">
        <v>575</v>
      </c>
      <c r="B1705" s="28" t="s">
        <v>576</v>
      </c>
      <c r="C1705" s="28" t="s">
        <v>561</v>
      </c>
      <c r="D1705" s="28" t="s">
        <v>618</v>
      </c>
      <c r="E1705" s="28" t="s">
        <v>606</v>
      </c>
      <c r="F1705" s="28" t="s">
        <v>602</v>
      </c>
      <c r="G1705" s="29">
        <v>1225</v>
      </c>
      <c r="H1705" s="29">
        <v>1</v>
      </c>
      <c r="I1705" s="29">
        <v>0</v>
      </c>
      <c r="J1705" s="29">
        <v>0</v>
      </c>
      <c r="K1705" s="29">
        <v>0</v>
      </c>
      <c r="L1705" s="29">
        <v>0</v>
      </c>
      <c r="M1705" s="29">
        <v>0</v>
      </c>
      <c r="N1705" s="29">
        <v>0</v>
      </c>
      <c r="O1705" s="29">
        <v>0</v>
      </c>
    </row>
    <row r="1706" spans="1:15" x14ac:dyDescent="0.3">
      <c r="A1706" s="28" t="s">
        <v>575</v>
      </c>
      <c r="B1706" s="28" t="s">
        <v>576</v>
      </c>
      <c r="C1706" s="28" t="s">
        <v>561</v>
      </c>
      <c r="D1706" s="28" t="s">
        <v>618</v>
      </c>
      <c r="E1706" s="28" t="s">
        <v>606</v>
      </c>
      <c r="F1706" s="28" t="s">
        <v>603</v>
      </c>
      <c r="G1706" s="29">
        <v>3708</v>
      </c>
      <c r="H1706" s="29">
        <v>1</v>
      </c>
      <c r="I1706" s="29">
        <v>0</v>
      </c>
      <c r="J1706" s="29">
        <v>0</v>
      </c>
      <c r="K1706" s="29">
        <v>0</v>
      </c>
      <c r="L1706" s="29">
        <v>0</v>
      </c>
      <c r="M1706" s="29">
        <v>0</v>
      </c>
      <c r="N1706" s="29">
        <v>0</v>
      </c>
      <c r="O1706" s="29">
        <v>0</v>
      </c>
    </row>
    <row r="1707" spans="1:15" x14ac:dyDescent="0.3">
      <c r="A1707" s="28" t="s">
        <v>575</v>
      </c>
      <c r="B1707" s="28" t="s">
        <v>576</v>
      </c>
      <c r="C1707" s="28" t="s">
        <v>561</v>
      </c>
      <c r="D1707" s="28" t="s">
        <v>618</v>
      </c>
      <c r="E1707" s="28" t="s">
        <v>606</v>
      </c>
      <c r="F1707" s="28" t="s">
        <v>604</v>
      </c>
      <c r="G1707" s="29">
        <v>2813</v>
      </c>
      <c r="H1707" s="29">
        <v>0</v>
      </c>
      <c r="I1707" s="29">
        <v>0</v>
      </c>
      <c r="J1707" s="29">
        <v>0</v>
      </c>
      <c r="K1707" s="29">
        <v>0</v>
      </c>
      <c r="L1707" s="29">
        <v>0</v>
      </c>
      <c r="M1707" s="29">
        <v>0</v>
      </c>
      <c r="N1707" s="29">
        <v>0</v>
      </c>
      <c r="O1707" s="29">
        <v>0</v>
      </c>
    </row>
    <row r="1708" spans="1:15" x14ac:dyDescent="0.3">
      <c r="A1708" s="28" t="s">
        <v>575</v>
      </c>
      <c r="B1708" s="28" t="s">
        <v>576</v>
      </c>
      <c r="C1708" s="28" t="s">
        <v>561</v>
      </c>
      <c r="D1708" s="28" t="s">
        <v>618</v>
      </c>
      <c r="E1708" s="28" t="s">
        <v>606</v>
      </c>
      <c r="F1708" s="28" t="s">
        <v>581</v>
      </c>
      <c r="G1708" s="29">
        <v>3</v>
      </c>
      <c r="H1708" s="29">
        <v>0</v>
      </c>
      <c r="I1708" s="29">
        <v>0</v>
      </c>
      <c r="J1708" s="29">
        <v>0</v>
      </c>
      <c r="K1708" s="29">
        <v>0</v>
      </c>
      <c r="L1708" s="29">
        <v>0</v>
      </c>
      <c r="M1708" s="29">
        <v>0</v>
      </c>
      <c r="N1708" s="29">
        <v>0</v>
      </c>
      <c r="O1708" s="29">
        <v>0</v>
      </c>
    </row>
    <row r="1709" spans="1:15" x14ac:dyDescent="0.3">
      <c r="A1709" s="28" t="s">
        <v>575</v>
      </c>
      <c r="B1709" s="28" t="s">
        <v>576</v>
      </c>
      <c r="C1709" s="28" t="s">
        <v>561</v>
      </c>
      <c r="D1709" s="28" t="s">
        <v>618</v>
      </c>
      <c r="E1709" s="28" t="s">
        <v>606</v>
      </c>
      <c r="F1709" s="28" t="s">
        <v>582</v>
      </c>
      <c r="G1709" s="29">
        <v>1</v>
      </c>
      <c r="H1709" s="29">
        <v>0</v>
      </c>
      <c r="I1709" s="29">
        <v>2</v>
      </c>
      <c r="J1709" s="29">
        <v>0</v>
      </c>
      <c r="K1709" s="29">
        <v>2</v>
      </c>
      <c r="L1709" s="29">
        <v>500</v>
      </c>
      <c r="M1709" s="29">
        <v>0</v>
      </c>
      <c r="N1709" s="29">
        <v>500</v>
      </c>
      <c r="O1709" s="29">
        <v>0</v>
      </c>
    </row>
    <row r="1710" spans="1:15" x14ac:dyDescent="0.3">
      <c r="A1710" s="28" t="s">
        <v>575</v>
      </c>
      <c r="B1710" s="28" t="s">
        <v>576</v>
      </c>
      <c r="C1710" s="28" t="s">
        <v>561</v>
      </c>
      <c r="D1710" s="28" t="s">
        <v>618</v>
      </c>
      <c r="E1710" s="28" t="s">
        <v>606</v>
      </c>
      <c r="F1710" s="28" t="s">
        <v>583</v>
      </c>
      <c r="G1710" s="29">
        <v>9</v>
      </c>
      <c r="H1710" s="29">
        <v>0</v>
      </c>
      <c r="I1710" s="29">
        <v>0</v>
      </c>
      <c r="J1710" s="29">
        <v>0</v>
      </c>
      <c r="K1710" s="29">
        <v>0</v>
      </c>
      <c r="L1710" s="29">
        <v>0</v>
      </c>
      <c r="M1710" s="29">
        <v>0</v>
      </c>
      <c r="N1710" s="29">
        <v>0</v>
      </c>
      <c r="O1710" s="29">
        <v>0</v>
      </c>
    </row>
    <row r="1711" spans="1:15" x14ac:dyDescent="0.3">
      <c r="A1711" s="28" t="s">
        <v>575</v>
      </c>
      <c r="B1711" s="28" t="s">
        <v>576</v>
      </c>
      <c r="C1711" s="28" t="s">
        <v>561</v>
      </c>
      <c r="D1711" s="28" t="s">
        <v>618</v>
      </c>
      <c r="E1711" s="28" t="s">
        <v>606</v>
      </c>
      <c r="F1711" s="28" t="s">
        <v>584</v>
      </c>
      <c r="G1711" s="29">
        <v>2</v>
      </c>
      <c r="H1711" s="29">
        <v>0</v>
      </c>
      <c r="I1711" s="29">
        <v>0</v>
      </c>
      <c r="J1711" s="29">
        <v>0</v>
      </c>
      <c r="K1711" s="29">
        <v>0</v>
      </c>
      <c r="L1711" s="29">
        <v>0</v>
      </c>
      <c r="M1711" s="29">
        <v>0</v>
      </c>
      <c r="N1711" s="29">
        <v>0</v>
      </c>
      <c r="O1711" s="29">
        <v>0</v>
      </c>
    </row>
    <row r="1712" spans="1:15" x14ac:dyDescent="0.3">
      <c r="A1712" s="28" t="s">
        <v>575</v>
      </c>
      <c r="B1712" s="28" t="s">
        <v>576</v>
      </c>
      <c r="C1712" s="28" t="s">
        <v>561</v>
      </c>
      <c r="D1712" s="28" t="s">
        <v>618</v>
      </c>
      <c r="E1712" s="28" t="s">
        <v>606</v>
      </c>
      <c r="F1712" s="28" t="s">
        <v>585</v>
      </c>
      <c r="G1712" s="29">
        <v>6</v>
      </c>
      <c r="H1712" s="29">
        <v>0</v>
      </c>
      <c r="I1712" s="29">
        <v>0</v>
      </c>
      <c r="J1712" s="29">
        <v>0</v>
      </c>
      <c r="K1712" s="29">
        <v>0</v>
      </c>
      <c r="L1712" s="29">
        <v>0</v>
      </c>
      <c r="M1712" s="29">
        <v>0</v>
      </c>
      <c r="N1712" s="29">
        <v>0</v>
      </c>
      <c r="O1712" s="29">
        <v>0</v>
      </c>
    </row>
    <row r="1713" spans="1:15" x14ac:dyDescent="0.3">
      <c r="A1713" s="28" t="s">
        <v>575</v>
      </c>
      <c r="B1713" s="28" t="s">
        <v>576</v>
      </c>
      <c r="C1713" s="28" t="s">
        <v>561</v>
      </c>
      <c r="D1713" s="28" t="s">
        <v>618</v>
      </c>
      <c r="E1713" s="28" t="s">
        <v>606</v>
      </c>
      <c r="F1713" s="28" t="s">
        <v>586</v>
      </c>
      <c r="G1713" s="29">
        <v>39</v>
      </c>
      <c r="H1713" s="29">
        <v>1</v>
      </c>
      <c r="I1713" s="29">
        <v>0</v>
      </c>
      <c r="J1713" s="29">
        <v>0</v>
      </c>
      <c r="K1713" s="29">
        <v>0</v>
      </c>
      <c r="L1713" s="29">
        <v>0</v>
      </c>
      <c r="M1713" s="29">
        <v>0</v>
      </c>
      <c r="N1713" s="29">
        <v>0</v>
      </c>
      <c r="O1713" s="29">
        <v>0</v>
      </c>
    </row>
    <row r="1714" spans="1:15" x14ac:dyDescent="0.3">
      <c r="A1714" s="28" t="s">
        <v>575</v>
      </c>
      <c r="B1714" s="28" t="s">
        <v>576</v>
      </c>
      <c r="C1714" s="28" t="s">
        <v>561</v>
      </c>
      <c r="D1714" s="28" t="s">
        <v>618</v>
      </c>
      <c r="E1714" s="28" t="s">
        <v>606</v>
      </c>
      <c r="F1714" s="28" t="s">
        <v>587</v>
      </c>
      <c r="G1714" s="29">
        <v>281</v>
      </c>
      <c r="H1714" s="29">
        <v>0</v>
      </c>
      <c r="I1714" s="29">
        <v>0</v>
      </c>
      <c r="J1714" s="29">
        <v>0</v>
      </c>
      <c r="K1714" s="29">
        <v>0</v>
      </c>
      <c r="L1714" s="29">
        <v>0</v>
      </c>
      <c r="M1714" s="29">
        <v>0</v>
      </c>
      <c r="N1714" s="29">
        <v>0</v>
      </c>
      <c r="O1714" s="29">
        <v>0</v>
      </c>
    </row>
    <row r="1715" spans="1:15" x14ac:dyDescent="0.3">
      <c r="A1715" s="28" t="s">
        <v>575</v>
      </c>
      <c r="B1715" s="28" t="s">
        <v>576</v>
      </c>
      <c r="C1715" s="28" t="s">
        <v>561</v>
      </c>
      <c r="D1715" s="28" t="s">
        <v>618</v>
      </c>
      <c r="E1715" s="28" t="s">
        <v>606</v>
      </c>
      <c r="F1715" s="28" t="s">
        <v>579</v>
      </c>
      <c r="G1715" s="29">
        <v>701</v>
      </c>
      <c r="H1715" s="29">
        <v>1</v>
      </c>
      <c r="I1715" s="29">
        <v>0</v>
      </c>
      <c r="J1715" s="29">
        <v>0</v>
      </c>
      <c r="K1715" s="29">
        <v>0</v>
      </c>
      <c r="L1715" s="29">
        <v>0</v>
      </c>
      <c r="M1715" s="29">
        <v>0</v>
      </c>
      <c r="N1715" s="29">
        <v>0</v>
      </c>
      <c r="O1715" s="29">
        <v>0</v>
      </c>
    </row>
    <row r="1716" spans="1:15" x14ac:dyDescent="0.3">
      <c r="A1716" s="28" t="s">
        <v>575</v>
      </c>
      <c r="B1716" s="28" t="s">
        <v>576</v>
      </c>
      <c r="C1716" s="28" t="s">
        <v>561</v>
      </c>
      <c r="D1716" s="28" t="s">
        <v>618</v>
      </c>
      <c r="E1716" s="28" t="s">
        <v>606</v>
      </c>
      <c r="F1716" s="28" t="s">
        <v>588</v>
      </c>
      <c r="G1716" s="29">
        <v>1178</v>
      </c>
      <c r="H1716" s="29">
        <v>1</v>
      </c>
      <c r="I1716" s="29">
        <v>0</v>
      </c>
      <c r="J1716" s="29">
        <v>0</v>
      </c>
      <c r="K1716" s="29">
        <v>0</v>
      </c>
      <c r="L1716" s="29">
        <v>0</v>
      </c>
      <c r="M1716" s="29">
        <v>0</v>
      </c>
      <c r="N1716" s="29">
        <v>0</v>
      </c>
      <c r="O1716" s="29">
        <v>0</v>
      </c>
    </row>
    <row r="1717" spans="1:15" x14ac:dyDescent="0.3">
      <c r="A1717" s="28" t="s">
        <v>575</v>
      </c>
      <c r="B1717" s="28" t="s">
        <v>576</v>
      </c>
      <c r="C1717" s="28" t="s">
        <v>561</v>
      </c>
      <c r="D1717" s="28" t="s">
        <v>618</v>
      </c>
      <c r="E1717" s="28" t="s">
        <v>606</v>
      </c>
      <c r="F1717" s="28" t="s">
        <v>589</v>
      </c>
      <c r="G1717" s="29">
        <v>1665</v>
      </c>
      <c r="H1717" s="29">
        <v>1</v>
      </c>
      <c r="I1717" s="29">
        <v>1</v>
      </c>
      <c r="J1717" s="29">
        <v>0</v>
      </c>
      <c r="K1717" s="29">
        <v>1</v>
      </c>
      <c r="L1717" s="29">
        <v>0</v>
      </c>
      <c r="M1717" s="29">
        <v>0</v>
      </c>
      <c r="N1717" s="29">
        <v>0</v>
      </c>
      <c r="O1717" s="29">
        <v>0</v>
      </c>
    </row>
    <row r="1718" spans="1:15" x14ac:dyDescent="0.3">
      <c r="A1718" s="28" t="s">
        <v>575</v>
      </c>
      <c r="B1718" s="28" t="s">
        <v>576</v>
      </c>
      <c r="C1718" s="28" t="s">
        <v>561</v>
      </c>
      <c r="D1718" s="28" t="s">
        <v>618</v>
      </c>
      <c r="E1718" s="28" t="s">
        <v>606</v>
      </c>
      <c r="F1718" s="28" t="s">
        <v>590</v>
      </c>
      <c r="G1718" s="29">
        <v>2299</v>
      </c>
      <c r="H1718" s="29">
        <v>0</v>
      </c>
      <c r="I1718" s="29">
        <v>1</v>
      </c>
      <c r="J1718" s="29">
        <v>0</v>
      </c>
      <c r="K1718" s="29">
        <v>1</v>
      </c>
      <c r="L1718" s="29">
        <v>0</v>
      </c>
      <c r="M1718" s="29">
        <v>0</v>
      </c>
      <c r="N1718" s="29">
        <v>0</v>
      </c>
      <c r="O1718" s="29">
        <v>0</v>
      </c>
    </row>
    <row r="1719" spans="1:15" x14ac:dyDescent="0.3">
      <c r="A1719" s="28" t="s">
        <v>575</v>
      </c>
      <c r="B1719" s="28" t="s">
        <v>576</v>
      </c>
      <c r="C1719" s="28" t="s">
        <v>561</v>
      </c>
      <c r="D1719" s="28" t="s">
        <v>618</v>
      </c>
      <c r="E1719" s="28" t="s">
        <v>606</v>
      </c>
      <c r="F1719" s="28" t="s">
        <v>591</v>
      </c>
      <c r="G1719" s="29">
        <v>1253</v>
      </c>
      <c r="H1719" s="29">
        <v>2</v>
      </c>
      <c r="I1719" s="29">
        <v>0</v>
      </c>
      <c r="J1719" s="29">
        <v>0</v>
      </c>
      <c r="K1719" s="29">
        <v>0</v>
      </c>
      <c r="L1719" s="29">
        <v>0</v>
      </c>
      <c r="M1719" s="29">
        <v>0</v>
      </c>
      <c r="N1719" s="29">
        <v>0</v>
      </c>
      <c r="O1719" s="29">
        <v>0</v>
      </c>
    </row>
    <row r="1720" spans="1:15" x14ac:dyDescent="0.3">
      <c r="A1720" s="28" t="s">
        <v>575</v>
      </c>
      <c r="B1720" s="28" t="s">
        <v>576</v>
      </c>
      <c r="C1720" s="28" t="s">
        <v>561</v>
      </c>
      <c r="D1720" s="28" t="s">
        <v>618</v>
      </c>
      <c r="E1720" s="28" t="s">
        <v>606</v>
      </c>
      <c r="F1720" s="28" t="s">
        <v>592</v>
      </c>
      <c r="G1720" s="29">
        <v>142</v>
      </c>
      <c r="H1720" s="29">
        <v>0</v>
      </c>
      <c r="I1720" s="29">
        <v>0</v>
      </c>
      <c r="J1720" s="29">
        <v>0</v>
      </c>
      <c r="K1720" s="29">
        <v>0</v>
      </c>
      <c r="L1720" s="29">
        <v>0</v>
      </c>
      <c r="M1720" s="29">
        <v>0</v>
      </c>
      <c r="N1720" s="29">
        <v>0</v>
      </c>
      <c r="O1720" s="29">
        <v>0</v>
      </c>
    </row>
    <row r="1721" spans="1:15" x14ac:dyDescent="0.3">
      <c r="A1721" s="28" t="s">
        <v>575</v>
      </c>
      <c r="B1721" s="28" t="s">
        <v>576</v>
      </c>
      <c r="C1721" s="28" t="s">
        <v>561</v>
      </c>
      <c r="D1721" s="28" t="s">
        <v>618</v>
      </c>
      <c r="E1721" s="28" t="s">
        <v>606</v>
      </c>
      <c r="F1721" s="28" t="s">
        <v>593</v>
      </c>
      <c r="G1721" s="29">
        <v>606</v>
      </c>
      <c r="H1721" s="29">
        <v>1</v>
      </c>
      <c r="I1721" s="29">
        <v>0</v>
      </c>
      <c r="J1721" s="29">
        <v>0</v>
      </c>
      <c r="K1721" s="29">
        <v>0</v>
      </c>
      <c r="L1721" s="29">
        <v>0</v>
      </c>
      <c r="M1721" s="29">
        <v>0</v>
      </c>
      <c r="N1721" s="29">
        <v>0</v>
      </c>
      <c r="O1721" s="29">
        <v>0</v>
      </c>
    </row>
    <row r="1722" spans="1:15" x14ac:dyDescent="0.3">
      <c r="A1722" s="28" t="s">
        <v>575</v>
      </c>
      <c r="B1722" s="28" t="s">
        <v>576</v>
      </c>
      <c r="C1722" s="28" t="s">
        <v>561</v>
      </c>
      <c r="D1722" s="28" t="s">
        <v>618</v>
      </c>
      <c r="E1722" s="28" t="s">
        <v>606</v>
      </c>
      <c r="F1722" s="28" t="s">
        <v>594</v>
      </c>
      <c r="G1722" s="29">
        <v>997</v>
      </c>
      <c r="H1722" s="29">
        <v>0</v>
      </c>
      <c r="I1722" s="29">
        <v>0</v>
      </c>
      <c r="J1722" s="29">
        <v>0</v>
      </c>
      <c r="K1722" s="29">
        <v>0</v>
      </c>
      <c r="L1722" s="29">
        <v>0</v>
      </c>
      <c r="M1722" s="29">
        <v>0</v>
      </c>
      <c r="N1722" s="29">
        <v>0</v>
      </c>
      <c r="O1722" s="29">
        <v>0</v>
      </c>
    </row>
    <row r="1723" spans="1:15" x14ac:dyDescent="0.3">
      <c r="A1723" s="28" t="s">
        <v>575</v>
      </c>
      <c r="B1723" s="28" t="s">
        <v>576</v>
      </c>
      <c r="C1723" s="28" t="s">
        <v>561</v>
      </c>
      <c r="D1723" s="28" t="s">
        <v>618</v>
      </c>
      <c r="E1723" s="28" t="s">
        <v>606</v>
      </c>
      <c r="F1723" s="28" t="s">
        <v>595</v>
      </c>
      <c r="G1723" s="29">
        <v>408</v>
      </c>
      <c r="H1723" s="29">
        <v>2</v>
      </c>
      <c r="I1723" s="29">
        <v>0</v>
      </c>
      <c r="J1723" s="29">
        <v>0</v>
      </c>
      <c r="K1723" s="29">
        <v>0</v>
      </c>
      <c r="L1723" s="29">
        <v>0</v>
      </c>
      <c r="M1723" s="29">
        <v>0</v>
      </c>
      <c r="N1723" s="29">
        <v>0</v>
      </c>
      <c r="O1723" s="29">
        <v>0</v>
      </c>
    </row>
    <row r="1724" spans="1:15" x14ac:dyDescent="0.3">
      <c r="A1724" s="28" t="s">
        <v>575</v>
      </c>
      <c r="B1724" s="28" t="s">
        <v>576</v>
      </c>
      <c r="C1724" s="28" t="s">
        <v>561</v>
      </c>
      <c r="D1724" s="28" t="s">
        <v>618</v>
      </c>
      <c r="E1724" s="28" t="s">
        <v>607</v>
      </c>
      <c r="F1724" s="28" t="s">
        <v>597</v>
      </c>
      <c r="G1724" s="29">
        <v>126</v>
      </c>
      <c r="H1724" s="29">
        <v>0</v>
      </c>
      <c r="I1724" s="29">
        <v>0</v>
      </c>
      <c r="J1724" s="29">
        <v>0</v>
      </c>
      <c r="K1724" s="29">
        <v>0</v>
      </c>
      <c r="L1724" s="29">
        <v>0</v>
      </c>
      <c r="M1724" s="29">
        <v>0</v>
      </c>
      <c r="N1724" s="29">
        <v>0</v>
      </c>
      <c r="O1724" s="29">
        <v>0</v>
      </c>
    </row>
    <row r="1725" spans="1:15" x14ac:dyDescent="0.3">
      <c r="A1725" s="28" t="s">
        <v>575</v>
      </c>
      <c r="B1725" s="28" t="s">
        <v>576</v>
      </c>
      <c r="C1725" s="28" t="s">
        <v>561</v>
      </c>
      <c r="D1725" s="28" t="s">
        <v>618</v>
      </c>
      <c r="E1725" s="28" t="s">
        <v>607</v>
      </c>
      <c r="F1725" s="28" t="s">
        <v>598</v>
      </c>
      <c r="G1725" s="29">
        <v>41</v>
      </c>
      <c r="H1725" s="29">
        <v>0</v>
      </c>
      <c r="I1725" s="29">
        <v>0</v>
      </c>
      <c r="J1725" s="29">
        <v>0</v>
      </c>
      <c r="K1725" s="29">
        <v>0</v>
      </c>
      <c r="L1725" s="29">
        <v>0</v>
      </c>
      <c r="M1725" s="29">
        <v>0</v>
      </c>
      <c r="N1725" s="29">
        <v>0</v>
      </c>
      <c r="O1725" s="29">
        <v>0</v>
      </c>
    </row>
    <row r="1726" spans="1:15" x14ac:dyDescent="0.3">
      <c r="A1726" s="28" t="s">
        <v>575</v>
      </c>
      <c r="B1726" s="28" t="s">
        <v>576</v>
      </c>
      <c r="C1726" s="28" t="s">
        <v>561</v>
      </c>
      <c r="D1726" s="28" t="s">
        <v>618</v>
      </c>
      <c r="E1726" s="28" t="s">
        <v>607</v>
      </c>
      <c r="F1726" s="28" t="s">
        <v>599</v>
      </c>
      <c r="G1726" s="29">
        <v>16</v>
      </c>
      <c r="H1726" s="29">
        <v>0</v>
      </c>
      <c r="I1726" s="29">
        <v>0</v>
      </c>
      <c r="J1726" s="29">
        <v>0</v>
      </c>
      <c r="K1726" s="29">
        <v>0</v>
      </c>
      <c r="L1726" s="29">
        <v>0</v>
      </c>
      <c r="M1726" s="29">
        <v>0</v>
      </c>
      <c r="N1726" s="29">
        <v>0</v>
      </c>
      <c r="O1726" s="29">
        <v>0</v>
      </c>
    </row>
    <row r="1727" spans="1:15" x14ac:dyDescent="0.3">
      <c r="A1727" s="28" t="s">
        <v>575</v>
      </c>
      <c r="B1727" s="28" t="s">
        <v>576</v>
      </c>
      <c r="C1727" s="28" t="s">
        <v>561</v>
      </c>
      <c r="D1727" s="28" t="s">
        <v>618</v>
      </c>
      <c r="E1727" s="28" t="s">
        <v>607</v>
      </c>
      <c r="F1727" s="28" t="s">
        <v>600</v>
      </c>
      <c r="G1727" s="29">
        <v>13</v>
      </c>
      <c r="H1727" s="29">
        <v>0</v>
      </c>
      <c r="I1727" s="29">
        <v>0</v>
      </c>
      <c r="J1727" s="29">
        <v>0</v>
      </c>
      <c r="K1727" s="29">
        <v>0</v>
      </c>
      <c r="L1727" s="29">
        <v>0</v>
      </c>
      <c r="M1727" s="29">
        <v>0</v>
      </c>
      <c r="N1727" s="29">
        <v>0</v>
      </c>
      <c r="O1727" s="29">
        <v>0</v>
      </c>
    </row>
    <row r="1728" spans="1:15" x14ac:dyDescent="0.3">
      <c r="A1728" s="28" t="s">
        <v>575</v>
      </c>
      <c r="B1728" s="28" t="s">
        <v>576</v>
      </c>
      <c r="C1728" s="28" t="s">
        <v>561</v>
      </c>
      <c r="D1728" s="28" t="s">
        <v>618</v>
      </c>
      <c r="E1728" s="28" t="s">
        <v>607</v>
      </c>
      <c r="F1728" s="28" t="s">
        <v>601</v>
      </c>
      <c r="G1728" s="29">
        <v>34</v>
      </c>
      <c r="H1728" s="29">
        <v>1</v>
      </c>
      <c r="I1728" s="29">
        <v>0</v>
      </c>
      <c r="J1728" s="29">
        <v>0</v>
      </c>
      <c r="K1728" s="29">
        <v>0</v>
      </c>
      <c r="L1728" s="29">
        <v>0</v>
      </c>
      <c r="M1728" s="29">
        <v>0</v>
      </c>
      <c r="N1728" s="29">
        <v>0</v>
      </c>
      <c r="O1728" s="29">
        <v>0</v>
      </c>
    </row>
    <row r="1729" spans="1:15" x14ac:dyDescent="0.3">
      <c r="A1729" s="28" t="s">
        <v>575</v>
      </c>
      <c r="B1729" s="28" t="s">
        <v>576</v>
      </c>
      <c r="C1729" s="28" t="s">
        <v>561</v>
      </c>
      <c r="D1729" s="28" t="s">
        <v>618</v>
      </c>
      <c r="E1729" s="28" t="s">
        <v>607</v>
      </c>
      <c r="F1729" s="28" t="s">
        <v>602</v>
      </c>
      <c r="G1729" s="29">
        <v>118</v>
      </c>
      <c r="H1729" s="29">
        <v>0</v>
      </c>
      <c r="I1729" s="29">
        <v>0</v>
      </c>
      <c r="J1729" s="29">
        <v>0</v>
      </c>
      <c r="K1729" s="29">
        <v>0</v>
      </c>
      <c r="L1729" s="29">
        <v>0</v>
      </c>
      <c r="M1729" s="29">
        <v>0</v>
      </c>
      <c r="N1729" s="29">
        <v>0</v>
      </c>
      <c r="O1729" s="29">
        <v>0</v>
      </c>
    </row>
    <row r="1730" spans="1:15" x14ac:dyDescent="0.3">
      <c r="A1730" s="28" t="s">
        <v>575</v>
      </c>
      <c r="B1730" s="28" t="s">
        <v>576</v>
      </c>
      <c r="C1730" s="28" t="s">
        <v>561</v>
      </c>
      <c r="D1730" s="28" t="s">
        <v>618</v>
      </c>
      <c r="E1730" s="28" t="s">
        <v>607</v>
      </c>
      <c r="F1730" s="28" t="s">
        <v>603</v>
      </c>
      <c r="G1730" s="29">
        <v>521</v>
      </c>
      <c r="H1730" s="29">
        <v>0</v>
      </c>
      <c r="I1730" s="29">
        <v>0</v>
      </c>
      <c r="J1730" s="29">
        <v>0</v>
      </c>
      <c r="K1730" s="29">
        <v>0</v>
      </c>
      <c r="L1730" s="29">
        <v>0</v>
      </c>
      <c r="M1730" s="29">
        <v>0</v>
      </c>
      <c r="N1730" s="29">
        <v>0</v>
      </c>
      <c r="O1730" s="29">
        <v>0</v>
      </c>
    </row>
    <row r="1731" spans="1:15" x14ac:dyDescent="0.3">
      <c r="A1731" s="28" t="s">
        <v>575</v>
      </c>
      <c r="B1731" s="28" t="s">
        <v>576</v>
      </c>
      <c r="C1731" s="28" t="s">
        <v>561</v>
      </c>
      <c r="D1731" s="28" t="s">
        <v>618</v>
      </c>
      <c r="E1731" s="28" t="s">
        <v>607</v>
      </c>
      <c r="F1731" s="28" t="s">
        <v>604</v>
      </c>
      <c r="G1731" s="29">
        <v>1706</v>
      </c>
      <c r="H1731" s="29">
        <v>0</v>
      </c>
      <c r="I1731" s="29">
        <v>0</v>
      </c>
      <c r="J1731" s="29">
        <v>0</v>
      </c>
      <c r="K1731" s="29">
        <v>0</v>
      </c>
      <c r="L1731" s="29">
        <v>0</v>
      </c>
      <c r="M1731" s="29">
        <v>0</v>
      </c>
      <c r="N1731" s="29">
        <v>0</v>
      </c>
      <c r="O1731" s="29">
        <v>0</v>
      </c>
    </row>
    <row r="1732" spans="1:15" x14ac:dyDescent="0.3">
      <c r="A1732" s="28" t="s">
        <v>575</v>
      </c>
      <c r="B1732" s="28" t="s">
        <v>576</v>
      </c>
      <c r="C1732" s="28" t="s">
        <v>561</v>
      </c>
      <c r="D1732" s="28" t="s">
        <v>618</v>
      </c>
      <c r="E1732" s="28" t="s">
        <v>607</v>
      </c>
      <c r="F1732" s="28" t="s">
        <v>581</v>
      </c>
      <c r="G1732" s="29">
        <v>1663</v>
      </c>
      <c r="H1732" s="29">
        <v>2</v>
      </c>
      <c r="I1732" s="29">
        <v>6</v>
      </c>
      <c r="J1732" s="29">
        <v>0</v>
      </c>
      <c r="K1732" s="29">
        <v>6</v>
      </c>
      <c r="L1732" s="29">
        <v>0</v>
      </c>
      <c r="M1732" s="29">
        <v>0</v>
      </c>
      <c r="N1732" s="29">
        <v>0</v>
      </c>
      <c r="O1732" s="29">
        <v>0</v>
      </c>
    </row>
    <row r="1733" spans="1:15" x14ac:dyDescent="0.3">
      <c r="A1733" s="28" t="s">
        <v>575</v>
      </c>
      <c r="B1733" s="28" t="s">
        <v>576</v>
      </c>
      <c r="C1733" s="28" t="s">
        <v>561</v>
      </c>
      <c r="D1733" s="28" t="s">
        <v>618</v>
      </c>
      <c r="E1733" s="28" t="s">
        <v>607</v>
      </c>
      <c r="F1733" s="28" t="s">
        <v>582</v>
      </c>
      <c r="G1733" s="29">
        <v>652</v>
      </c>
      <c r="H1733" s="29">
        <v>1</v>
      </c>
      <c r="I1733" s="29">
        <v>0</v>
      </c>
      <c r="J1733" s="29">
        <v>0</v>
      </c>
      <c r="K1733" s="29">
        <v>0</v>
      </c>
      <c r="L1733" s="29">
        <v>0</v>
      </c>
      <c r="M1733" s="29">
        <v>0</v>
      </c>
      <c r="N1733" s="29">
        <v>0</v>
      </c>
      <c r="O1733" s="29">
        <v>0</v>
      </c>
    </row>
    <row r="1734" spans="1:15" x14ac:dyDescent="0.3">
      <c r="A1734" s="28" t="s">
        <v>575</v>
      </c>
      <c r="B1734" s="28" t="s">
        <v>576</v>
      </c>
      <c r="C1734" s="28" t="s">
        <v>561</v>
      </c>
      <c r="D1734" s="28" t="s">
        <v>618</v>
      </c>
      <c r="E1734" s="28" t="s">
        <v>607</v>
      </c>
      <c r="F1734" s="28" t="s">
        <v>583</v>
      </c>
      <c r="G1734" s="29">
        <v>126</v>
      </c>
      <c r="H1734" s="29">
        <v>0</v>
      </c>
      <c r="I1734" s="29">
        <v>4</v>
      </c>
      <c r="J1734" s="29">
        <v>0</v>
      </c>
      <c r="K1734" s="29">
        <v>4</v>
      </c>
      <c r="L1734" s="29">
        <v>1000</v>
      </c>
      <c r="M1734" s="29">
        <v>0</v>
      </c>
      <c r="N1734" s="29">
        <v>1000</v>
      </c>
      <c r="O1734" s="29">
        <v>0</v>
      </c>
    </row>
    <row r="1735" spans="1:15" x14ac:dyDescent="0.3">
      <c r="A1735" s="28" t="s">
        <v>575</v>
      </c>
      <c r="B1735" s="28" t="s">
        <v>576</v>
      </c>
      <c r="C1735" s="28" t="s">
        <v>561</v>
      </c>
      <c r="D1735" s="28" t="s">
        <v>618</v>
      </c>
      <c r="E1735" s="28" t="s">
        <v>607</v>
      </c>
      <c r="F1735" s="28" t="s">
        <v>584</v>
      </c>
      <c r="G1735" s="29">
        <v>36</v>
      </c>
      <c r="H1735" s="29">
        <v>0</v>
      </c>
      <c r="I1735" s="29">
        <v>1</v>
      </c>
      <c r="J1735" s="29">
        <v>0</v>
      </c>
      <c r="K1735" s="29">
        <v>1</v>
      </c>
      <c r="L1735" s="29">
        <v>0</v>
      </c>
      <c r="M1735" s="29">
        <v>0</v>
      </c>
      <c r="N1735" s="29">
        <v>0</v>
      </c>
      <c r="O1735" s="29">
        <v>0</v>
      </c>
    </row>
    <row r="1736" spans="1:15" x14ac:dyDescent="0.3">
      <c r="A1736" s="28" t="s">
        <v>575</v>
      </c>
      <c r="B1736" s="28" t="s">
        <v>576</v>
      </c>
      <c r="C1736" s="28" t="s">
        <v>561</v>
      </c>
      <c r="D1736" s="28" t="s">
        <v>618</v>
      </c>
      <c r="E1736" s="28" t="s">
        <v>607</v>
      </c>
      <c r="F1736" s="28" t="s">
        <v>585</v>
      </c>
      <c r="G1736" s="29">
        <v>178</v>
      </c>
      <c r="H1736" s="29">
        <v>0</v>
      </c>
      <c r="I1736" s="29">
        <v>3</v>
      </c>
      <c r="J1736" s="29">
        <v>0</v>
      </c>
      <c r="K1736" s="29">
        <v>3</v>
      </c>
      <c r="L1736" s="29">
        <v>1180</v>
      </c>
      <c r="M1736" s="29">
        <v>0</v>
      </c>
      <c r="N1736" s="29">
        <v>1180</v>
      </c>
      <c r="O1736" s="29">
        <v>0</v>
      </c>
    </row>
    <row r="1737" spans="1:15" x14ac:dyDescent="0.3">
      <c r="A1737" s="28" t="s">
        <v>575</v>
      </c>
      <c r="B1737" s="28" t="s">
        <v>576</v>
      </c>
      <c r="C1737" s="28" t="s">
        <v>561</v>
      </c>
      <c r="D1737" s="28" t="s">
        <v>618</v>
      </c>
      <c r="E1737" s="28" t="s">
        <v>607</v>
      </c>
      <c r="F1737" s="28" t="s">
        <v>586</v>
      </c>
      <c r="G1737" s="29">
        <v>566</v>
      </c>
      <c r="H1737" s="29">
        <v>1</v>
      </c>
      <c r="I1737" s="29">
        <v>0</v>
      </c>
      <c r="J1737" s="29">
        <v>0</v>
      </c>
      <c r="K1737" s="29">
        <v>0</v>
      </c>
      <c r="L1737" s="29">
        <v>0</v>
      </c>
      <c r="M1737" s="29">
        <v>0</v>
      </c>
      <c r="N1737" s="29">
        <v>0</v>
      </c>
      <c r="O1737" s="29">
        <v>0</v>
      </c>
    </row>
    <row r="1738" spans="1:15" x14ac:dyDescent="0.3">
      <c r="A1738" s="28" t="s">
        <v>575</v>
      </c>
      <c r="B1738" s="28" t="s">
        <v>576</v>
      </c>
      <c r="C1738" s="28" t="s">
        <v>561</v>
      </c>
      <c r="D1738" s="28" t="s">
        <v>618</v>
      </c>
      <c r="E1738" s="28" t="s">
        <v>607</v>
      </c>
      <c r="F1738" s="28" t="s">
        <v>587</v>
      </c>
      <c r="G1738" s="29">
        <v>1208</v>
      </c>
      <c r="H1738" s="29">
        <v>1</v>
      </c>
      <c r="I1738" s="29">
        <v>0</v>
      </c>
      <c r="J1738" s="29">
        <v>0</v>
      </c>
      <c r="K1738" s="29">
        <v>0</v>
      </c>
      <c r="L1738" s="29">
        <v>0</v>
      </c>
      <c r="M1738" s="29">
        <v>0</v>
      </c>
      <c r="N1738" s="29">
        <v>0</v>
      </c>
      <c r="O1738" s="29">
        <v>0</v>
      </c>
    </row>
    <row r="1739" spans="1:15" x14ac:dyDescent="0.3">
      <c r="A1739" s="28" t="s">
        <v>575</v>
      </c>
      <c r="B1739" s="28" t="s">
        <v>576</v>
      </c>
      <c r="C1739" s="28" t="s">
        <v>561</v>
      </c>
      <c r="D1739" s="28" t="s">
        <v>618</v>
      </c>
      <c r="E1739" s="28" t="s">
        <v>607</v>
      </c>
      <c r="F1739" s="28" t="s">
        <v>579</v>
      </c>
      <c r="G1739" s="29">
        <v>2450</v>
      </c>
      <c r="H1739" s="29">
        <v>3</v>
      </c>
      <c r="I1739" s="29">
        <v>2</v>
      </c>
      <c r="J1739" s="29">
        <v>1</v>
      </c>
      <c r="K1739" s="29">
        <v>1</v>
      </c>
      <c r="L1739" s="29">
        <v>0</v>
      </c>
      <c r="M1739" s="29">
        <v>0</v>
      </c>
      <c r="N1739" s="29">
        <v>0</v>
      </c>
      <c r="O1739" s="29">
        <v>0</v>
      </c>
    </row>
    <row r="1740" spans="1:15" x14ac:dyDescent="0.3">
      <c r="A1740" s="28" t="s">
        <v>575</v>
      </c>
      <c r="B1740" s="28" t="s">
        <v>576</v>
      </c>
      <c r="C1740" s="28" t="s">
        <v>561</v>
      </c>
      <c r="D1740" s="28" t="s">
        <v>618</v>
      </c>
      <c r="E1740" s="28" t="s">
        <v>607</v>
      </c>
      <c r="F1740" s="28" t="s">
        <v>588</v>
      </c>
      <c r="G1740" s="29">
        <v>3348</v>
      </c>
      <c r="H1740" s="29">
        <v>3</v>
      </c>
      <c r="I1740" s="29">
        <v>6</v>
      </c>
      <c r="J1740" s="29">
        <v>3</v>
      </c>
      <c r="K1740" s="29">
        <v>3</v>
      </c>
      <c r="L1740" s="29">
        <v>500</v>
      </c>
      <c r="M1740" s="29">
        <v>0</v>
      </c>
      <c r="N1740" s="29">
        <v>500</v>
      </c>
      <c r="O1740" s="29">
        <v>0</v>
      </c>
    </row>
    <row r="1741" spans="1:15" x14ac:dyDescent="0.3">
      <c r="A1741" s="28" t="s">
        <v>575</v>
      </c>
      <c r="B1741" s="28" t="s">
        <v>576</v>
      </c>
      <c r="C1741" s="28" t="s">
        <v>561</v>
      </c>
      <c r="D1741" s="28" t="s">
        <v>618</v>
      </c>
      <c r="E1741" s="28" t="s">
        <v>607</v>
      </c>
      <c r="F1741" s="28" t="s">
        <v>589</v>
      </c>
      <c r="G1741" s="29">
        <v>997</v>
      </c>
      <c r="H1741" s="29">
        <v>2</v>
      </c>
      <c r="I1741" s="29">
        <v>0</v>
      </c>
      <c r="J1741" s="29">
        <v>0</v>
      </c>
      <c r="K1741" s="29">
        <v>0</v>
      </c>
      <c r="L1741" s="29">
        <v>0</v>
      </c>
      <c r="M1741" s="29">
        <v>0</v>
      </c>
      <c r="N1741" s="29">
        <v>0</v>
      </c>
      <c r="O1741" s="29">
        <v>0</v>
      </c>
    </row>
    <row r="1742" spans="1:15" x14ac:dyDescent="0.3">
      <c r="A1742" s="28" t="s">
        <v>575</v>
      </c>
      <c r="B1742" s="28" t="s">
        <v>576</v>
      </c>
      <c r="C1742" s="28" t="s">
        <v>561</v>
      </c>
      <c r="D1742" s="28" t="s">
        <v>618</v>
      </c>
      <c r="E1742" s="28" t="s">
        <v>607</v>
      </c>
      <c r="F1742" s="28" t="s">
        <v>590</v>
      </c>
      <c r="G1742" s="29">
        <v>157</v>
      </c>
      <c r="H1742" s="29">
        <v>0</v>
      </c>
      <c r="I1742" s="29">
        <v>0</v>
      </c>
      <c r="J1742" s="29">
        <v>0</v>
      </c>
      <c r="K1742" s="29">
        <v>0</v>
      </c>
      <c r="L1742" s="29">
        <v>0</v>
      </c>
      <c r="M1742" s="29">
        <v>0</v>
      </c>
      <c r="N1742" s="29">
        <v>0</v>
      </c>
      <c r="O1742" s="29">
        <v>0</v>
      </c>
    </row>
    <row r="1743" spans="1:15" x14ac:dyDescent="0.3">
      <c r="A1743" s="28" t="s">
        <v>575</v>
      </c>
      <c r="B1743" s="28" t="s">
        <v>576</v>
      </c>
      <c r="C1743" s="28" t="s">
        <v>561</v>
      </c>
      <c r="D1743" s="28" t="s">
        <v>618</v>
      </c>
      <c r="E1743" s="28" t="s">
        <v>607</v>
      </c>
      <c r="F1743" s="28" t="s">
        <v>591</v>
      </c>
      <c r="G1743" s="29">
        <v>146</v>
      </c>
      <c r="H1743" s="29">
        <v>0</v>
      </c>
      <c r="I1743" s="29">
        <v>1</v>
      </c>
      <c r="J1743" s="29">
        <v>0</v>
      </c>
      <c r="K1743" s="29">
        <v>1</v>
      </c>
      <c r="L1743" s="29">
        <v>0</v>
      </c>
      <c r="M1743" s="29">
        <v>0</v>
      </c>
      <c r="N1743" s="29">
        <v>0</v>
      </c>
      <c r="O1743" s="29">
        <v>0</v>
      </c>
    </row>
    <row r="1744" spans="1:15" x14ac:dyDescent="0.3">
      <c r="A1744" s="28" t="s">
        <v>575</v>
      </c>
      <c r="B1744" s="28" t="s">
        <v>576</v>
      </c>
      <c r="C1744" s="28" t="s">
        <v>561</v>
      </c>
      <c r="D1744" s="28" t="s">
        <v>618</v>
      </c>
      <c r="E1744" s="28" t="s">
        <v>607</v>
      </c>
      <c r="F1744" s="28" t="s">
        <v>592</v>
      </c>
      <c r="G1744" s="29">
        <v>141</v>
      </c>
      <c r="H1744" s="29">
        <v>0</v>
      </c>
      <c r="I1744" s="29">
        <v>8</v>
      </c>
      <c r="J1744" s="29">
        <v>0</v>
      </c>
      <c r="K1744" s="29">
        <v>8</v>
      </c>
      <c r="L1744" s="29">
        <v>1300</v>
      </c>
      <c r="M1744" s="29">
        <v>0</v>
      </c>
      <c r="N1744" s="29">
        <v>1300</v>
      </c>
      <c r="O1744" s="29">
        <v>0</v>
      </c>
    </row>
    <row r="1745" spans="1:15" x14ac:dyDescent="0.3">
      <c r="A1745" s="28" t="s">
        <v>575</v>
      </c>
      <c r="B1745" s="28" t="s">
        <v>576</v>
      </c>
      <c r="C1745" s="28" t="s">
        <v>561</v>
      </c>
      <c r="D1745" s="28" t="s">
        <v>618</v>
      </c>
      <c r="E1745" s="28" t="s">
        <v>607</v>
      </c>
      <c r="F1745" s="28" t="s">
        <v>593</v>
      </c>
      <c r="G1745" s="29">
        <v>169</v>
      </c>
      <c r="H1745" s="29">
        <v>1</v>
      </c>
      <c r="I1745" s="29">
        <v>0</v>
      </c>
      <c r="J1745" s="29">
        <v>0</v>
      </c>
      <c r="K1745" s="29">
        <v>0</v>
      </c>
      <c r="L1745" s="29">
        <v>0</v>
      </c>
      <c r="M1745" s="29">
        <v>0</v>
      </c>
      <c r="N1745" s="29">
        <v>0</v>
      </c>
      <c r="O1745" s="29">
        <v>0</v>
      </c>
    </row>
    <row r="1746" spans="1:15" x14ac:dyDescent="0.3">
      <c r="A1746" s="28" t="s">
        <v>575</v>
      </c>
      <c r="B1746" s="28" t="s">
        <v>576</v>
      </c>
      <c r="C1746" s="28" t="s">
        <v>561</v>
      </c>
      <c r="D1746" s="28" t="s">
        <v>618</v>
      </c>
      <c r="E1746" s="28" t="s">
        <v>607</v>
      </c>
      <c r="F1746" s="28" t="s">
        <v>594</v>
      </c>
      <c r="G1746" s="29">
        <v>272</v>
      </c>
      <c r="H1746" s="29">
        <v>0</v>
      </c>
      <c r="I1746" s="29">
        <v>0</v>
      </c>
      <c r="J1746" s="29">
        <v>0</v>
      </c>
      <c r="K1746" s="29">
        <v>0</v>
      </c>
      <c r="L1746" s="29">
        <v>0</v>
      </c>
      <c r="M1746" s="29">
        <v>0</v>
      </c>
      <c r="N1746" s="29">
        <v>0</v>
      </c>
      <c r="O1746" s="29">
        <v>0</v>
      </c>
    </row>
    <row r="1747" spans="1:15" x14ac:dyDescent="0.3">
      <c r="A1747" s="28" t="s">
        <v>575</v>
      </c>
      <c r="B1747" s="28" t="s">
        <v>576</v>
      </c>
      <c r="C1747" s="28" t="s">
        <v>561</v>
      </c>
      <c r="D1747" s="28" t="s">
        <v>618</v>
      </c>
      <c r="E1747" s="28" t="s">
        <v>607</v>
      </c>
      <c r="F1747" s="28" t="s">
        <v>595</v>
      </c>
      <c r="G1747" s="29">
        <v>230</v>
      </c>
      <c r="H1747" s="29">
        <v>1</v>
      </c>
      <c r="I1747" s="29">
        <v>0</v>
      </c>
      <c r="J1747" s="29">
        <v>0</v>
      </c>
      <c r="K1747" s="29">
        <v>0</v>
      </c>
      <c r="L1747" s="29">
        <v>0</v>
      </c>
      <c r="M1747" s="29">
        <v>0</v>
      </c>
      <c r="N1747" s="29">
        <v>0</v>
      </c>
      <c r="O1747" s="29">
        <v>0</v>
      </c>
    </row>
    <row r="1748" spans="1:15" x14ac:dyDescent="0.3">
      <c r="A1748" s="28" t="s">
        <v>575</v>
      </c>
      <c r="B1748" s="28" t="s">
        <v>576</v>
      </c>
      <c r="C1748" s="28" t="s">
        <v>561</v>
      </c>
      <c r="D1748" s="28" t="s">
        <v>618</v>
      </c>
      <c r="E1748" s="28" t="s">
        <v>608</v>
      </c>
      <c r="F1748" s="28" t="s">
        <v>597</v>
      </c>
      <c r="G1748" s="29">
        <v>143</v>
      </c>
      <c r="H1748" s="29">
        <v>0</v>
      </c>
      <c r="I1748" s="29">
        <v>0</v>
      </c>
      <c r="J1748" s="29">
        <v>0</v>
      </c>
      <c r="K1748" s="29">
        <v>0</v>
      </c>
      <c r="L1748" s="29">
        <v>0</v>
      </c>
      <c r="M1748" s="29">
        <v>0</v>
      </c>
      <c r="N1748" s="29">
        <v>0</v>
      </c>
      <c r="O1748" s="29">
        <v>0</v>
      </c>
    </row>
    <row r="1749" spans="1:15" x14ac:dyDescent="0.3">
      <c r="A1749" s="28" t="s">
        <v>575</v>
      </c>
      <c r="B1749" s="28" t="s">
        <v>576</v>
      </c>
      <c r="C1749" s="28" t="s">
        <v>561</v>
      </c>
      <c r="D1749" s="28" t="s">
        <v>618</v>
      </c>
      <c r="E1749" s="28" t="s">
        <v>608</v>
      </c>
      <c r="F1749" s="28" t="s">
        <v>598</v>
      </c>
      <c r="G1749" s="29">
        <v>133</v>
      </c>
      <c r="H1749" s="29">
        <v>0</v>
      </c>
      <c r="I1749" s="29">
        <v>0</v>
      </c>
      <c r="J1749" s="29">
        <v>0</v>
      </c>
      <c r="K1749" s="29">
        <v>0</v>
      </c>
      <c r="L1749" s="29">
        <v>0</v>
      </c>
      <c r="M1749" s="29">
        <v>0</v>
      </c>
      <c r="N1749" s="29">
        <v>0</v>
      </c>
      <c r="O1749" s="29">
        <v>0</v>
      </c>
    </row>
    <row r="1750" spans="1:15" x14ac:dyDescent="0.3">
      <c r="A1750" s="28" t="s">
        <v>575</v>
      </c>
      <c r="B1750" s="28" t="s">
        <v>576</v>
      </c>
      <c r="C1750" s="28" t="s">
        <v>561</v>
      </c>
      <c r="D1750" s="28" t="s">
        <v>618</v>
      </c>
      <c r="E1750" s="28" t="s">
        <v>608</v>
      </c>
      <c r="F1750" s="28" t="s">
        <v>599</v>
      </c>
      <c r="G1750" s="29">
        <v>134</v>
      </c>
      <c r="H1750" s="29">
        <v>0</v>
      </c>
      <c r="I1750" s="29">
        <v>0</v>
      </c>
      <c r="J1750" s="29">
        <v>0</v>
      </c>
      <c r="K1750" s="29">
        <v>0</v>
      </c>
      <c r="L1750" s="29">
        <v>0</v>
      </c>
      <c r="M1750" s="29">
        <v>0</v>
      </c>
      <c r="N1750" s="29">
        <v>0</v>
      </c>
      <c r="O1750" s="29">
        <v>0</v>
      </c>
    </row>
    <row r="1751" spans="1:15" x14ac:dyDescent="0.3">
      <c r="A1751" s="28" t="s">
        <v>575</v>
      </c>
      <c r="B1751" s="28" t="s">
        <v>576</v>
      </c>
      <c r="C1751" s="28" t="s">
        <v>561</v>
      </c>
      <c r="D1751" s="28" t="s">
        <v>618</v>
      </c>
      <c r="E1751" s="28" t="s">
        <v>608</v>
      </c>
      <c r="F1751" s="28" t="s">
        <v>600</v>
      </c>
      <c r="G1751" s="29">
        <v>254</v>
      </c>
      <c r="H1751" s="29">
        <v>0</v>
      </c>
      <c r="I1751" s="29">
        <v>0</v>
      </c>
      <c r="J1751" s="29">
        <v>0</v>
      </c>
      <c r="K1751" s="29">
        <v>0</v>
      </c>
      <c r="L1751" s="29">
        <v>0</v>
      </c>
      <c r="M1751" s="29">
        <v>0</v>
      </c>
      <c r="N1751" s="29">
        <v>0</v>
      </c>
      <c r="O1751" s="29">
        <v>0</v>
      </c>
    </row>
    <row r="1752" spans="1:15" x14ac:dyDescent="0.3">
      <c r="A1752" s="28" t="s">
        <v>575</v>
      </c>
      <c r="B1752" s="28" t="s">
        <v>576</v>
      </c>
      <c r="C1752" s="28" t="s">
        <v>561</v>
      </c>
      <c r="D1752" s="28" t="s">
        <v>618</v>
      </c>
      <c r="E1752" s="28" t="s">
        <v>608</v>
      </c>
      <c r="F1752" s="28" t="s">
        <v>601</v>
      </c>
      <c r="G1752" s="29">
        <v>402</v>
      </c>
      <c r="H1752" s="29">
        <v>1</v>
      </c>
      <c r="I1752" s="29">
        <v>0</v>
      </c>
      <c r="J1752" s="29">
        <v>0</v>
      </c>
      <c r="K1752" s="29">
        <v>0</v>
      </c>
      <c r="L1752" s="29">
        <v>0</v>
      </c>
      <c r="M1752" s="29">
        <v>0</v>
      </c>
      <c r="N1752" s="29">
        <v>0</v>
      </c>
      <c r="O1752" s="29">
        <v>0</v>
      </c>
    </row>
    <row r="1753" spans="1:15" x14ac:dyDescent="0.3">
      <c r="A1753" s="28" t="s">
        <v>575</v>
      </c>
      <c r="B1753" s="28" t="s">
        <v>576</v>
      </c>
      <c r="C1753" s="28" t="s">
        <v>561</v>
      </c>
      <c r="D1753" s="28" t="s">
        <v>618</v>
      </c>
      <c r="E1753" s="28" t="s">
        <v>608</v>
      </c>
      <c r="F1753" s="28" t="s">
        <v>602</v>
      </c>
      <c r="G1753" s="29">
        <v>914</v>
      </c>
      <c r="H1753" s="29">
        <v>0</v>
      </c>
      <c r="I1753" s="29">
        <v>0</v>
      </c>
      <c r="J1753" s="29">
        <v>0</v>
      </c>
      <c r="K1753" s="29">
        <v>0</v>
      </c>
      <c r="L1753" s="29">
        <v>0</v>
      </c>
      <c r="M1753" s="29">
        <v>0</v>
      </c>
      <c r="N1753" s="29">
        <v>0</v>
      </c>
      <c r="O1753" s="29">
        <v>0</v>
      </c>
    </row>
    <row r="1754" spans="1:15" x14ac:dyDescent="0.3">
      <c r="A1754" s="28" t="s">
        <v>575</v>
      </c>
      <c r="B1754" s="28" t="s">
        <v>576</v>
      </c>
      <c r="C1754" s="28" t="s">
        <v>561</v>
      </c>
      <c r="D1754" s="28" t="s">
        <v>618</v>
      </c>
      <c r="E1754" s="28" t="s">
        <v>608</v>
      </c>
      <c r="F1754" s="28" t="s">
        <v>603</v>
      </c>
      <c r="G1754" s="29">
        <v>1615</v>
      </c>
      <c r="H1754" s="29">
        <v>0</v>
      </c>
      <c r="I1754" s="29">
        <v>0</v>
      </c>
      <c r="J1754" s="29">
        <v>0</v>
      </c>
      <c r="K1754" s="29">
        <v>0</v>
      </c>
      <c r="L1754" s="29">
        <v>0</v>
      </c>
      <c r="M1754" s="29">
        <v>0</v>
      </c>
      <c r="N1754" s="29">
        <v>0</v>
      </c>
      <c r="O1754" s="29">
        <v>0</v>
      </c>
    </row>
    <row r="1755" spans="1:15" x14ac:dyDescent="0.3">
      <c r="A1755" s="28" t="s">
        <v>575</v>
      </c>
      <c r="B1755" s="28" t="s">
        <v>576</v>
      </c>
      <c r="C1755" s="28" t="s">
        <v>561</v>
      </c>
      <c r="D1755" s="28" t="s">
        <v>618</v>
      </c>
      <c r="E1755" s="28" t="s">
        <v>608</v>
      </c>
      <c r="F1755" s="28" t="s">
        <v>604</v>
      </c>
      <c r="G1755" s="29">
        <v>1560</v>
      </c>
      <c r="H1755" s="29">
        <v>6</v>
      </c>
      <c r="I1755" s="29">
        <v>0</v>
      </c>
      <c r="J1755" s="29">
        <v>0</v>
      </c>
      <c r="K1755" s="29">
        <v>0</v>
      </c>
      <c r="L1755" s="29">
        <v>0</v>
      </c>
      <c r="M1755" s="29">
        <v>0</v>
      </c>
      <c r="N1755" s="29">
        <v>0</v>
      </c>
      <c r="O1755" s="29">
        <v>0</v>
      </c>
    </row>
    <row r="1756" spans="1:15" x14ac:dyDescent="0.3">
      <c r="A1756" s="28" t="s">
        <v>575</v>
      </c>
      <c r="B1756" s="28" t="s">
        <v>576</v>
      </c>
      <c r="C1756" s="28" t="s">
        <v>561</v>
      </c>
      <c r="D1756" s="28" t="s">
        <v>618</v>
      </c>
      <c r="E1756" s="28" t="s">
        <v>608</v>
      </c>
      <c r="F1756" s="28" t="s">
        <v>581</v>
      </c>
      <c r="G1756" s="29">
        <v>406</v>
      </c>
      <c r="H1756" s="29">
        <v>0</v>
      </c>
      <c r="I1756" s="29">
        <v>0</v>
      </c>
      <c r="J1756" s="29">
        <v>0</v>
      </c>
      <c r="K1756" s="29">
        <v>0</v>
      </c>
      <c r="L1756" s="29">
        <v>0</v>
      </c>
      <c r="M1756" s="29">
        <v>0</v>
      </c>
      <c r="N1756" s="29">
        <v>0</v>
      </c>
      <c r="O1756" s="29">
        <v>0</v>
      </c>
    </row>
    <row r="1757" spans="1:15" x14ac:dyDescent="0.3">
      <c r="A1757" s="28" t="s">
        <v>575</v>
      </c>
      <c r="B1757" s="28" t="s">
        <v>576</v>
      </c>
      <c r="C1757" s="28" t="s">
        <v>561</v>
      </c>
      <c r="D1757" s="28" t="s">
        <v>618</v>
      </c>
      <c r="E1757" s="28" t="s">
        <v>608</v>
      </c>
      <c r="F1757" s="28" t="s">
        <v>582</v>
      </c>
      <c r="G1757" s="29">
        <v>156</v>
      </c>
      <c r="H1757" s="29">
        <v>0</v>
      </c>
      <c r="I1757" s="29">
        <v>0</v>
      </c>
      <c r="J1757" s="29">
        <v>0</v>
      </c>
      <c r="K1757" s="29">
        <v>0</v>
      </c>
      <c r="L1757" s="29">
        <v>0</v>
      </c>
      <c r="M1757" s="29">
        <v>0</v>
      </c>
      <c r="N1757" s="29">
        <v>0</v>
      </c>
      <c r="O1757" s="29">
        <v>0</v>
      </c>
    </row>
    <row r="1758" spans="1:15" x14ac:dyDescent="0.3">
      <c r="A1758" s="28" t="s">
        <v>575</v>
      </c>
      <c r="B1758" s="28" t="s">
        <v>576</v>
      </c>
      <c r="C1758" s="28" t="s">
        <v>561</v>
      </c>
      <c r="D1758" s="28" t="s">
        <v>618</v>
      </c>
      <c r="E1758" s="28" t="s">
        <v>608</v>
      </c>
      <c r="F1758" s="28" t="s">
        <v>583</v>
      </c>
      <c r="G1758" s="29">
        <v>40</v>
      </c>
      <c r="H1758" s="29">
        <v>0</v>
      </c>
      <c r="I1758" s="29">
        <v>0</v>
      </c>
      <c r="J1758" s="29">
        <v>0</v>
      </c>
      <c r="K1758" s="29">
        <v>0</v>
      </c>
      <c r="L1758" s="29">
        <v>0</v>
      </c>
      <c r="M1758" s="29">
        <v>0</v>
      </c>
      <c r="N1758" s="29">
        <v>0</v>
      </c>
      <c r="O1758" s="29">
        <v>0</v>
      </c>
    </row>
    <row r="1759" spans="1:15" x14ac:dyDescent="0.3">
      <c r="A1759" s="28" t="s">
        <v>575</v>
      </c>
      <c r="B1759" s="28" t="s">
        <v>576</v>
      </c>
      <c r="C1759" s="28" t="s">
        <v>561</v>
      </c>
      <c r="D1759" s="28" t="s">
        <v>618</v>
      </c>
      <c r="E1759" s="28" t="s">
        <v>608</v>
      </c>
      <c r="F1759" s="28" t="s">
        <v>584</v>
      </c>
      <c r="G1759" s="29">
        <v>41</v>
      </c>
      <c r="H1759" s="29">
        <v>0</v>
      </c>
      <c r="I1759" s="29">
        <v>0</v>
      </c>
      <c r="J1759" s="29">
        <v>0</v>
      </c>
      <c r="K1759" s="29">
        <v>0</v>
      </c>
      <c r="L1759" s="29">
        <v>0</v>
      </c>
      <c r="M1759" s="29">
        <v>0</v>
      </c>
      <c r="N1759" s="29">
        <v>0</v>
      </c>
      <c r="O1759" s="29">
        <v>0</v>
      </c>
    </row>
    <row r="1760" spans="1:15" x14ac:dyDescent="0.3">
      <c r="A1760" s="28" t="s">
        <v>575</v>
      </c>
      <c r="B1760" s="28" t="s">
        <v>576</v>
      </c>
      <c r="C1760" s="28" t="s">
        <v>561</v>
      </c>
      <c r="D1760" s="28" t="s">
        <v>618</v>
      </c>
      <c r="E1760" s="28" t="s">
        <v>608</v>
      </c>
      <c r="F1760" s="28" t="s">
        <v>585</v>
      </c>
      <c r="G1760" s="29">
        <v>188</v>
      </c>
      <c r="H1760" s="29">
        <v>0</v>
      </c>
      <c r="I1760" s="29">
        <v>0</v>
      </c>
      <c r="J1760" s="29">
        <v>0</v>
      </c>
      <c r="K1760" s="29">
        <v>0</v>
      </c>
      <c r="L1760" s="29">
        <v>0</v>
      </c>
      <c r="M1760" s="29">
        <v>0</v>
      </c>
      <c r="N1760" s="29">
        <v>0</v>
      </c>
      <c r="O1760" s="29">
        <v>0</v>
      </c>
    </row>
    <row r="1761" spans="1:15" x14ac:dyDescent="0.3">
      <c r="A1761" s="28" t="s">
        <v>575</v>
      </c>
      <c r="B1761" s="28" t="s">
        <v>576</v>
      </c>
      <c r="C1761" s="28" t="s">
        <v>561</v>
      </c>
      <c r="D1761" s="28" t="s">
        <v>618</v>
      </c>
      <c r="E1761" s="28" t="s">
        <v>608</v>
      </c>
      <c r="F1761" s="28" t="s">
        <v>586</v>
      </c>
      <c r="G1761" s="29">
        <v>434</v>
      </c>
      <c r="H1761" s="29">
        <v>0</v>
      </c>
      <c r="I1761" s="29">
        <v>0</v>
      </c>
      <c r="J1761" s="29">
        <v>0</v>
      </c>
      <c r="K1761" s="29">
        <v>0</v>
      </c>
      <c r="L1761" s="29">
        <v>0</v>
      </c>
      <c r="M1761" s="29">
        <v>0</v>
      </c>
      <c r="N1761" s="29">
        <v>0</v>
      </c>
      <c r="O1761" s="29">
        <v>0</v>
      </c>
    </row>
    <row r="1762" spans="1:15" x14ac:dyDescent="0.3">
      <c r="A1762" s="28" t="s">
        <v>575</v>
      </c>
      <c r="B1762" s="28" t="s">
        <v>576</v>
      </c>
      <c r="C1762" s="28" t="s">
        <v>561</v>
      </c>
      <c r="D1762" s="28" t="s">
        <v>618</v>
      </c>
      <c r="E1762" s="28" t="s">
        <v>608</v>
      </c>
      <c r="F1762" s="28" t="s">
        <v>587</v>
      </c>
      <c r="G1762" s="29">
        <v>1062</v>
      </c>
      <c r="H1762" s="29">
        <v>0</v>
      </c>
      <c r="I1762" s="29">
        <v>0</v>
      </c>
      <c r="J1762" s="29">
        <v>0</v>
      </c>
      <c r="K1762" s="29">
        <v>0</v>
      </c>
      <c r="L1762" s="29">
        <v>0</v>
      </c>
      <c r="M1762" s="29">
        <v>0</v>
      </c>
      <c r="N1762" s="29">
        <v>0</v>
      </c>
      <c r="O1762" s="29">
        <v>0</v>
      </c>
    </row>
    <row r="1763" spans="1:15" x14ac:dyDescent="0.3">
      <c r="A1763" s="28" t="s">
        <v>575</v>
      </c>
      <c r="B1763" s="28" t="s">
        <v>576</v>
      </c>
      <c r="C1763" s="28" t="s">
        <v>561</v>
      </c>
      <c r="D1763" s="28" t="s">
        <v>618</v>
      </c>
      <c r="E1763" s="28" t="s">
        <v>608</v>
      </c>
      <c r="F1763" s="28" t="s">
        <v>579</v>
      </c>
      <c r="G1763" s="29">
        <v>2714</v>
      </c>
      <c r="H1763" s="29">
        <v>1</v>
      </c>
      <c r="I1763" s="29">
        <v>1</v>
      </c>
      <c r="J1763" s="29">
        <v>0</v>
      </c>
      <c r="K1763" s="29">
        <v>1</v>
      </c>
      <c r="L1763" s="29">
        <v>0</v>
      </c>
      <c r="M1763" s="29">
        <v>0</v>
      </c>
      <c r="N1763" s="29">
        <v>0</v>
      </c>
      <c r="O1763" s="29">
        <v>0</v>
      </c>
    </row>
    <row r="1764" spans="1:15" x14ac:dyDescent="0.3">
      <c r="A1764" s="28" t="s">
        <v>575</v>
      </c>
      <c r="B1764" s="28" t="s">
        <v>576</v>
      </c>
      <c r="C1764" s="28" t="s">
        <v>561</v>
      </c>
      <c r="D1764" s="28" t="s">
        <v>618</v>
      </c>
      <c r="E1764" s="28" t="s">
        <v>608</v>
      </c>
      <c r="F1764" s="28" t="s">
        <v>588</v>
      </c>
      <c r="G1764" s="29">
        <v>3510</v>
      </c>
      <c r="H1764" s="29">
        <v>3</v>
      </c>
      <c r="I1764" s="29">
        <v>2</v>
      </c>
      <c r="J1764" s="29">
        <v>1</v>
      </c>
      <c r="K1764" s="29">
        <v>1</v>
      </c>
      <c r="L1764" s="29">
        <v>0</v>
      </c>
      <c r="M1764" s="29">
        <v>0</v>
      </c>
      <c r="N1764" s="29">
        <v>0</v>
      </c>
      <c r="O1764" s="29">
        <v>0</v>
      </c>
    </row>
    <row r="1765" spans="1:15" x14ac:dyDescent="0.3">
      <c r="A1765" s="28" t="s">
        <v>575</v>
      </c>
      <c r="B1765" s="28" t="s">
        <v>576</v>
      </c>
      <c r="C1765" s="28" t="s">
        <v>561</v>
      </c>
      <c r="D1765" s="28" t="s">
        <v>618</v>
      </c>
      <c r="E1765" s="28" t="s">
        <v>608</v>
      </c>
      <c r="F1765" s="28" t="s">
        <v>589</v>
      </c>
      <c r="G1765" s="29">
        <v>1229</v>
      </c>
      <c r="H1765" s="29">
        <v>2</v>
      </c>
      <c r="I1765" s="29">
        <v>0</v>
      </c>
      <c r="J1765" s="29">
        <v>0</v>
      </c>
      <c r="K1765" s="29">
        <v>0</v>
      </c>
      <c r="L1765" s="29">
        <v>0</v>
      </c>
      <c r="M1765" s="29">
        <v>0</v>
      </c>
      <c r="N1765" s="29">
        <v>0</v>
      </c>
      <c r="O1765" s="29">
        <v>0</v>
      </c>
    </row>
    <row r="1766" spans="1:15" x14ac:dyDescent="0.3">
      <c r="A1766" s="28" t="s">
        <v>575</v>
      </c>
      <c r="B1766" s="28" t="s">
        <v>576</v>
      </c>
      <c r="C1766" s="28" t="s">
        <v>561</v>
      </c>
      <c r="D1766" s="28" t="s">
        <v>618</v>
      </c>
      <c r="E1766" s="28" t="s">
        <v>608</v>
      </c>
      <c r="F1766" s="28" t="s">
        <v>590</v>
      </c>
      <c r="G1766" s="29">
        <v>147</v>
      </c>
      <c r="H1766" s="29">
        <v>1</v>
      </c>
      <c r="I1766" s="29">
        <v>2</v>
      </c>
      <c r="J1766" s="29">
        <v>1</v>
      </c>
      <c r="K1766" s="29">
        <v>1</v>
      </c>
      <c r="L1766" s="29">
        <v>0</v>
      </c>
      <c r="M1766" s="29">
        <v>0</v>
      </c>
      <c r="N1766" s="29">
        <v>0</v>
      </c>
      <c r="O1766" s="29">
        <v>0</v>
      </c>
    </row>
    <row r="1767" spans="1:15" x14ac:dyDescent="0.3">
      <c r="A1767" s="28" t="s">
        <v>575</v>
      </c>
      <c r="B1767" s="28" t="s">
        <v>576</v>
      </c>
      <c r="C1767" s="28" t="s">
        <v>561</v>
      </c>
      <c r="D1767" s="28" t="s">
        <v>618</v>
      </c>
      <c r="E1767" s="28" t="s">
        <v>608</v>
      </c>
      <c r="F1767" s="28" t="s">
        <v>591</v>
      </c>
      <c r="G1767" s="29">
        <v>138</v>
      </c>
      <c r="H1767" s="29">
        <v>0</v>
      </c>
      <c r="I1767" s="29">
        <v>0</v>
      </c>
      <c r="J1767" s="29">
        <v>0</v>
      </c>
      <c r="K1767" s="29">
        <v>0</v>
      </c>
      <c r="L1767" s="29">
        <v>0</v>
      </c>
      <c r="M1767" s="29">
        <v>0</v>
      </c>
      <c r="N1767" s="29">
        <v>0</v>
      </c>
      <c r="O1767" s="29">
        <v>0</v>
      </c>
    </row>
    <row r="1768" spans="1:15" x14ac:dyDescent="0.3">
      <c r="A1768" s="28" t="s">
        <v>575</v>
      </c>
      <c r="B1768" s="28" t="s">
        <v>576</v>
      </c>
      <c r="C1768" s="28" t="s">
        <v>561</v>
      </c>
      <c r="D1768" s="28" t="s">
        <v>618</v>
      </c>
      <c r="E1768" s="28" t="s">
        <v>608</v>
      </c>
      <c r="F1768" s="28" t="s">
        <v>592</v>
      </c>
      <c r="G1768" s="29">
        <v>141</v>
      </c>
      <c r="H1768" s="29">
        <v>0</v>
      </c>
      <c r="I1768" s="29">
        <v>0</v>
      </c>
      <c r="J1768" s="29">
        <v>0</v>
      </c>
      <c r="K1768" s="29">
        <v>0</v>
      </c>
      <c r="L1768" s="29">
        <v>0</v>
      </c>
      <c r="M1768" s="29">
        <v>0</v>
      </c>
      <c r="N1768" s="29">
        <v>0</v>
      </c>
      <c r="O1768" s="29">
        <v>0</v>
      </c>
    </row>
    <row r="1769" spans="1:15" x14ac:dyDescent="0.3">
      <c r="A1769" s="28" t="s">
        <v>575</v>
      </c>
      <c r="B1769" s="28" t="s">
        <v>576</v>
      </c>
      <c r="C1769" s="28" t="s">
        <v>561</v>
      </c>
      <c r="D1769" s="28" t="s">
        <v>618</v>
      </c>
      <c r="E1769" s="28" t="s">
        <v>608</v>
      </c>
      <c r="F1769" s="28" t="s">
        <v>593</v>
      </c>
      <c r="G1769" s="29">
        <v>328</v>
      </c>
      <c r="H1769" s="29">
        <v>2</v>
      </c>
      <c r="I1769" s="29">
        <v>1</v>
      </c>
      <c r="J1769" s="29">
        <v>0</v>
      </c>
      <c r="K1769" s="29">
        <v>1</v>
      </c>
      <c r="L1769" s="29">
        <v>0</v>
      </c>
      <c r="M1769" s="29">
        <v>0</v>
      </c>
      <c r="N1769" s="29">
        <v>0</v>
      </c>
      <c r="O1769" s="29">
        <v>0</v>
      </c>
    </row>
    <row r="1770" spans="1:15" x14ac:dyDescent="0.3">
      <c r="A1770" s="28" t="s">
        <v>575</v>
      </c>
      <c r="B1770" s="28" t="s">
        <v>576</v>
      </c>
      <c r="C1770" s="28" t="s">
        <v>561</v>
      </c>
      <c r="D1770" s="28" t="s">
        <v>618</v>
      </c>
      <c r="E1770" s="28" t="s">
        <v>608</v>
      </c>
      <c r="F1770" s="28" t="s">
        <v>594</v>
      </c>
      <c r="G1770" s="29">
        <v>587</v>
      </c>
      <c r="H1770" s="29">
        <v>0</v>
      </c>
      <c r="I1770" s="29">
        <v>2</v>
      </c>
      <c r="J1770" s="29">
        <v>0</v>
      </c>
      <c r="K1770" s="29">
        <v>2</v>
      </c>
      <c r="L1770" s="29">
        <v>0</v>
      </c>
      <c r="M1770" s="29">
        <v>0</v>
      </c>
      <c r="N1770" s="29">
        <v>0</v>
      </c>
      <c r="O1770" s="29">
        <v>0</v>
      </c>
    </row>
    <row r="1771" spans="1:15" x14ac:dyDescent="0.3">
      <c r="A1771" s="28" t="s">
        <v>575</v>
      </c>
      <c r="B1771" s="28" t="s">
        <v>576</v>
      </c>
      <c r="C1771" s="28" t="s">
        <v>561</v>
      </c>
      <c r="D1771" s="28" t="s">
        <v>618</v>
      </c>
      <c r="E1771" s="28" t="s">
        <v>608</v>
      </c>
      <c r="F1771" s="28" t="s">
        <v>595</v>
      </c>
      <c r="G1771" s="29">
        <v>424</v>
      </c>
      <c r="H1771" s="29">
        <v>1</v>
      </c>
      <c r="I1771" s="29">
        <v>0</v>
      </c>
      <c r="J1771" s="29">
        <v>0</v>
      </c>
      <c r="K1771" s="29">
        <v>0</v>
      </c>
      <c r="L1771" s="29">
        <v>0</v>
      </c>
      <c r="M1771" s="29">
        <v>0</v>
      </c>
      <c r="N1771" s="29">
        <v>0</v>
      </c>
      <c r="O1771" s="29">
        <v>0</v>
      </c>
    </row>
    <row r="1772" spans="1:15" x14ac:dyDescent="0.3">
      <c r="A1772" s="28" t="s">
        <v>575</v>
      </c>
      <c r="B1772" s="28" t="s">
        <v>576</v>
      </c>
      <c r="C1772" s="28" t="s">
        <v>561</v>
      </c>
      <c r="D1772" s="28" t="s">
        <v>618</v>
      </c>
      <c r="E1772" s="28" t="s">
        <v>609</v>
      </c>
      <c r="F1772" s="28" t="s">
        <v>597</v>
      </c>
      <c r="G1772" s="29">
        <v>317</v>
      </c>
      <c r="H1772" s="29">
        <v>0</v>
      </c>
      <c r="I1772" s="29">
        <v>0</v>
      </c>
      <c r="J1772" s="29">
        <v>0</v>
      </c>
      <c r="K1772" s="29">
        <v>0</v>
      </c>
      <c r="L1772" s="29">
        <v>0</v>
      </c>
      <c r="M1772" s="29">
        <v>0</v>
      </c>
      <c r="N1772" s="29">
        <v>0</v>
      </c>
      <c r="O1772" s="29">
        <v>0</v>
      </c>
    </row>
    <row r="1773" spans="1:15" x14ac:dyDescent="0.3">
      <c r="A1773" s="28" t="s">
        <v>575</v>
      </c>
      <c r="B1773" s="28" t="s">
        <v>576</v>
      </c>
      <c r="C1773" s="28" t="s">
        <v>561</v>
      </c>
      <c r="D1773" s="28" t="s">
        <v>618</v>
      </c>
      <c r="E1773" s="28" t="s">
        <v>609</v>
      </c>
      <c r="F1773" s="28" t="s">
        <v>598</v>
      </c>
      <c r="G1773" s="29">
        <v>180</v>
      </c>
      <c r="H1773" s="29">
        <v>0</v>
      </c>
      <c r="I1773" s="29">
        <v>0</v>
      </c>
      <c r="J1773" s="29">
        <v>0</v>
      </c>
      <c r="K1773" s="29">
        <v>0</v>
      </c>
      <c r="L1773" s="29">
        <v>0</v>
      </c>
      <c r="M1773" s="29">
        <v>0</v>
      </c>
      <c r="N1773" s="29">
        <v>0</v>
      </c>
      <c r="O1773" s="29">
        <v>0</v>
      </c>
    </row>
    <row r="1774" spans="1:15" x14ac:dyDescent="0.3">
      <c r="A1774" s="28" t="s">
        <v>575</v>
      </c>
      <c r="B1774" s="28" t="s">
        <v>576</v>
      </c>
      <c r="C1774" s="28" t="s">
        <v>561</v>
      </c>
      <c r="D1774" s="28" t="s">
        <v>618</v>
      </c>
      <c r="E1774" s="28" t="s">
        <v>609</v>
      </c>
      <c r="F1774" s="28" t="s">
        <v>599</v>
      </c>
      <c r="G1774" s="29">
        <v>116</v>
      </c>
      <c r="H1774" s="29">
        <v>0</v>
      </c>
      <c r="I1774" s="29">
        <v>0</v>
      </c>
      <c r="J1774" s="29">
        <v>0</v>
      </c>
      <c r="K1774" s="29">
        <v>0</v>
      </c>
      <c r="L1774" s="29">
        <v>0</v>
      </c>
      <c r="M1774" s="29">
        <v>0</v>
      </c>
      <c r="N1774" s="29">
        <v>0</v>
      </c>
      <c r="O1774" s="29">
        <v>0</v>
      </c>
    </row>
    <row r="1775" spans="1:15" x14ac:dyDescent="0.3">
      <c r="A1775" s="28" t="s">
        <v>575</v>
      </c>
      <c r="B1775" s="28" t="s">
        <v>576</v>
      </c>
      <c r="C1775" s="28" t="s">
        <v>561</v>
      </c>
      <c r="D1775" s="28" t="s">
        <v>618</v>
      </c>
      <c r="E1775" s="28" t="s">
        <v>609</v>
      </c>
      <c r="F1775" s="28" t="s">
        <v>600</v>
      </c>
      <c r="G1775" s="29">
        <v>92</v>
      </c>
      <c r="H1775" s="29">
        <v>0</v>
      </c>
      <c r="I1775" s="29">
        <v>0</v>
      </c>
      <c r="J1775" s="29">
        <v>0</v>
      </c>
      <c r="K1775" s="29">
        <v>0</v>
      </c>
      <c r="L1775" s="29">
        <v>0</v>
      </c>
      <c r="M1775" s="29">
        <v>0</v>
      </c>
      <c r="N1775" s="29">
        <v>0</v>
      </c>
      <c r="O1775" s="29">
        <v>0</v>
      </c>
    </row>
    <row r="1776" spans="1:15" x14ac:dyDescent="0.3">
      <c r="A1776" s="28" t="s">
        <v>575</v>
      </c>
      <c r="B1776" s="28" t="s">
        <v>576</v>
      </c>
      <c r="C1776" s="28" t="s">
        <v>561</v>
      </c>
      <c r="D1776" s="28" t="s">
        <v>618</v>
      </c>
      <c r="E1776" s="28" t="s">
        <v>609</v>
      </c>
      <c r="F1776" s="28" t="s">
        <v>601</v>
      </c>
      <c r="G1776" s="29">
        <v>131</v>
      </c>
      <c r="H1776" s="29">
        <v>0</v>
      </c>
      <c r="I1776" s="29">
        <v>0</v>
      </c>
      <c r="J1776" s="29">
        <v>0</v>
      </c>
      <c r="K1776" s="29">
        <v>0</v>
      </c>
      <c r="L1776" s="29">
        <v>0</v>
      </c>
      <c r="M1776" s="29">
        <v>0</v>
      </c>
      <c r="N1776" s="29">
        <v>0</v>
      </c>
      <c r="O1776" s="29">
        <v>0</v>
      </c>
    </row>
    <row r="1777" spans="1:15" x14ac:dyDescent="0.3">
      <c r="A1777" s="28" t="s">
        <v>575</v>
      </c>
      <c r="B1777" s="28" t="s">
        <v>576</v>
      </c>
      <c r="C1777" s="28" t="s">
        <v>561</v>
      </c>
      <c r="D1777" s="28" t="s">
        <v>618</v>
      </c>
      <c r="E1777" s="28" t="s">
        <v>609</v>
      </c>
      <c r="F1777" s="28" t="s">
        <v>602</v>
      </c>
      <c r="G1777" s="29">
        <v>640</v>
      </c>
      <c r="H1777" s="29">
        <v>0</v>
      </c>
      <c r="I1777" s="29">
        <v>0</v>
      </c>
      <c r="J1777" s="29">
        <v>0</v>
      </c>
      <c r="K1777" s="29">
        <v>0</v>
      </c>
      <c r="L1777" s="29">
        <v>0</v>
      </c>
      <c r="M1777" s="29">
        <v>0</v>
      </c>
      <c r="N1777" s="29">
        <v>0</v>
      </c>
      <c r="O1777" s="29">
        <v>0</v>
      </c>
    </row>
    <row r="1778" spans="1:15" x14ac:dyDescent="0.3">
      <c r="A1778" s="28" t="s">
        <v>575</v>
      </c>
      <c r="B1778" s="28" t="s">
        <v>576</v>
      </c>
      <c r="C1778" s="28" t="s">
        <v>561</v>
      </c>
      <c r="D1778" s="28" t="s">
        <v>618</v>
      </c>
      <c r="E1778" s="28" t="s">
        <v>609</v>
      </c>
      <c r="F1778" s="28" t="s">
        <v>603</v>
      </c>
      <c r="G1778" s="29">
        <v>1599</v>
      </c>
      <c r="H1778" s="29">
        <v>1</v>
      </c>
      <c r="I1778" s="29">
        <v>0</v>
      </c>
      <c r="J1778" s="29">
        <v>0</v>
      </c>
      <c r="K1778" s="29">
        <v>0</v>
      </c>
      <c r="L1778" s="29">
        <v>0</v>
      </c>
      <c r="M1778" s="29">
        <v>0</v>
      </c>
      <c r="N1778" s="29">
        <v>0</v>
      </c>
      <c r="O1778" s="29">
        <v>0</v>
      </c>
    </row>
    <row r="1779" spans="1:15" x14ac:dyDescent="0.3">
      <c r="A1779" s="28" t="s">
        <v>575</v>
      </c>
      <c r="B1779" s="28" t="s">
        <v>576</v>
      </c>
      <c r="C1779" s="28" t="s">
        <v>561</v>
      </c>
      <c r="D1779" s="28" t="s">
        <v>618</v>
      </c>
      <c r="E1779" s="28" t="s">
        <v>609</v>
      </c>
      <c r="F1779" s="28" t="s">
        <v>604</v>
      </c>
      <c r="G1779" s="29">
        <v>2252</v>
      </c>
      <c r="H1779" s="29">
        <v>1</v>
      </c>
      <c r="I1779" s="29">
        <v>2</v>
      </c>
      <c r="J1779" s="29">
        <v>1</v>
      </c>
      <c r="K1779" s="29">
        <v>1</v>
      </c>
      <c r="L1779" s="29">
        <v>0</v>
      </c>
      <c r="M1779" s="29">
        <v>0</v>
      </c>
      <c r="N1779" s="29">
        <v>0</v>
      </c>
      <c r="O1779" s="29">
        <v>0</v>
      </c>
    </row>
    <row r="1780" spans="1:15" x14ac:dyDescent="0.3">
      <c r="A1780" s="28" t="s">
        <v>575</v>
      </c>
      <c r="B1780" s="28" t="s">
        <v>576</v>
      </c>
      <c r="C1780" s="28" t="s">
        <v>561</v>
      </c>
      <c r="D1780" s="28" t="s">
        <v>618</v>
      </c>
      <c r="E1780" s="28" t="s">
        <v>609</v>
      </c>
      <c r="F1780" s="28" t="s">
        <v>581</v>
      </c>
      <c r="G1780" s="29">
        <v>1113</v>
      </c>
      <c r="H1780" s="29">
        <v>1</v>
      </c>
      <c r="I1780" s="29">
        <v>3</v>
      </c>
      <c r="J1780" s="29">
        <v>1</v>
      </c>
      <c r="K1780" s="29">
        <v>2</v>
      </c>
      <c r="L1780" s="29">
        <v>500</v>
      </c>
      <c r="M1780" s="29">
        <v>0</v>
      </c>
      <c r="N1780" s="29">
        <v>500</v>
      </c>
      <c r="O1780" s="29">
        <v>0</v>
      </c>
    </row>
    <row r="1781" spans="1:15" x14ac:dyDescent="0.3">
      <c r="A1781" s="28" t="s">
        <v>575</v>
      </c>
      <c r="B1781" s="28" t="s">
        <v>576</v>
      </c>
      <c r="C1781" s="28" t="s">
        <v>561</v>
      </c>
      <c r="D1781" s="28" t="s">
        <v>618</v>
      </c>
      <c r="E1781" s="28" t="s">
        <v>609</v>
      </c>
      <c r="F1781" s="28" t="s">
        <v>582</v>
      </c>
      <c r="G1781" s="29">
        <v>243</v>
      </c>
      <c r="H1781" s="29">
        <v>0</v>
      </c>
      <c r="I1781" s="29">
        <v>0</v>
      </c>
      <c r="J1781" s="29">
        <v>0</v>
      </c>
      <c r="K1781" s="29">
        <v>0</v>
      </c>
      <c r="L1781" s="29">
        <v>0</v>
      </c>
      <c r="M1781" s="29">
        <v>0</v>
      </c>
      <c r="N1781" s="29">
        <v>0</v>
      </c>
      <c r="O1781" s="29">
        <v>0</v>
      </c>
    </row>
    <row r="1782" spans="1:15" x14ac:dyDescent="0.3">
      <c r="A1782" s="28" t="s">
        <v>575</v>
      </c>
      <c r="B1782" s="28" t="s">
        <v>576</v>
      </c>
      <c r="C1782" s="28" t="s">
        <v>561</v>
      </c>
      <c r="D1782" s="28" t="s">
        <v>618</v>
      </c>
      <c r="E1782" s="28" t="s">
        <v>609</v>
      </c>
      <c r="F1782" s="28" t="s">
        <v>583</v>
      </c>
      <c r="G1782" s="29">
        <v>8</v>
      </c>
      <c r="H1782" s="29">
        <v>0</v>
      </c>
      <c r="I1782" s="29">
        <v>0</v>
      </c>
      <c r="J1782" s="29">
        <v>0</v>
      </c>
      <c r="K1782" s="29">
        <v>0</v>
      </c>
      <c r="L1782" s="29">
        <v>0</v>
      </c>
      <c r="M1782" s="29">
        <v>0</v>
      </c>
      <c r="N1782" s="29">
        <v>0</v>
      </c>
      <c r="O1782" s="29">
        <v>0</v>
      </c>
    </row>
    <row r="1783" spans="1:15" x14ac:dyDescent="0.3">
      <c r="A1783" s="28" t="s">
        <v>575</v>
      </c>
      <c r="B1783" s="28" t="s">
        <v>576</v>
      </c>
      <c r="C1783" s="28" t="s">
        <v>561</v>
      </c>
      <c r="D1783" s="28" t="s">
        <v>618</v>
      </c>
      <c r="E1783" s="28" t="s">
        <v>609</v>
      </c>
      <c r="F1783" s="28" t="s">
        <v>585</v>
      </c>
      <c r="G1783" s="29">
        <v>5</v>
      </c>
      <c r="H1783" s="29">
        <v>0</v>
      </c>
      <c r="I1783" s="29">
        <v>0</v>
      </c>
      <c r="J1783" s="29">
        <v>0</v>
      </c>
      <c r="K1783" s="29">
        <v>0</v>
      </c>
      <c r="L1783" s="29">
        <v>0</v>
      </c>
      <c r="M1783" s="29">
        <v>0</v>
      </c>
      <c r="N1783" s="29">
        <v>0</v>
      </c>
      <c r="O1783" s="29">
        <v>0</v>
      </c>
    </row>
    <row r="1784" spans="1:15" x14ac:dyDescent="0.3">
      <c r="A1784" s="28" t="s">
        <v>575</v>
      </c>
      <c r="B1784" s="28" t="s">
        <v>576</v>
      </c>
      <c r="C1784" s="28" t="s">
        <v>561</v>
      </c>
      <c r="D1784" s="28" t="s">
        <v>618</v>
      </c>
      <c r="E1784" s="28" t="s">
        <v>609</v>
      </c>
      <c r="F1784" s="28" t="s">
        <v>586</v>
      </c>
      <c r="G1784" s="29">
        <v>54</v>
      </c>
      <c r="H1784" s="29">
        <v>0</v>
      </c>
      <c r="I1784" s="29">
        <v>3</v>
      </c>
      <c r="J1784" s="29">
        <v>0</v>
      </c>
      <c r="K1784" s="29">
        <v>3</v>
      </c>
      <c r="L1784" s="29">
        <v>0</v>
      </c>
      <c r="M1784" s="29">
        <v>0</v>
      </c>
      <c r="N1784" s="29">
        <v>0</v>
      </c>
      <c r="O1784" s="29">
        <v>0</v>
      </c>
    </row>
    <row r="1785" spans="1:15" x14ac:dyDescent="0.3">
      <c r="A1785" s="28" t="s">
        <v>575</v>
      </c>
      <c r="B1785" s="28" t="s">
        <v>576</v>
      </c>
      <c r="C1785" s="28" t="s">
        <v>561</v>
      </c>
      <c r="D1785" s="28" t="s">
        <v>618</v>
      </c>
      <c r="E1785" s="28" t="s">
        <v>609</v>
      </c>
      <c r="F1785" s="28" t="s">
        <v>587</v>
      </c>
      <c r="G1785" s="29">
        <v>164</v>
      </c>
      <c r="H1785" s="29">
        <v>0</v>
      </c>
      <c r="I1785" s="29">
        <v>1</v>
      </c>
      <c r="J1785" s="29">
        <v>0</v>
      </c>
      <c r="K1785" s="29">
        <v>1</v>
      </c>
      <c r="L1785" s="29">
        <v>0</v>
      </c>
      <c r="M1785" s="29">
        <v>0</v>
      </c>
      <c r="N1785" s="29">
        <v>0</v>
      </c>
      <c r="O1785" s="29">
        <v>0</v>
      </c>
    </row>
    <row r="1786" spans="1:15" x14ac:dyDescent="0.3">
      <c r="A1786" s="28" t="s">
        <v>575</v>
      </c>
      <c r="B1786" s="28" t="s">
        <v>576</v>
      </c>
      <c r="C1786" s="28" t="s">
        <v>561</v>
      </c>
      <c r="D1786" s="28" t="s">
        <v>618</v>
      </c>
      <c r="E1786" s="28" t="s">
        <v>609</v>
      </c>
      <c r="F1786" s="28" t="s">
        <v>579</v>
      </c>
      <c r="G1786" s="29">
        <v>323</v>
      </c>
      <c r="H1786" s="29">
        <v>1</v>
      </c>
      <c r="I1786" s="29">
        <v>1</v>
      </c>
      <c r="J1786" s="29">
        <v>0</v>
      </c>
      <c r="K1786" s="29">
        <v>1</v>
      </c>
      <c r="L1786" s="29">
        <v>0</v>
      </c>
      <c r="M1786" s="29">
        <v>0</v>
      </c>
      <c r="N1786" s="29">
        <v>0</v>
      </c>
      <c r="O1786" s="29">
        <v>0</v>
      </c>
    </row>
    <row r="1787" spans="1:15" x14ac:dyDescent="0.3">
      <c r="A1787" s="28" t="s">
        <v>575</v>
      </c>
      <c r="B1787" s="28" t="s">
        <v>576</v>
      </c>
      <c r="C1787" s="28" t="s">
        <v>561</v>
      </c>
      <c r="D1787" s="28" t="s">
        <v>618</v>
      </c>
      <c r="E1787" s="28" t="s">
        <v>609</v>
      </c>
      <c r="F1787" s="28" t="s">
        <v>588</v>
      </c>
      <c r="G1787" s="29">
        <v>548</v>
      </c>
      <c r="H1787" s="29">
        <v>1</v>
      </c>
      <c r="I1787" s="29">
        <v>0</v>
      </c>
      <c r="J1787" s="29">
        <v>0</v>
      </c>
      <c r="K1787" s="29">
        <v>0</v>
      </c>
      <c r="L1787" s="29">
        <v>0</v>
      </c>
      <c r="M1787" s="29">
        <v>0</v>
      </c>
      <c r="N1787" s="29">
        <v>0</v>
      </c>
      <c r="O1787" s="29">
        <v>0</v>
      </c>
    </row>
    <row r="1788" spans="1:15" x14ac:dyDescent="0.3">
      <c r="A1788" s="28" t="s">
        <v>575</v>
      </c>
      <c r="B1788" s="28" t="s">
        <v>576</v>
      </c>
      <c r="C1788" s="28" t="s">
        <v>561</v>
      </c>
      <c r="D1788" s="28" t="s">
        <v>618</v>
      </c>
      <c r="E1788" s="28" t="s">
        <v>609</v>
      </c>
      <c r="F1788" s="28" t="s">
        <v>589</v>
      </c>
      <c r="G1788" s="29">
        <v>708</v>
      </c>
      <c r="H1788" s="29">
        <v>0</v>
      </c>
      <c r="I1788" s="29">
        <v>0</v>
      </c>
      <c r="J1788" s="29">
        <v>0</v>
      </c>
      <c r="K1788" s="29">
        <v>0</v>
      </c>
      <c r="L1788" s="29">
        <v>0</v>
      </c>
      <c r="M1788" s="29">
        <v>0</v>
      </c>
      <c r="N1788" s="29">
        <v>0</v>
      </c>
      <c r="O1788" s="29">
        <v>0</v>
      </c>
    </row>
    <row r="1789" spans="1:15" x14ac:dyDescent="0.3">
      <c r="A1789" s="28" t="s">
        <v>575</v>
      </c>
      <c r="B1789" s="28" t="s">
        <v>576</v>
      </c>
      <c r="C1789" s="28" t="s">
        <v>561</v>
      </c>
      <c r="D1789" s="28" t="s">
        <v>618</v>
      </c>
      <c r="E1789" s="28" t="s">
        <v>609</v>
      </c>
      <c r="F1789" s="28" t="s">
        <v>590</v>
      </c>
      <c r="G1789" s="29">
        <v>1044</v>
      </c>
      <c r="H1789" s="29">
        <v>1</v>
      </c>
      <c r="I1789" s="29">
        <v>1</v>
      </c>
      <c r="J1789" s="29">
        <v>0</v>
      </c>
      <c r="K1789" s="29">
        <v>1</v>
      </c>
      <c r="L1789" s="29">
        <v>100</v>
      </c>
      <c r="M1789" s="29">
        <v>0</v>
      </c>
      <c r="N1789" s="29">
        <v>100</v>
      </c>
      <c r="O1789" s="29">
        <v>0</v>
      </c>
    </row>
    <row r="1790" spans="1:15" x14ac:dyDescent="0.3">
      <c r="A1790" s="28" t="s">
        <v>575</v>
      </c>
      <c r="B1790" s="28" t="s">
        <v>576</v>
      </c>
      <c r="C1790" s="28" t="s">
        <v>561</v>
      </c>
      <c r="D1790" s="28" t="s">
        <v>618</v>
      </c>
      <c r="E1790" s="28" t="s">
        <v>609</v>
      </c>
      <c r="F1790" s="28" t="s">
        <v>591</v>
      </c>
      <c r="G1790" s="29">
        <v>1546</v>
      </c>
      <c r="H1790" s="29">
        <v>0</v>
      </c>
      <c r="I1790" s="29">
        <v>0</v>
      </c>
      <c r="J1790" s="29">
        <v>0</v>
      </c>
      <c r="K1790" s="29">
        <v>0</v>
      </c>
      <c r="L1790" s="29">
        <v>0</v>
      </c>
      <c r="M1790" s="29">
        <v>0</v>
      </c>
      <c r="N1790" s="29">
        <v>0</v>
      </c>
      <c r="O1790" s="29">
        <v>0</v>
      </c>
    </row>
    <row r="1791" spans="1:15" x14ac:dyDescent="0.3">
      <c r="A1791" s="28" t="s">
        <v>575</v>
      </c>
      <c r="B1791" s="28" t="s">
        <v>576</v>
      </c>
      <c r="C1791" s="28" t="s">
        <v>561</v>
      </c>
      <c r="D1791" s="28" t="s">
        <v>618</v>
      </c>
      <c r="E1791" s="28" t="s">
        <v>609</v>
      </c>
      <c r="F1791" s="28" t="s">
        <v>592</v>
      </c>
      <c r="G1791" s="29">
        <v>1978</v>
      </c>
      <c r="H1791" s="29">
        <v>2</v>
      </c>
      <c r="I1791" s="29">
        <v>2</v>
      </c>
      <c r="J1791" s="29">
        <v>1</v>
      </c>
      <c r="K1791" s="29">
        <v>1</v>
      </c>
      <c r="L1791" s="29">
        <v>0</v>
      </c>
      <c r="M1791" s="29">
        <v>0</v>
      </c>
      <c r="N1791" s="29">
        <v>0</v>
      </c>
      <c r="O1791" s="29">
        <v>0</v>
      </c>
    </row>
    <row r="1792" spans="1:15" x14ac:dyDescent="0.3">
      <c r="A1792" s="28" t="s">
        <v>575</v>
      </c>
      <c r="B1792" s="28" t="s">
        <v>576</v>
      </c>
      <c r="C1792" s="28" t="s">
        <v>561</v>
      </c>
      <c r="D1792" s="28" t="s">
        <v>618</v>
      </c>
      <c r="E1792" s="28" t="s">
        <v>609</v>
      </c>
      <c r="F1792" s="28" t="s">
        <v>593</v>
      </c>
      <c r="G1792" s="29">
        <v>2332</v>
      </c>
      <c r="H1792" s="29">
        <v>6</v>
      </c>
      <c r="I1792" s="29">
        <v>3</v>
      </c>
      <c r="J1792" s="29">
        <v>2</v>
      </c>
      <c r="K1792" s="29">
        <v>1</v>
      </c>
      <c r="L1792" s="29">
        <v>0</v>
      </c>
      <c r="M1792" s="29">
        <v>0</v>
      </c>
      <c r="N1792" s="29">
        <v>0</v>
      </c>
      <c r="O1792" s="29">
        <v>0</v>
      </c>
    </row>
    <row r="1793" spans="1:15" x14ac:dyDescent="0.3">
      <c r="A1793" s="28" t="s">
        <v>575</v>
      </c>
      <c r="B1793" s="28" t="s">
        <v>576</v>
      </c>
      <c r="C1793" s="28" t="s">
        <v>561</v>
      </c>
      <c r="D1793" s="28" t="s">
        <v>618</v>
      </c>
      <c r="E1793" s="28" t="s">
        <v>609</v>
      </c>
      <c r="F1793" s="28" t="s">
        <v>594</v>
      </c>
      <c r="G1793" s="29">
        <v>1448</v>
      </c>
      <c r="H1793" s="29">
        <v>0</v>
      </c>
      <c r="I1793" s="29">
        <v>0</v>
      </c>
      <c r="J1793" s="29">
        <v>0</v>
      </c>
      <c r="K1793" s="29">
        <v>0</v>
      </c>
      <c r="L1793" s="29">
        <v>0</v>
      </c>
      <c r="M1793" s="29">
        <v>0</v>
      </c>
      <c r="N1793" s="29">
        <v>0</v>
      </c>
      <c r="O1793" s="29">
        <v>0</v>
      </c>
    </row>
    <row r="1794" spans="1:15" x14ac:dyDescent="0.3">
      <c r="A1794" s="28" t="s">
        <v>575</v>
      </c>
      <c r="B1794" s="28" t="s">
        <v>576</v>
      </c>
      <c r="C1794" s="28" t="s">
        <v>561</v>
      </c>
      <c r="D1794" s="28" t="s">
        <v>618</v>
      </c>
      <c r="E1794" s="28" t="s">
        <v>609</v>
      </c>
      <c r="F1794" s="28" t="s">
        <v>595</v>
      </c>
      <c r="G1794" s="29">
        <v>308</v>
      </c>
      <c r="H1794" s="29">
        <v>0</v>
      </c>
      <c r="I1794" s="29">
        <v>0</v>
      </c>
      <c r="J1794" s="29">
        <v>0</v>
      </c>
      <c r="K1794" s="29">
        <v>0</v>
      </c>
      <c r="L1794" s="29">
        <v>0</v>
      </c>
      <c r="M1794" s="29">
        <v>0</v>
      </c>
      <c r="N1794" s="29">
        <v>0</v>
      </c>
      <c r="O1794" s="29">
        <v>0</v>
      </c>
    </row>
    <row r="1795" spans="1:15" x14ac:dyDescent="0.3">
      <c r="A1795" s="28" t="s">
        <v>575</v>
      </c>
      <c r="B1795" s="28" t="s">
        <v>576</v>
      </c>
      <c r="C1795" s="28" t="s">
        <v>561</v>
      </c>
      <c r="D1795" s="28" t="s">
        <v>618</v>
      </c>
      <c r="E1795" s="28" t="s">
        <v>610</v>
      </c>
      <c r="F1795" s="28" t="s">
        <v>597</v>
      </c>
      <c r="G1795" s="29">
        <v>102</v>
      </c>
      <c r="H1795" s="29">
        <v>0</v>
      </c>
      <c r="I1795" s="29">
        <v>0</v>
      </c>
      <c r="J1795" s="29">
        <v>0</v>
      </c>
      <c r="K1795" s="29">
        <v>0</v>
      </c>
      <c r="L1795" s="29">
        <v>0</v>
      </c>
      <c r="M1795" s="29">
        <v>0</v>
      </c>
      <c r="N1795" s="29">
        <v>0</v>
      </c>
      <c r="O1795" s="29">
        <v>0</v>
      </c>
    </row>
    <row r="1796" spans="1:15" x14ac:dyDescent="0.3">
      <c r="A1796" s="28" t="s">
        <v>575</v>
      </c>
      <c r="B1796" s="28" t="s">
        <v>576</v>
      </c>
      <c r="C1796" s="28" t="s">
        <v>561</v>
      </c>
      <c r="D1796" s="28" t="s">
        <v>618</v>
      </c>
      <c r="E1796" s="28" t="s">
        <v>610</v>
      </c>
      <c r="F1796" s="28" t="s">
        <v>598</v>
      </c>
      <c r="G1796" s="29">
        <v>35</v>
      </c>
      <c r="H1796" s="29">
        <v>0</v>
      </c>
      <c r="I1796" s="29">
        <v>0</v>
      </c>
      <c r="J1796" s="29">
        <v>0</v>
      </c>
      <c r="K1796" s="29">
        <v>0</v>
      </c>
      <c r="L1796" s="29">
        <v>0</v>
      </c>
      <c r="M1796" s="29">
        <v>0</v>
      </c>
      <c r="N1796" s="29">
        <v>0</v>
      </c>
      <c r="O1796" s="29">
        <v>0</v>
      </c>
    </row>
    <row r="1797" spans="1:15" x14ac:dyDescent="0.3">
      <c r="A1797" s="28" t="s">
        <v>575</v>
      </c>
      <c r="B1797" s="28" t="s">
        <v>576</v>
      </c>
      <c r="C1797" s="28" t="s">
        <v>561</v>
      </c>
      <c r="D1797" s="28" t="s">
        <v>618</v>
      </c>
      <c r="E1797" s="28" t="s">
        <v>610</v>
      </c>
      <c r="F1797" s="28" t="s">
        <v>599</v>
      </c>
      <c r="G1797" s="29">
        <v>20</v>
      </c>
      <c r="H1797" s="29">
        <v>0</v>
      </c>
      <c r="I1797" s="29">
        <v>0</v>
      </c>
      <c r="J1797" s="29">
        <v>0</v>
      </c>
      <c r="K1797" s="29">
        <v>0</v>
      </c>
      <c r="L1797" s="29">
        <v>0</v>
      </c>
      <c r="M1797" s="29">
        <v>0</v>
      </c>
      <c r="N1797" s="29">
        <v>0</v>
      </c>
      <c r="O1797" s="29">
        <v>0</v>
      </c>
    </row>
    <row r="1798" spans="1:15" x14ac:dyDescent="0.3">
      <c r="A1798" s="28" t="s">
        <v>575</v>
      </c>
      <c r="B1798" s="28" t="s">
        <v>576</v>
      </c>
      <c r="C1798" s="28" t="s">
        <v>561</v>
      </c>
      <c r="D1798" s="28" t="s">
        <v>618</v>
      </c>
      <c r="E1798" s="28" t="s">
        <v>610</v>
      </c>
      <c r="F1798" s="28" t="s">
        <v>600</v>
      </c>
      <c r="G1798" s="29">
        <v>14</v>
      </c>
      <c r="H1798" s="29">
        <v>0</v>
      </c>
      <c r="I1798" s="29">
        <v>0</v>
      </c>
      <c r="J1798" s="29">
        <v>0</v>
      </c>
      <c r="K1798" s="29">
        <v>0</v>
      </c>
      <c r="L1798" s="29">
        <v>0</v>
      </c>
      <c r="M1798" s="29">
        <v>0</v>
      </c>
      <c r="N1798" s="29">
        <v>0</v>
      </c>
      <c r="O1798" s="29">
        <v>0</v>
      </c>
    </row>
    <row r="1799" spans="1:15" x14ac:dyDescent="0.3">
      <c r="A1799" s="28" t="s">
        <v>575</v>
      </c>
      <c r="B1799" s="28" t="s">
        <v>576</v>
      </c>
      <c r="C1799" s="28" t="s">
        <v>561</v>
      </c>
      <c r="D1799" s="28" t="s">
        <v>618</v>
      </c>
      <c r="E1799" s="28" t="s">
        <v>610</v>
      </c>
      <c r="F1799" s="28" t="s">
        <v>601</v>
      </c>
      <c r="G1799" s="29">
        <v>36</v>
      </c>
      <c r="H1799" s="29">
        <v>0</v>
      </c>
      <c r="I1799" s="29">
        <v>0</v>
      </c>
      <c r="J1799" s="29">
        <v>0</v>
      </c>
      <c r="K1799" s="29">
        <v>0</v>
      </c>
      <c r="L1799" s="29">
        <v>0</v>
      </c>
      <c r="M1799" s="29">
        <v>0</v>
      </c>
      <c r="N1799" s="29">
        <v>0</v>
      </c>
      <c r="O1799" s="29">
        <v>0</v>
      </c>
    </row>
    <row r="1800" spans="1:15" x14ac:dyDescent="0.3">
      <c r="A1800" s="28" t="s">
        <v>575</v>
      </c>
      <c r="B1800" s="28" t="s">
        <v>576</v>
      </c>
      <c r="C1800" s="28" t="s">
        <v>561</v>
      </c>
      <c r="D1800" s="28" t="s">
        <v>618</v>
      </c>
      <c r="E1800" s="28" t="s">
        <v>610</v>
      </c>
      <c r="F1800" s="28" t="s">
        <v>602</v>
      </c>
      <c r="G1800" s="29">
        <v>92</v>
      </c>
      <c r="H1800" s="29">
        <v>0</v>
      </c>
      <c r="I1800" s="29">
        <v>0</v>
      </c>
      <c r="J1800" s="29">
        <v>0</v>
      </c>
      <c r="K1800" s="29">
        <v>0</v>
      </c>
      <c r="L1800" s="29">
        <v>0</v>
      </c>
      <c r="M1800" s="29">
        <v>0</v>
      </c>
      <c r="N1800" s="29">
        <v>0</v>
      </c>
      <c r="O1800" s="29">
        <v>0</v>
      </c>
    </row>
    <row r="1801" spans="1:15" x14ac:dyDescent="0.3">
      <c r="A1801" s="28" t="s">
        <v>575</v>
      </c>
      <c r="B1801" s="28" t="s">
        <v>576</v>
      </c>
      <c r="C1801" s="28" t="s">
        <v>561</v>
      </c>
      <c r="D1801" s="28" t="s">
        <v>618</v>
      </c>
      <c r="E1801" s="28" t="s">
        <v>610</v>
      </c>
      <c r="F1801" s="28" t="s">
        <v>603</v>
      </c>
      <c r="G1801" s="29">
        <v>405</v>
      </c>
      <c r="H1801" s="29">
        <v>0</v>
      </c>
      <c r="I1801" s="29">
        <v>0</v>
      </c>
      <c r="J1801" s="29">
        <v>0</v>
      </c>
      <c r="K1801" s="29">
        <v>0</v>
      </c>
      <c r="L1801" s="29">
        <v>0</v>
      </c>
      <c r="M1801" s="29">
        <v>0</v>
      </c>
      <c r="N1801" s="29">
        <v>0</v>
      </c>
      <c r="O1801" s="29">
        <v>0</v>
      </c>
    </row>
    <row r="1802" spans="1:15" x14ac:dyDescent="0.3">
      <c r="A1802" s="28" t="s">
        <v>575</v>
      </c>
      <c r="B1802" s="28" t="s">
        <v>576</v>
      </c>
      <c r="C1802" s="28" t="s">
        <v>561</v>
      </c>
      <c r="D1802" s="28" t="s">
        <v>618</v>
      </c>
      <c r="E1802" s="28" t="s">
        <v>610</v>
      </c>
      <c r="F1802" s="28" t="s">
        <v>604</v>
      </c>
      <c r="G1802" s="29">
        <v>1505</v>
      </c>
      <c r="H1802" s="29">
        <v>0</v>
      </c>
      <c r="I1802" s="29">
        <v>1</v>
      </c>
      <c r="J1802" s="29">
        <v>0</v>
      </c>
      <c r="K1802" s="29">
        <v>1</v>
      </c>
      <c r="L1802" s="29">
        <v>0</v>
      </c>
      <c r="M1802" s="29">
        <v>0</v>
      </c>
      <c r="N1802" s="29">
        <v>0</v>
      </c>
      <c r="O1802" s="29">
        <v>0</v>
      </c>
    </row>
    <row r="1803" spans="1:15" x14ac:dyDescent="0.3">
      <c r="A1803" s="28" t="s">
        <v>575</v>
      </c>
      <c r="B1803" s="28" t="s">
        <v>576</v>
      </c>
      <c r="C1803" s="28" t="s">
        <v>561</v>
      </c>
      <c r="D1803" s="28" t="s">
        <v>618</v>
      </c>
      <c r="E1803" s="28" t="s">
        <v>610</v>
      </c>
      <c r="F1803" s="28" t="s">
        <v>581</v>
      </c>
      <c r="G1803" s="29">
        <v>2706</v>
      </c>
      <c r="H1803" s="29">
        <v>2</v>
      </c>
      <c r="I1803" s="29">
        <v>0</v>
      </c>
      <c r="J1803" s="29">
        <v>0</v>
      </c>
      <c r="K1803" s="29">
        <v>0</v>
      </c>
      <c r="L1803" s="29">
        <v>0</v>
      </c>
      <c r="M1803" s="29">
        <v>0</v>
      </c>
      <c r="N1803" s="29">
        <v>0</v>
      </c>
      <c r="O1803" s="29">
        <v>0</v>
      </c>
    </row>
    <row r="1804" spans="1:15" x14ac:dyDescent="0.3">
      <c r="A1804" s="28" t="s">
        <v>575</v>
      </c>
      <c r="B1804" s="28" t="s">
        <v>576</v>
      </c>
      <c r="C1804" s="28" t="s">
        <v>561</v>
      </c>
      <c r="D1804" s="28" t="s">
        <v>618</v>
      </c>
      <c r="E1804" s="28" t="s">
        <v>610</v>
      </c>
      <c r="F1804" s="28" t="s">
        <v>582</v>
      </c>
      <c r="G1804" s="29">
        <v>1474</v>
      </c>
      <c r="H1804" s="29">
        <v>0</v>
      </c>
      <c r="I1804" s="29">
        <v>0</v>
      </c>
      <c r="J1804" s="29">
        <v>0</v>
      </c>
      <c r="K1804" s="29">
        <v>0</v>
      </c>
      <c r="L1804" s="29">
        <v>0</v>
      </c>
      <c r="M1804" s="29">
        <v>0</v>
      </c>
      <c r="N1804" s="29">
        <v>0</v>
      </c>
      <c r="O1804" s="29">
        <v>0</v>
      </c>
    </row>
    <row r="1805" spans="1:15" x14ac:dyDescent="0.3">
      <c r="A1805" s="28" t="s">
        <v>575</v>
      </c>
      <c r="B1805" s="28" t="s">
        <v>576</v>
      </c>
      <c r="C1805" s="28" t="s">
        <v>561</v>
      </c>
      <c r="D1805" s="28" t="s">
        <v>618</v>
      </c>
      <c r="E1805" s="28" t="s">
        <v>610</v>
      </c>
      <c r="F1805" s="28" t="s">
        <v>583</v>
      </c>
      <c r="G1805" s="29">
        <v>610</v>
      </c>
      <c r="H1805" s="29">
        <v>0</v>
      </c>
      <c r="I1805" s="29">
        <v>3</v>
      </c>
      <c r="J1805" s="29">
        <v>0</v>
      </c>
      <c r="K1805" s="29">
        <v>3</v>
      </c>
      <c r="L1805" s="29">
        <v>500</v>
      </c>
      <c r="M1805" s="29">
        <v>0</v>
      </c>
      <c r="N1805" s="29">
        <v>500</v>
      </c>
      <c r="O1805" s="29">
        <v>0</v>
      </c>
    </row>
    <row r="1806" spans="1:15" x14ac:dyDescent="0.3">
      <c r="A1806" s="28" t="s">
        <v>575</v>
      </c>
      <c r="B1806" s="28" t="s">
        <v>576</v>
      </c>
      <c r="C1806" s="28" t="s">
        <v>561</v>
      </c>
      <c r="D1806" s="28" t="s">
        <v>618</v>
      </c>
      <c r="E1806" s="28" t="s">
        <v>610</v>
      </c>
      <c r="F1806" s="28" t="s">
        <v>584</v>
      </c>
      <c r="G1806" s="29">
        <v>246</v>
      </c>
      <c r="H1806" s="29">
        <v>0</v>
      </c>
      <c r="I1806" s="29">
        <v>0</v>
      </c>
      <c r="J1806" s="29">
        <v>0</v>
      </c>
      <c r="K1806" s="29">
        <v>0</v>
      </c>
      <c r="L1806" s="29">
        <v>0</v>
      </c>
      <c r="M1806" s="29">
        <v>0</v>
      </c>
      <c r="N1806" s="29">
        <v>0</v>
      </c>
      <c r="O1806" s="29">
        <v>0</v>
      </c>
    </row>
    <row r="1807" spans="1:15" x14ac:dyDescent="0.3">
      <c r="A1807" s="28" t="s">
        <v>575</v>
      </c>
      <c r="B1807" s="28" t="s">
        <v>576</v>
      </c>
      <c r="C1807" s="28" t="s">
        <v>561</v>
      </c>
      <c r="D1807" s="28" t="s">
        <v>618</v>
      </c>
      <c r="E1807" s="28" t="s">
        <v>610</v>
      </c>
      <c r="F1807" s="28" t="s">
        <v>585</v>
      </c>
      <c r="G1807" s="29">
        <v>62</v>
      </c>
      <c r="H1807" s="29">
        <v>0</v>
      </c>
      <c r="I1807" s="29">
        <v>1</v>
      </c>
      <c r="J1807" s="29">
        <v>0</v>
      </c>
      <c r="K1807" s="29">
        <v>1</v>
      </c>
      <c r="L1807" s="29">
        <v>0</v>
      </c>
      <c r="M1807" s="29">
        <v>0</v>
      </c>
      <c r="N1807" s="29">
        <v>0</v>
      </c>
      <c r="O1807" s="29">
        <v>0</v>
      </c>
    </row>
    <row r="1808" spans="1:15" x14ac:dyDescent="0.3">
      <c r="A1808" s="28" t="s">
        <v>575</v>
      </c>
      <c r="B1808" s="28" t="s">
        <v>576</v>
      </c>
      <c r="C1808" s="28" t="s">
        <v>561</v>
      </c>
      <c r="D1808" s="28" t="s">
        <v>618</v>
      </c>
      <c r="E1808" s="28" t="s">
        <v>610</v>
      </c>
      <c r="F1808" s="28" t="s">
        <v>587</v>
      </c>
      <c r="G1808" s="29">
        <v>20</v>
      </c>
      <c r="H1808" s="29">
        <v>0</v>
      </c>
      <c r="I1808" s="29">
        <v>0</v>
      </c>
      <c r="J1808" s="29">
        <v>0</v>
      </c>
      <c r="K1808" s="29">
        <v>0</v>
      </c>
      <c r="L1808" s="29">
        <v>0</v>
      </c>
      <c r="M1808" s="29">
        <v>0</v>
      </c>
      <c r="N1808" s="29">
        <v>0</v>
      </c>
      <c r="O1808" s="29">
        <v>0</v>
      </c>
    </row>
    <row r="1809" spans="1:15" x14ac:dyDescent="0.3">
      <c r="A1809" s="28" t="s">
        <v>575</v>
      </c>
      <c r="B1809" s="28" t="s">
        <v>576</v>
      </c>
      <c r="C1809" s="28" t="s">
        <v>561</v>
      </c>
      <c r="D1809" s="28" t="s">
        <v>618</v>
      </c>
      <c r="E1809" s="28" t="s">
        <v>610</v>
      </c>
      <c r="F1809" s="28" t="s">
        <v>579</v>
      </c>
      <c r="G1809" s="29">
        <v>91</v>
      </c>
      <c r="H1809" s="29">
        <v>0</v>
      </c>
      <c r="I1809" s="29">
        <v>0</v>
      </c>
      <c r="J1809" s="29">
        <v>0</v>
      </c>
      <c r="K1809" s="29">
        <v>0</v>
      </c>
      <c r="L1809" s="29">
        <v>0</v>
      </c>
      <c r="M1809" s="29">
        <v>0</v>
      </c>
      <c r="N1809" s="29">
        <v>0</v>
      </c>
      <c r="O1809" s="29">
        <v>0</v>
      </c>
    </row>
    <row r="1810" spans="1:15" x14ac:dyDescent="0.3">
      <c r="A1810" s="28" t="s">
        <v>575</v>
      </c>
      <c r="B1810" s="28" t="s">
        <v>576</v>
      </c>
      <c r="C1810" s="28" t="s">
        <v>561</v>
      </c>
      <c r="D1810" s="28" t="s">
        <v>618</v>
      </c>
      <c r="E1810" s="28" t="s">
        <v>610</v>
      </c>
      <c r="F1810" s="28" t="s">
        <v>588</v>
      </c>
      <c r="G1810" s="29">
        <v>188</v>
      </c>
      <c r="H1810" s="29">
        <v>0</v>
      </c>
      <c r="I1810" s="29">
        <v>0</v>
      </c>
      <c r="J1810" s="29">
        <v>0</v>
      </c>
      <c r="K1810" s="29">
        <v>0</v>
      </c>
      <c r="L1810" s="29">
        <v>0</v>
      </c>
      <c r="M1810" s="29">
        <v>0</v>
      </c>
      <c r="N1810" s="29">
        <v>0</v>
      </c>
      <c r="O1810" s="29">
        <v>0</v>
      </c>
    </row>
    <row r="1811" spans="1:15" x14ac:dyDescent="0.3">
      <c r="A1811" s="28" t="s">
        <v>575</v>
      </c>
      <c r="B1811" s="28" t="s">
        <v>576</v>
      </c>
      <c r="C1811" s="28" t="s">
        <v>561</v>
      </c>
      <c r="D1811" s="28" t="s">
        <v>618</v>
      </c>
      <c r="E1811" s="28" t="s">
        <v>610</v>
      </c>
      <c r="F1811" s="28" t="s">
        <v>589</v>
      </c>
      <c r="G1811" s="29">
        <v>245</v>
      </c>
      <c r="H1811" s="29">
        <v>1</v>
      </c>
      <c r="I1811" s="29">
        <v>0</v>
      </c>
      <c r="J1811" s="29">
        <v>0</v>
      </c>
      <c r="K1811" s="29">
        <v>0</v>
      </c>
      <c r="L1811" s="29">
        <v>0</v>
      </c>
      <c r="M1811" s="29">
        <v>0</v>
      </c>
      <c r="N1811" s="29">
        <v>0</v>
      </c>
      <c r="O1811" s="29">
        <v>0</v>
      </c>
    </row>
    <row r="1812" spans="1:15" x14ac:dyDescent="0.3">
      <c r="A1812" s="28" t="s">
        <v>575</v>
      </c>
      <c r="B1812" s="28" t="s">
        <v>576</v>
      </c>
      <c r="C1812" s="28" t="s">
        <v>561</v>
      </c>
      <c r="D1812" s="28" t="s">
        <v>618</v>
      </c>
      <c r="E1812" s="28" t="s">
        <v>610</v>
      </c>
      <c r="F1812" s="28" t="s">
        <v>590</v>
      </c>
      <c r="G1812" s="29">
        <v>357</v>
      </c>
      <c r="H1812" s="29">
        <v>6</v>
      </c>
      <c r="I1812" s="29">
        <v>0</v>
      </c>
      <c r="J1812" s="29">
        <v>0</v>
      </c>
      <c r="K1812" s="29">
        <v>0</v>
      </c>
      <c r="L1812" s="29">
        <v>0</v>
      </c>
      <c r="M1812" s="29">
        <v>0</v>
      </c>
      <c r="N1812" s="29">
        <v>0</v>
      </c>
      <c r="O1812" s="29">
        <v>0</v>
      </c>
    </row>
    <row r="1813" spans="1:15" x14ac:dyDescent="0.3">
      <c r="A1813" s="28" t="s">
        <v>575</v>
      </c>
      <c r="B1813" s="28" t="s">
        <v>576</v>
      </c>
      <c r="C1813" s="28" t="s">
        <v>561</v>
      </c>
      <c r="D1813" s="28" t="s">
        <v>618</v>
      </c>
      <c r="E1813" s="28" t="s">
        <v>610</v>
      </c>
      <c r="F1813" s="28" t="s">
        <v>591</v>
      </c>
      <c r="G1813" s="29">
        <v>485</v>
      </c>
      <c r="H1813" s="29">
        <v>1</v>
      </c>
      <c r="I1813" s="29">
        <v>2</v>
      </c>
      <c r="J1813" s="29">
        <v>0</v>
      </c>
      <c r="K1813" s="29">
        <v>2</v>
      </c>
      <c r="L1813" s="29">
        <v>0</v>
      </c>
      <c r="M1813" s="29">
        <v>0</v>
      </c>
      <c r="N1813" s="29">
        <v>0</v>
      </c>
      <c r="O1813" s="29">
        <v>0</v>
      </c>
    </row>
    <row r="1814" spans="1:15" x14ac:dyDescent="0.3">
      <c r="A1814" s="28" t="s">
        <v>575</v>
      </c>
      <c r="B1814" s="28" t="s">
        <v>576</v>
      </c>
      <c r="C1814" s="28" t="s">
        <v>561</v>
      </c>
      <c r="D1814" s="28" t="s">
        <v>618</v>
      </c>
      <c r="E1814" s="28" t="s">
        <v>610</v>
      </c>
      <c r="F1814" s="28" t="s">
        <v>592</v>
      </c>
      <c r="G1814" s="29">
        <v>778</v>
      </c>
      <c r="H1814" s="29">
        <v>0</v>
      </c>
      <c r="I1814" s="29">
        <v>0</v>
      </c>
      <c r="J1814" s="29">
        <v>0</v>
      </c>
      <c r="K1814" s="29">
        <v>0</v>
      </c>
      <c r="L1814" s="29">
        <v>0</v>
      </c>
      <c r="M1814" s="29">
        <v>0</v>
      </c>
      <c r="N1814" s="29">
        <v>0</v>
      </c>
      <c r="O1814" s="29">
        <v>0</v>
      </c>
    </row>
    <row r="1815" spans="1:15" x14ac:dyDescent="0.3">
      <c r="A1815" s="28" t="s">
        <v>575</v>
      </c>
      <c r="B1815" s="28" t="s">
        <v>576</v>
      </c>
      <c r="C1815" s="28" t="s">
        <v>561</v>
      </c>
      <c r="D1815" s="28" t="s">
        <v>618</v>
      </c>
      <c r="E1815" s="28" t="s">
        <v>610</v>
      </c>
      <c r="F1815" s="28" t="s">
        <v>593</v>
      </c>
      <c r="G1815" s="29">
        <v>1109</v>
      </c>
      <c r="H1815" s="29">
        <v>1</v>
      </c>
      <c r="I1815" s="29">
        <v>0</v>
      </c>
      <c r="J1815" s="29">
        <v>0</v>
      </c>
      <c r="K1815" s="29">
        <v>0</v>
      </c>
      <c r="L1815" s="29">
        <v>0</v>
      </c>
      <c r="M1815" s="29">
        <v>0</v>
      </c>
      <c r="N1815" s="29">
        <v>0</v>
      </c>
      <c r="O1815" s="29">
        <v>0</v>
      </c>
    </row>
    <row r="1816" spans="1:15" x14ac:dyDescent="0.3">
      <c r="A1816" s="28" t="s">
        <v>575</v>
      </c>
      <c r="B1816" s="28" t="s">
        <v>576</v>
      </c>
      <c r="C1816" s="28" t="s">
        <v>561</v>
      </c>
      <c r="D1816" s="28" t="s">
        <v>618</v>
      </c>
      <c r="E1816" s="28" t="s">
        <v>610</v>
      </c>
      <c r="F1816" s="28" t="s">
        <v>594</v>
      </c>
      <c r="G1816" s="29">
        <v>1025</v>
      </c>
      <c r="H1816" s="29">
        <v>0</v>
      </c>
      <c r="I1816" s="29">
        <v>2</v>
      </c>
      <c r="J1816" s="29">
        <v>0</v>
      </c>
      <c r="K1816" s="29">
        <v>2</v>
      </c>
      <c r="L1816" s="29">
        <v>0</v>
      </c>
      <c r="M1816" s="29">
        <v>0</v>
      </c>
      <c r="N1816" s="29">
        <v>0</v>
      </c>
      <c r="O1816" s="29">
        <v>0</v>
      </c>
    </row>
    <row r="1817" spans="1:15" x14ac:dyDescent="0.3">
      <c r="A1817" s="28" t="s">
        <v>575</v>
      </c>
      <c r="B1817" s="28" t="s">
        <v>576</v>
      </c>
      <c r="C1817" s="28" t="s">
        <v>561</v>
      </c>
      <c r="D1817" s="28" t="s">
        <v>618</v>
      </c>
      <c r="E1817" s="28" t="s">
        <v>610</v>
      </c>
      <c r="F1817" s="28" t="s">
        <v>595</v>
      </c>
      <c r="G1817" s="29">
        <v>781</v>
      </c>
      <c r="H1817" s="29">
        <v>1</v>
      </c>
      <c r="I1817" s="29">
        <v>0</v>
      </c>
      <c r="J1817" s="29">
        <v>0</v>
      </c>
      <c r="K1817" s="29">
        <v>0</v>
      </c>
      <c r="L1817" s="29">
        <v>0</v>
      </c>
      <c r="M1817" s="29">
        <v>0</v>
      </c>
      <c r="N1817" s="29">
        <v>0</v>
      </c>
      <c r="O1817" s="29">
        <v>0</v>
      </c>
    </row>
    <row r="1818" spans="1:15" x14ac:dyDescent="0.3">
      <c r="A1818" s="28" t="s">
        <v>575</v>
      </c>
      <c r="B1818" s="28" t="s">
        <v>576</v>
      </c>
      <c r="C1818" s="28" t="s">
        <v>561</v>
      </c>
      <c r="D1818" s="28" t="s">
        <v>618</v>
      </c>
      <c r="E1818" s="28" t="s">
        <v>611</v>
      </c>
      <c r="F1818" s="28" t="s">
        <v>597</v>
      </c>
      <c r="G1818" s="29">
        <v>421</v>
      </c>
      <c r="H1818" s="29">
        <v>0</v>
      </c>
      <c r="I1818" s="29">
        <v>0</v>
      </c>
      <c r="J1818" s="29">
        <v>0</v>
      </c>
      <c r="K1818" s="29">
        <v>0</v>
      </c>
      <c r="L1818" s="29">
        <v>0</v>
      </c>
      <c r="M1818" s="29">
        <v>0</v>
      </c>
      <c r="N1818" s="29">
        <v>0</v>
      </c>
      <c r="O1818" s="29">
        <v>0</v>
      </c>
    </row>
    <row r="1819" spans="1:15" x14ac:dyDescent="0.3">
      <c r="A1819" s="28" t="s">
        <v>575</v>
      </c>
      <c r="B1819" s="28" t="s">
        <v>576</v>
      </c>
      <c r="C1819" s="28" t="s">
        <v>561</v>
      </c>
      <c r="D1819" s="28" t="s">
        <v>618</v>
      </c>
      <c r="E1819" s="28" t="s">
        <v>611</v>
      </c>
      <c r="F1819" s="28" t="s">
        <v>598</v>
      </c>
      <c r="G1819" s="29">
        <v>186</v>
      </c>
      <c r="H1819" s="29">
        <v>0</v>
      </c>
      <c r="I1819" s="29">
        <v>0</v>
      </c>
      <c r="J1819" s="29">
        <v>0</v>
      </c>
      <c r="K1819" s="29">
        <v>0</v>
      </c>
      <c r="L1819" s="29">
        <v>0</v>
      </c>
      <c r="M1819" s="29">
        <v>0</v>
      </c>
      <c r="N1819" s="29">
        <v>0</v>
      </c>
      <c r="O1819" s="29">
        <v>0</v>
      </c>
    </row>
    <row r="1820" spans="1:15" x14ac:dyDescent="0.3">
      <c r="A1820" s="28" t="s">
        <v>575</v>
      </c>
      <c r="B1820" s="28" t="s">
        <v>576</v>
      </c>
      <c r="C1820" s="28" t="s">
        <v>561</v>
      </c>
      <c r="D1820" s="28" t="s">
        <v>618</v>
      </c>
      <c r="E1820" s="28" t="s">
        <v>611</v>
      </c>
      <c r="F1820" s="28" t="s">
        <v>599</v>
      </c>
      <c r="G1820" s="29">
        <v>123</v>
      </c>
      <c r="H1820" s="29">
        <v>0</v>
      </c>
      <c r="I1820" s="29">
        <v>0</v>
      </c>
      <c r="J1820" s="29">
        <v>0</v>
      </c>
      <c r="K1820" s="29">
        <v>0</v>
      </c>
      <c r="L1820" s="29">
        <v>0</v>
      </c>
      <c r="M1820" s="29">
        <v>0</v>
      </c>
      <c r="N1820" s="29">
        <v>0</v>
      </c>
      <c r="O1820" s="29">
        <v>0</v>
      </c>
    </row>
    <row r="1821" spans="1:15" x14ac:dyDescent="0.3">
      <c r="A1821" s="28" t="s">
        <v>575</v>
      </c>
      <c r="B1821" s="28" t="s">
        <v>576</v>
      </c>
      <c r="C1821" s="28" t="s">
        <v>561</v>
      </c>
      <c r="D1821" s="28" t="s">
        <v>618</v>
      </c>
      <c r="E1821" s="28" t="s">
        <v>611</v>
      </c>
      <c r="F1821" s="28" t="s">
        <v>600</v>
      </c>
      <c r="G1821" s="29">
        <v>125</v>
      </c>
      <c r="H1821" s="29">
        <v>0</v>
      </c>
      <c r="I1821" s="29">
        <v>0</v>
      </c>
      <c r="J1821" s="29">
        <v>0</v>
      </c>
      <c r="K1821" s="29">
        <v>0</v>
      </c>
      <c r="L1821" s="29">
        <v>0</v>
      </c>
      <c r="M1821" s="29">
        <v>0</v>
      </c>
      <c r="N1821" s="29">
        <v>0</v>
      </c>
      <c r="O1821" s="29">
        <v>0</v>
      </c>
    </row>
    <row r="1822" spans="1:15" x14ac:dyDescent="0.3">
      <c r="A1822" s="28" t="s">
        <v>575</v>
      </c>
      <c r="B1822" s="28" t="s">
        <v>576</v>
      </c>
      <c r="C1822" s="28" t="s">
        <v>561</v>
      </c>
      <c r="D1822" s="28" t="s">
        <v>618</v>
      </c>
      <c r="E1822" s="28" t="s">
        <v>611</v>
      </c>
      <c r="F1822" s="28" t="s">
        <v>601</v>
      </c>
      <c r="G1822" s="29">
        <v>244</v>
      </c>
      <c r="H1822" s="29">
        <v>0</v>
      </c>
      <c r="I1822" s="29">
        <v>0</v>
      </c>
      <c r="J1822" s="29">
        <v>0</v>
      </c>
      <c r="K1822" s="29">
        <v>0</v>
      </c>
      <c r="L1822" s="29">
        <v>0</v>
      </c>
      <c r="M1822" s="29">
        <v>0</v>
      </c>
      <c r="N1822" s="29">
        <v>0</v>
      </c>
      <c r="O1822" s="29">
        <v>0</v>
      </c>
    </row>
    <row r="1823" spans="1:15" x14ac:dyDescent="0.3">
      <c r="A1823" s="28" t="s">
        <v>575</v>
      </c>
      <c r="B1823" s="28" t="s">
        <v>576</v>
      </c>
      <c r="C1823" s="28" t="s">
        <v>561</v>
      </c>
      <c r="D1823" s="28" t="s">
        <v>618</v>
      </c>
      <c r="E1823" s="28" t="s">
        <v>611</v>
      </c>
      <c r="F1823" s="28" t="s">
        <v>602</v>
      </c>
      <c r="G1823" s="29">
        <v>648</v>
      </c>
      <c r="H1823" s="29">
        <v>0</v>
      </c>
      <c r="I1823" s="29">
        <v>0</v>
      </c>
      <c r="J1823" s="29">
        <v>0</v>
      </c>
      <c r="K1823" s="29">
        <v>0</v>
      </c>
      <c r="L1823" s="29">
        <v>0</v>
      </c>
      <c r="M1823" s="29">
        <v>0</v>
      </c>
      <c r="N1823" s="29">
        <v>0</v>
      </c>
      <c r="O1823" s="29">
        <v>0</v>
      </c>
    </row>
    <row r="1824" spans="1:15" x14ac:dyDescent="0.3">
      <c r="A1824" s="28" t="s">
        <v>575</v>
      </c>
      <c r="B1824" s="28" t="s">
        <v>576</v>
      </c>
      <c r="C1824" s="28" t="s">
        <v>561</v>
      </c>
      <c r="D1824" s="28" t="s">
        <v>618</v>
      </c>
      <c r="E1824" s="28" t="s">
        <v>611</v>
      </c>
      <c r="F1824" s="28" t="s">
        <v>603</v>
      </c>
      <c r="G1824" s="29">
        <v>1578</v>
      </c>
      <c r="H1824" s="29">
        <v>2</v>
      </c>
      <c r="I1824" s="29">
        <v>0</v>
      </c>
      <c r="J1824" s="29">
        <v>0</v>
      </c>
      <c r="K1824" s="29">
        <v>0</v>
      </c>
      <c r="L1824" s="29">
        <v>0</v>
      </c>
      <c r="M1824" s="29">
        <v>0</v>
      </c>
      <c r="N1824" s="29">
        <v>0</v>
      </c>
      <c r="O1824" s="29">
        <v>0</v>
      </c>
    </row>
    <row r="1825" spans="1:15" x14ac:dyDescent="0.3">
      <c r="A1825" s="28" t="s">
        <v>575</v>
      </c>
      <c r="B1825" s="28" t="s">
        <v>576</v>
      </c>
      <c r="C1825" s="28" t="s">
        <v>561</v>
      </c>
      <c r="D1825" s="28" t="s">
        <v>618</v>
      </c>
      <c r="E1825" s="28" t="s">
        <v>611</v>
      </c>
      <c r="F1825" s="28" t="s">
        <v>604</v>
      </c>
      <c r="G1825" s="29">
        <v>4004</v>
      </c>
      <c r="H1825" s="29">
        <v>4</v>
      </c>
      <c r="I1825" s="29">
        <v>3</v>
      </c>
      <c r="J1825" s="29">
        <v>3</v>
      </c>
      <c r="K1825" s="29">
        <v>0</v>
      </c>
      <c r="L1825" s="29">
        <v>0</v>
      </c>
      <c r="M1825" s="29">
        <v>0</v>
      </c>
      <c r="N1825" s="29">
        <v>0</v>
      </c>
      <c r="O1825" s="29">
        <v>0</v>
      </c>
    </row>
    <row r="1826" spans="1:15" x14ac:dyDescent="0.3">
      <c r="A1826" s="28" t="s">
        <v>575</v>
      </c>
      <c r="B1826" s="28" t="s">
        <v>576</v>
      </c>
      <c r="C1826" s="28" t="s">
        <v>561</v>
      </c>
      <c r="D1826" s="28" t="s">
        <v>618</v>
      </c>
      <c r="E1826" s="28" t="s">
        <v>611</v>
      </c>
      <c r="F1826" s="28" t="s">
        <v>581</v>
      </c>
      <c r="G1826" s="29">
        <v>1808</v>
      </c>
      <c r="H1826" s="29">
        <v>3</v>
      </c>
      <c r="I1826" s="29">
        <v>0</v>
      </c>
      <c r="J1826" s="29">
        <v>0</v>
      </c>
      <c r="K1826" s="29">
        <v>0</v>
      </c>
      <c r="L1826" s="29">
        <v>0</v>
      </c>
      <c r="M1826" s="29">
        <v>0</v>
      </c>
      <c r="N1826" s="29">
        <v>0</v>
      </c>
      <c r="O1826" s="29">
        <v>0</v>
      </c>
    </row>
    <row r="1827" spans="1:15" x14ac:dyDescent="0.3">
      <c r="A1827" s="28" t="s">
        <v>575</v>
      </c>
      <c r="B1827" s="28" t="s">
        <v>576</v>
      </c>
      <c r="C1827" s="28" t="s">
        <v>561</v>
      </c>
      <c r="D1827" s="28" t="s">
        <v>618</v>
      </c>
      <c r="E1827" s="28" t="s">
        <v>611</v>
      </c>
      <c r="F1827" s="28" t="s">
        <v>582</v>
      </c>
      <c r="G1827" s="29">
        <v>20</v>
      </c>
      <c r="H1827" s="29">
        <v>0</v>
      </c>
      <c r="I1827" s="29">
        <v>1</v>
      </c>
      <c r="J1827" s="29">
        <v>0</v>
      </c>
      <c r="K1827" s="29">
        <v>1</v>
      </c>
      <c r="L1827" s="29">
        <v>0</v>
      </c>
      <c r="M1827" s="29">
        <v>0</v>
      </c>
      <c r="N1827" s="29">
        <v>0</v>
      </c>
      <c r="O1827" s="29">
        <v>0</v>
      </c>
    </row>
    <row r="1828" spans="1:15" x14ac:dyDescent="0.3">
      <c r="A1828" s="28" t="s">
        <v>575</v>
      </c>
      <c r="B1828" s="28" t="s">
        <v>576</v>
      </c>
      <c r="C1828" s="28" t="s">
        <v>561</v>
      </c>
      <c r="D1828" s="28" t="s">
        <v>618</v>
      </c>
      <c r="E1828" s="28" t="s">
        <v>611</v>
      </c>
      <c r="F1828" s="28" t="s">
        <v>584</v>
      </c>
      <c r="G1828" s="29">
        <v>0</v>
      </c>
      <c r="H1828" s="29">
        <v>0</v>
      </c>
      <c r="I1828" s="29">
        <v>1</v>
      </c>
      <c r="J1828" s="29">
        <v>0</v>
      </c>
      <c r="K1828" s="29">
        <v>1</v>
      </c>
      <c r="L1828" s="29">
        <v>0</v>
      </c>
      <c r="M1828" s="29">
        <v>0</v>
      </c>
      <c r="N1828" s="29">
        <v>0</v>
      </c>
      <c r="O1828" s="29">
        <v>0</v>
      </c>
    </row>
    <row r="1829" spans="1:15" x14ac:dyDescent="0.3">
      <c r="A1829" s="28" t="s">
        <v>575</v>
      </c>
      <c r="B1829" s="28" t="s">
        <v>576</v>
      </c>
      <c r="C1829" s="28" t="s">
        <v>561</v>
      </c>
      <c r="D1829" s="28" t="s">
        <v>618</v>
      </c>
      <c r="E1829" s="28" t="s">
        <v>611</v>
      </c>
      <c r="F1829" s="28" t="s">
        <v>585</v>
      </c>
      <c r="G1829" s="29">
        <v>5</v>
      </c>
      <c r="H1829" s="29">
        <v>0</v>
      </c>
      <c r="I1829" s="29">
        <v>0</v>
      </c>
      <c r="J1829" s="29">
        <v>0</v>
      </c>
      <c r="K1829" s="29">
        <v>0</v>
      </c>
      <c r="L1829" s="29">
        <v>0</v>
      </c>
      <c r="M1829" s="29">
        <v>0</v>
      </c>
      <c r="N1829" s="29">
        <v>0</v>
      </c>
      <c r="O1829" s="29">
        <v>0</v>
      </c>
    </row>
    <row r="1830" spans="1:15" x14ac:dyDescent="0.3">
      <c r="A1830" s="28" t="s">
        <v>575</v>
      </c>
      <c r="B1830" s="28" t="s">
        <v>576</v>
      </c>
      <c r="C1830" s="28" t="s">
        <v>561</v>
      </c>
      <c r="D1830" s="28" t="s">
        <v>618</v>
      </c>
      <c r="E1830" s="28" t="s">
        <v>611</v>
      </c>
      <c r="F1830" s="28" t="s">
        <v>586</v>
      </c>
      <c r="G1830" s="29">
        <v>14</v>
      </c>
      <c r="H1830" s="29">
        <v>0</v>
      </c>
      <c r="I1830" s="29">
        <v>0</v>
      </c>
      <c r="J1830" s="29">
        <v>0</v>
      </c>
      <c r="K1830" s="29">
        <v>0</v>
      </c>
      <c r="L1830" s="29">
        <v>0</v>
      </c>
      <c r="M1830" s="29">
        <v>0</v>
      </c>
      <c r="N1830" s="29">
        <v>0</v>
      </c>
      <c r="O1830" s="29">
        <v>0</v>
      </c>
    </row>
    <row r="1831" spans="1:15" x14ac:dyDescent="0.3">
      <c r="A1831" s="28" t="s">
        <v>575</v>
      </c>
      <c r="B1831" s="28" t="s">
        <v>576</v>
      </c>
      <c r="C1831" s="28" t="s">
        <v>561</v>
      </c>
      <c r="D1831" s="28" t="s">
        <v>618</v>
      </c>
      <c r="E1831" s="28" t="s">
        <v>611</v>
      </c>
      <c r="F1831" s="28" t="s">
        <v>587</v>
      </c>
      <c r="G1831" s="29">
        <v>14</v>
      </c>
      <c r="H1831" s="29">
        <v>0</v>
      </c>
      <c r="I1831" s="29">
        <v>0</v>
      </c>
      <c r="J1831" s="29">
        <v>0</v>
      </c>
      <c r="K1831" s="29">
        <v>0</v>
      </c>
      <c r="L1831" s="29">
        <v>0</v>
      </c>
      <c r="M1831" s="29">
        <v>0</v>
      </c>
      <c r="N1831" s="29">
        <v>0</v>
      </c>
      <c r="O1831" s="29">
        <v>0</v>
      </c>
    </row>
    <row r="1832" spans="1:15" x14ac:dyDescent="0.3">
      <c r="A1832" s="28" t="s">
        <v>575</v>
      </c>
      <c r="B1832" s="28" t="s">
        <v>576</v>
      </c>
      <c r="C1832" s="28" t="s">
        <v>561</v>
      </c>
      <c r="D1832" s="28" t="s">
        <v>618</v>
      </c>
      <c r="E1832" s="28" t="s">
        <v>611</v>
      </c>
      <c r="F1832" s="28" t="s">
        <v>579</v>
      </c>
      <c r="G1832" s="29">
        <v>22</v>
      </c>
      <c r="H1832" s="29">
        <v>0</v>
      </c>
      <c r="I1832" s="29">
        <v>0</v>
      </c>
      <c r="J1832" s="29">
        <v>0</v>
      </c>
      <c r="K1832" s="29">
        <v>0</v>
      </c>
      <c r="L1832" s="29">
        <v>0</v>
      </c>
      <c r="M1832" s="29">
        <v>0</v>
      </c>
      <c r="N1832" s="29">
        <v>0</v>
      </c>
      <c r="O1832" s="29">
        <v>0</v>
      </c>
    </row>
    <row r="1833" spans="1:15" x14ac:dyDescent="0.3">
      <c r="A1833" s="28" t="s">
        <v>575</v>
      </c>
      <c r="B1833" s="28" t="s">
        <v>576</v>
      </c>
      <c r="C1833" s="28" t="s">
        <v>561</v>
      </c>
      <c r="D1833" s="28" t="s">
        <v>618</v>
      </c>
      <c r="E1833" s="28" t="s">
        <v>611</v>
      </c>
      <c r="F1833" s="28" t="s">
        <v>588</v>
      </c>
      <c r="G1833" s="29">
        <v>1</v>
      </c>
      <c r="H1833" s="29">
        <v>0</v>
      </c>
      <c r="I1833" s="29">
        <v>1</v>
      </c>
      <c r="J1833" s="29">
        <v>1</v>
      </c>
      <c r="K1833" s="29">
        <v>0</v>
      </c>
      <c r="L1833" s="29">
        <v>0</v>
      </c>
      <c r="M1833" s="29">
        <v>0</v>
      </c>
      <c r="N1833" s="29">
        <v>0</v>
      </c>
      <c r="O1833" s="29">
        <v>0</v>
      </c>
    </row>
    <row r="1834" spans="1:15" x14ac:dyDescent="0.3">
      <c r="A1834" s="28" t="s">
        <v>575</v>
      </c>
      <c r="B1834" s="28" t="s">
        <v>576</v>
      </c>
      <c r="C1834" s="28" t="s">
        <v>561</v>
      </c>
      <c r="D1834" s="28" t="s">
        <v>618</v>
      </c>
      <c r="E1834" s="28" t="s">
        <v>611</v>
      </c>
      <c r="F1834" s="28" t="s">
        <v>589</v>
      </c>
      <c r="G1834" s="29">
        <v>15</v>
      </c>
      <c r="H1834" s="29">
        <v>0</v>
      </c>
      <c r="I1834" s="29">
        <v>1</v>
      </c>
      <c r="J1834" s="29">
        <v>0</v>
      </c>
      <c r="K1834" s="29">
        <v>1</v>
      </c>
      <c r="L1834" s="29">
        <v>0</v>
      </c>
      <c r="M1834" s="29">
        <v>0</v>
      </c>
      <c r="N1834" s="29">
        <v>0</v>
      </c>
      <c r="O1834" s="29">
        <v>0</v>
      </c>
    </row>
    <row r="1835" spans="1:15" x14ac:dyDescent="0.3">
      <c r="A1835" s="28" t="s">
        <v>575</v>
      </c>
      <c r="B1835" s="28" t="s">
        <v>576</v>
      </c>
      <c r="C1835" s="28" t="s">
        <v>561</v>
      </c>
      <c r="D1835" s="28" t="s">
        <v>618</v>
      </c>
      <c r="E1835" s="28" t="s">
        <v>611</v>
      </c>
      <c r="F1835" s="28" t="s">
        <v>590</v>
      </c>
      <c r="G1835" s="29">
        <v>60</v>
      </c>
      <c r="H1835" s="29">
        <v>0</v>
      </c>
      <c r="I1835" s="29">
        <v>0</v>
      </c>
      <c r="J1835" s="29">
        <v>0</v>
      </c>
      <c r="K1835" s="29">
        <v>0</v>
      </c>
      <c r="L1835" s="29">
        <v>0</v>
      </c>
      <c r="M1835" s="29">
        <v>0</v>
      </c>
      <c r="N1835" s="29">
        <v>0</v>
      </c>
      <c r="O1835" s="29">
        <v>0</v>
      </c>
    </row>
    <row r="1836" spans="1:15" x14ac:dyDescent="0.3">
      <c r="A1836" s="28" t="s">
        <v>575</v>
      </c>
      <c r="B1836" s="28" t="s">
        <v>576</v>
      </c>
      <c r="C1836" s="28" t="s">
        <v>561</v>
      </c>
      <c r="D1836" s="28" t="s">
        <v>618</v>
      </c>
      <c r="E1836" s="28" t="s">
        <v>611</v>
      </c>
      <c r="F1836" s="28" t="s">
        <v>591</v>
      </c>
      <c r="G1836" s="29">
        <v>125</v>
      </c>
      <c r="H1836" s="29">
        <v>0</v>
      </c>
      <c r="I1836" s="29">
        <v>2</v>
      </c>
      <c r="J1836" s="29">
        <v>0</v>
      </c>
      <c r="K1836" s="29">
        <v>2</v>
      </c>
      <c r="L1836" s="29">
        <v>0</v>
      </c>
      <c r="M1836" s="29">
        <v>0</v>
      </c>
      <c r="N1836" s="29">
        <v>0</v>
      </c>
      <c r="O1836" s="29">
        <v>0</v>
      </c>
    </row>
    <row r="1837" spans="1:15" x14ac:dyDescent="0.3">
      <c r="A1837" s="28" t="s">
        <v>575</v>
      </c>
      <c r="B1837" s="28" t="s">
        <v>576</v>
      </c>
      <c r="C1837" s="28" t="s">
        <v>561</v>
      </c>
      <c r="D1837" s="28" t="s">
        <v>618</v>
      </c>
      <c r="E1837" s="28" t="s">
        <v>611</v>
      </c>
      <c r="F1837" s="28" t="s">
        <v>592</v>
      </c>
      <c r="G1837" s="29">
        <v>220</v>
      </c>
      <c r="H1837" s="29">
        <v>0</v>
      </c>
      <c r="I1837" s="29">
        <v>2</v>
      </c>
      <c r="J1837" s="29">
        <v>0</v>
      </c>
      <c r="K1837" s="29">
        <v>2</v>
      </c>
      <c r="L1837" s="29">
        <v>0</v>
      </c>
      <c r="M1837" s="29">
        <v>0</v>
      </c>
      <c r="N1837" s="29">
        <v>0</v>
      </c>
      <c r="O1837" s="29">
        <v>0</v>
      </c>
    </row>
    <row r="1838" spans="1:15" x14ac:dyDescent="0.3">
      <c r="A1838" s="28" t="s">
        <v>575</v>
      </c>
      <c r="B1838" s="28" t="s">
        <v>576</v>
      </c>
      <c r="C1838" s="28" t="s">
        <v>561</v>
      </c>
      <c r="D1838" s="28" t="s">
        <v>618</v>
      </c>
      <c r="E1838" s="28" t="s">
        <v>611</v>
      </c>
      <c r="F1838" s="28" t="s">
        <v>593</v>
      </c>
      <c r="G1838" s="29">
        <v>307</v>
      </c>
      <c r="H1838" s="29">
        <v>0</v>
      </c>
      <c r="I1838" s="29">
        <v>0</v>
      </c>
      <c r="J1838" s="29">
        <v>0</v>
      </c>
      <c r="K1838" s="29">
        <v>0</v>
      </c>
      <c r="L1838" s="29">
        <v>0</v>
      </c>
      <c r="M1838" s="29">
        <v>0</v>
      </c>
      <c r="N1838" s="29">
        <v>0</v>
      </c>
      <c r="O1838" s="29">
        <v>0</v>
      </c>
    </row>
    <row r="1839" spans="1:15" x14ac:dyDescent="0.3">
      <c r="A1839" s="28" t="s">
        <v>575</v>
      </c>
      <c r="B1839" s="28" t="s">
        <v>576</v>
      </c>
      <c r="C1839" s="28" t="s">
        <v>561</v>
      </c>
      <c r="D1839" s="28" t="s">
        <v>618</v>
      </c>
      <c r="E1839" s="28" t="s">
        <v>611</v>
      </c>
      <c r="F1839" s="28" t="s">
        <v>594</v>
      </c>
      <c r="G1839" s="29">
        <v>358</v>
      </c>
      <c r="H1839" s="29">
        <v>0</v>
      </c>
      <c r="I1839" s="29">
        <v>0</v>
      </c>
      <c r="J1839" s="29">
        <v>0</v>
      </c>
      <c r="K1839" s="29">
        <v>0</v>
      </c>
      <c r="L1839" s="29">
        <v>0</v>
      </c>
      <c r="M1839" s="29">
        <v>0</v>
      </c>
      <c r="N1839" s="29">
        <v>0</v>
      </c>
      <c r="O1839" s="29">
        <v>0</v>
      </c>
    </row>
    <row r="1840" spans="1:15" x14ac:dyDescent="0.3">
      <c r="A1840" s="28" t="s">
        <v>575</v>
      </c>
      <c r="B1840" s="28" t="s">
        <v>576</v>
      </c>
      <c r="C1840" s="28" t="s">
        <v>561</v>
      </c>
      <c r="D1840" s="28" t="s">
        <v>618</v>
      </c>
      <c r="E1840" s="28" t="s">
        <v>611</v>
      </c>
      <c r="F1840" s="28" t="s">
        <v>595</v>
      </c>
      <c r="G1840" s="29">
        <v>330</v>
      </c>
      <c r="H1840" s="29">
        <v>0</v>
      </c>
      <c r="I1840" s="29">
        <v>0</v>
      </c>
      <c r="J1840" s="29">
        <v>0</v>
      </c>
      <c r="K1840" s="29">
        <v>0</v>
      </c>
      <c r="L1840" s="29">
        <v>0</v>
      </c>
      <c r="M1840" s="29">
        <v>0</v>
      </c>
      <c r="N1840" s="29">
        <v>0</v>
      </c>
      <c r="O1840" s="29">
        <v>0</v>
      </c>
    </row>
    <row r="1841" spans="1:15" x14ac:dyDescent="0.3">
      <c r="A1841" s="28" t="s">
        <v>575</v>
      </c>
      <c r="B1841" s="28" t="s">
        <v>576</v>
      </c>
      <c r="C1841" s="28" t="s">
        <v>561</v>
      </c>
      <c r="D1841" s="28" t="s">
        <v>618</v>
      </c>
      <c r="E1841" s="28" t="s">
        <v>612</v>
      </c>
      <c r="F1841" s="28" t="s">
        <v>597</v>
      </c>
      <c r="G1841" s="29">
        <v>277</v>
      </c>
      <c r="H1841" s="29">
        <v>0</v>
      </c>
      <c r="I1841" s="29">
        <v>0</v>
      </c>
      <c r="J1841" s="29">
        <v>0</v>
      </c>
      <c r="K1841" s="29">
        <v>0</v>
      </c>
      <c r="L1841" s="29">
        <v>0</v>
      </c>
      <c r="M1841" s="29">
        <v>0</v>
      </c>
      <c r="N1841" s="29">
        <v>0</v>
      </c>
      <c r="O1841" s="29">
        <v>0</v>
      </c>
    </row>
    <row r="1842" spans="1:15" x14ac:dyDescent="0.3">
      <c r="A1842" s="28" t="s">
        <v>575</v>
      </c>
      <c r="B1842" s="28" t="s">
        <v>576</v>
      </c>
      <c r="C1842" s="28" t="s">
        <v>561</v>
      </c>
      <c r="D1842" s="28" t="s">
        <v>618</v>
      </c>
      <c r="E1842" s="28" t="s">
        <v>612</v>
      </c>
      <c r="F1842" s="28" t="s">
        <v>598</v>
      </c>
      <c r="G1842" s="29">
        <v>194</v>
      </c>
      <c r="H1842" s="29">
        <v>1</v>
      </c>
      <c r="I1842" s="29">
        <v>0</v>
      </c>
      <c r="J1842" s="29">
        <v>0</v>
      </c>
      <c r="K1842" s="29">
        <v>0</v>
      </c>
      <c r="L1842" s="29">
        <v>0</v>
      </c>
      <c r="M1842" s="29">
        <v>0</v>
      </c>
      <c r="N1842" s="29">
        <v>0</v>
      </c>
      <c r="O1842" s="29">
        <v>0</v>
      </c>
    </row>
    <row r="1843" spans="1:15" x14ac:dyDescent="0.3">
      <c r="A1843" s="28" t="s">
        <v>575</v>
      </c>
      <c r="B1843" s="28" t="s">
        <v>576</v>
      </c>
      <c r="C1843" s="28" t="s">
        <v>561</v>
      </c>
      <c r="D1843" s="28" t="s">
        <v>618</v>
      </c>
      <c r="E1843" s="28" t="s">
        <v>612</v>
      </c>
      <c r="F1843" s="28" t="s">
        <v>599</v>
      </c>
      <c r="G1843" s="29">
        <v>205</v>
      </c>
      <c r="H1843" s="29">
        <v>0</v>
      </c>
      <c r="I1843" s="29">
        <v>0</v>
      </c>
      <c r="J1843" s="29">
        <v>0</v>
      </c>
      <c r="K1843" s="29">
        <v>0</v>
      </c>
      <c r="L1843" s="29">
        <v>0</v>
      </c>
      <c r="M1843" s="29">
        <v>0</v>
      </c>
      <c r="N1843" s="29">
        <v>0</v>
      </c>
      <c r="O1843" s="29">
        <v>0</v>
      </c>
    </row>
    <row r="1844" spans="1:15" x14ac:dyDescent="0.3">
      <c r="A1844" s="28" t="s">
        <v>575</v>
      </c>
      <c r="B1844" s="28" t="s">
        <v>576</v>
      </c>
      <c r="C1844" s="28" t="s">
        <v>561</v>
      </c>
      <c r="D1844" s="28" t="s">
        <v>618</v>
      </c>
      <c r="E1844" s="28" t="s">
        <v>612</v>
      </c>
      <c r="F1844" s="28" t="s">
        <v>600</v>
      </c>
      <c r="G1844" s="29">
        <v>215</v>
      </c>
      <c r="H1844" s="29">
        <v>0</v>
      </c>
      <c r="I1844" s="29">
        <v>1</v>
      </c>
      <c r="J1844" s="29">
        <v>0</v>
      </c>
      <c r="K1844" s="29">
        <v>1</v>
      </c>
      <c r="L1844" s="29">
        <v>0</v>
      </c>
      <c r="M1844" s="29">
        <v>0</v>
      </c>
      <c r="N1844" s="29">
        <v>0</v>
      </c>
      <c r="O1844" s="29">
        <v>0</v>
      </c>
    </row>
    <row r="1845" spans="1:15" x14ac:dyDescent="0.3">
      <c r="A1845" s="28" t="s">
        <v>575</v>
      </c>
      <c r="B1845" s="28" t="s">
        <v>576</v>
      </c>
      <c r="C1845" s="28" t="s">
        <v>561</v>
      </c>
      <c r="D1845" s="28" t="s">
        <v>618</v>
      </c>
      <c r="E1845" s="28" t="s">
        <v>612</v>
      </c>
      <c r="F1845" s="28" t="s">
        <v>601</v>
      </c>
      <c r="G1845" s="29">
        <v>357</v>
      </c>
      <c r="H1845" s="29">
        <v>0</v>
      </c>
      <c r="I1845" s="29">
        <v>0</v>
      </c>
      <c r="J1845" s="29">
        <v>0</v>
      </c>
      <c r="K1845" s="29">
        <v>0</v>
      </c>
      <c r="L1845" s="29">
        <v>0</v>
      </c>
      <c r="M1845" s="29">
        <v>0</v>
      </c>
      <c r="N1845" s="29">
        <v>0</v>
      </c>
      <c r="O1845" s="29">
        <v>0</v>
      </c>
    </row>
    <row r="1846" spans="1:15" x14ac:dyDescent="0.3">
      <c r="A1846" s="28" t="s">
        <v>575</v>
      </c>
      <c r="B1846" s="28" t="s">
        <v>576</v>
      </c>
      <c r="C1846" s="28" t="s">
        <v>561</v>
      </c>
      <c r="D1846" s="28" t="s">
        <v>618</v>
      </c>
      <c r="E1846" s="28" t="s">
        <v>612</v>
      </c>
      <c r="F1846" s="28" t="s">
        <v>602</v>
      </c>
      <c r="G1846" s="29">
        <v>972</v>
      </c>
      <c r="H1846" s="29">
        <v>0</v>
      </c>
      <c r="I1846" s="29">
        <v>0</v>
      </c>
      <c r="J1846" s="29">
        <v>0</v>
      </c>
      <c r="K1846" s="29">
        <v>0</v>
      </c>
      <c r="L1846" s="29">
        <v>0</v>
      </c>
      <c r="M1846" s="29">
        <v>0</v>
      </c>
      <c r="N1846" s="29">
        <v>0</v>
      </c>
      <c r="O1846" s="29">
        <v>0</v>
      </c>
    </row>
    <row r="1847" spans="1:15" x14ac:dyDescent="0.3">
      <c r="A1847" s="28" t="s">
        <v>575</v>
      </c>
      <c r="B1847" s="28" t="s">
        <v>576</v>
      </c>
      <c r="C1847" s="28" t="s">
        <v>561</v>
      </c>
      <c r="D1847" s="28" t="s">
        <v>618</v>
      </c>
      <c r="E1847" s="28" t="s">
        <v>612</v>
      </c>
      <c r="F1847" s="28" t="s">
        <v>603</v>
      </c>
      <c r="G1847" s="29">
        <v>2497</v>
      </c>
      <c r="H1847" s="29">
        <v>1</v>
      </c>
      <c r="I1847" s="29">
        <v>0</v>
      </c>
      <c r="J1847" s="29">
        <v>0</v>
      </c>
      <c r="K1847" s="29">
        <v>0</v>
      </c>
      <c r="L1847" s="29">
        <v>0</v>
      </c>
      <c r="M1847" s="29">
        <v>0</v>
      </c>
      <c r="N1847" s="29">
        <v>0</v>
      </c>
      <c r="O1847" s="29">
        <v>0</v>
      </c>
    </row>
    <row r="1848" spans="1:15" x14ac:dyDescent="0.3">
      <c r="A1848" s="28" t="s">
        <v>575</v>
      </c>
      <c r="B1848" s="28" t="s">
        <v>576</v>
      </c>
      <c r="C1848" s="28" t="s">
        <v>561</v>
      </c>
      <c r="D1848" s="28" t="s">
        <v>618</v>
      </c>
      <c r="E1848" s="28" t="s">
        <v>612</v>
      </c>
      <c r="F1848" s="28" t="s">
        <v>604</v>
      </c>
      <c r="G1848" s="29">
        <v>2491</v>
      </c>
      <c r="H1848" s="29">
        <v>2</v>
      </c>
      <c r="I1848" s="29">
        <v>3</v>
      </c>
      <c r="J1848" s="29">
        <v>3</v>
      </c>
      <c r="K1848" s="29">
        <v>0</v>
      </c>
      <c r="L1848" s="29">
        <v>0</v>
      </c>
      <c r="M1848" s="29">
        <v>0</v>
      </c>
      <c r="N1848" s="29">
        <v>0</v>
      </c>
      <c r="O1848" s="29">
        <v>0</v>
      </c>
    </row>
    <row r="1849" spans="1:15" x14ac:dyDescent="0.3">
      <c r="A1849" s="28" t="s">
        <v>575</v>
      </c>
      <c r="B1849" s="28" t="s">
        <v>576</v>
      </c>
      <c r="C1849" s="28" t="s">
        <v>561</v>
      </c>
      <c r="D1849" s="28" t="s">
        <v>618</v>
      </c>
      <c r="E1849" s="28" t="s">
        <v>612</v>
      </c>
      <c r="F1849" s="28" t="s">
        <v>581</v>
      </c>
      <c r="G1849" s="29">
        <v>134</v>
      </c>
      <c r="H1849" s="29">
        <v>0</v>
      </c>
      <c r="I1849" s="29">
        <v>1</v>
      </c>
      <c r="J1849" s="29">
        <v>0</v>
      </c>
      <c r="K1849" s="29">
        <v>1</v>
      </c>
      <c r="L1849" s="29">
        <v>0</v>
      </c>
      <c r="M1849" s="29">
        <v>0</v>
      </c>
      <c r="N1849" s="29">
        <v>0</v>
      </c>
      <c r="O1849" s="29">
        <v>0</v>
      </c>
    </row>
    <row r="1850" spans="1:15" x14ac:dyDescent="0.3">
      <c r="A1850" s="28" t="s">
        <v>575</v>
      </c>
      <c r="B1850" s="28" t="s">
        <v>576</v>
      </c>
      <c r="C1850" s="28" t="s">
        <v>561</v>
      </c>
      <c r="D1850" s="28" t="s">
        <v>618</v>
      </c>
      <c r="E1850" s="28" t="s">
        <v>612</v>
      </c>
      <c r="F1850" s="28" t="s">
        <v>583</v>
      </c>
      <c r="G1850" s="29">
        <v>11</v>
      </c>
      <c r="H1850" s="29">
        <v>0</v>
      </c>
      <c r="I1850" s="29">
        <v>2</v>
      </c>
      <c r="J1850" s="29">
        <v>2</v>
      </c>
      <c r="K1850" s="29">
        <v>0</v>
      </c>
      <c r="L1850" s="29">
        <v>0</v>
      </c>
      <c r="M1850" s="29">
        <v>0</v>
      </c>
      <c r="N1850" s="29">
        <v>0</v>
      </c>
      <c r="O1850" s="29">
        <v>0</v>
      </c>
    </row>
    <row r="1851" spans="1:15" x14ac:dyDescent="0.3">
      <c r="A1851" s="28" t="s">
        <v>575</v>
      </c>
      <c r="B1851" s="28" t="s">
        <v>576</v>
      </c>
      <c r="C1851" s="28" t="s">
        <v>561</v>
      </c>
      <c r="D1851" s="28" t="s">
        <v>618</v>
      </c>
      <c r="E1851" s="28" t="s">
        <v>612</v>
      </c>
      <c r="F1851" s="28" t="s">
        <v>585</v>
      </c>
      <c r="G1851" s="29">
        <v>3</v>
      </c>
      <c r="H1851" s="29">
        <v>0</v>
      </c>
      <c r="I1851" s="29">
        <v>0</v>
      </c>
      <c r="J1851" s="29">
        <v>0</v>
      </c>
      <c r="K1851" s="29">
        <v>0</v>
      </c>
      <c r="L1851" s="29">
        <v>0</v>
      </c>
      <c r="M1851" s="29">
        <v>0</v>
      </c>
      <c r="N1851" s="29">
        <v>0</v>
      </c>
      <c r="O1851" s="29">
        <v>0</v>
      </c>
    </row>
    <row r="1852" spans="1:15" x14ac:dyDescent="0.3">
      <c r="A1852" s="28" t="s">
        <v>575</v>
      </c>
      <c r="B1852" s="28" t="s">
        <v>576</v>
      </c>
      <c r="C1852" s="28" t="s">
        <v>561</v>
      </c>
      <c r="D1852" s="28" t="s">
        <v>618</v>
      </c>
      <c r="E1852" s="28" t="s">
        <v>612</v>
      </c>
      <c r="F1852" s="28" t="s">
        <v>586</v>
      </c>
      <c r="G1852" s="29">
        <v>53</v>
      </c>
      <c r="H1852" s="29">
        <v>0</v>
      </c>
      <c r="I1852" s="29">
        <v>0</v>
      </c>
      <c r="J1852" s="29">
        <v>0</v>
      </c>
      <c r="K1852" s="29">
        <v>0</v>
      </c>
      <c r="L1852" s="29">
        <v>0</v>
      </c>
      <c r="M1852" s="29">
        <v>0</v>
      </c>
      <c r="N1852" s="29">
        <v>0</v>
      </c>
      <c r="O1852" s="29">
        <v>0</v>
      </c>
    </row>
    <row r="1853" spans="1:15" x14ac:dyDescent="0.3">
      <c r="A1853" s="28" t="s">
        <v>575</v>
      </c>
      <c r="B1853" s="28" t="s">
        <v>576</v>
      </c>
      <c r="C1853" s="28" t="s">
        <v>561</v>
      </c>
      <c r="D1853" s="28" t="s">
        <v>618</v>
      </c>
      <c r="E1853" s="28" t="s">
        <v>612</v>
      </c>
      <c r="F1853" s="28" t="s">
        <v>587</v>
      </c>
      <c r="G1853" s="29">
        <v>246</v>
      </c>
      <c r="H1853" s="29">
        <v>2</v>
      </c>
      <c r="I1853" s="29">
        <v>1</v>
      </c>
      <c r="J1853" s="29">
        <v>1</v>
      </c>
      <c r="K1853" s="29">
        <v>0</v>
      </c>
      <c r="L1853" s="29">
        <v>0</v>
      </c>
      <c r="M1853" s="29">
        <v>0</v>
      </c>
      <c r="N1853" s="29">
        <v>0</v>
      </c>
      <c r="O1853" s="29">
        <v>0</v>
      </c>
    </row>
    <row r="1854" spans="1:15" x14ac:dyDescent="0.3">
      <c r="A1854" s="28" t="s">
        <v>575</v>
      </c>
      <c r="B1854" s="28" t="s">
        <v>576</v>
      </c>
      <c r="C1854" s="28" t="s">
        <v>561</v>
      </c>
      <c r="D1854" s="28" t="s">
        <v>618</v>
      </c>
      <c r="E1854" s="28" t="s">
        <v>612</v>
      </c>
      <c r="F1854" s="28" t="s">
        <v>579</v>
      </c>
      <c r="G1854" s="29">
        <v>423</v>
      </c>
      <c r="H1854" s="29">
        <v>1</v>
      </c>
      <c r="I1854" s="29">
        <v>1</v>
      </c>
      <c r="J1854" s="29">
        <v>1</v>
      </c>
      <c r="K1854" s="29">
        <v>0</v>
      </c>
      <c r="L1854" s="29">
        <v>0</v>
      </c>
      <c r="M1854" s="29">
        <v>0</v>
      </c>
      <c r="N1854" s="29">
        <v>0</v>
      </c>
      <c r="O1854" s="29">
        <v>0</v>
      </c>
    </row>
    <row r="1855" spans="1:15" x14ac:dyDescent="0.3">
      <c r="A1855" s="28" t="s">
        <v>575</v>
      </c>
      <c r="B1855" s="28" t="s">
        <v>576</v>
      </c>
      <c r="C1855" s="28" t="s">
        <v>561</v>
      </c>
      <c r="D1855" s="28" t="s">
        <v>618</v>
      </c>
      <c r="E1855" s="28" t="s">
        <v>612</v>
      </c>
      <c r="F1855" s="28" t="s">
        <v>588</v>
      </c>
      <c r="G1855" s="29">
        <v>639</v>
      </c>
      <c r="H1855" s="29">
        <v>2</v>
      </c>
      <c r="I1855" s="29">
        <v>1</v>
      </c>
      <c r="J1855" s="29">
        <v>1</v>
      </c>
      <c r="K1855" s="29">
        <v>0</v>
      </c>
      <c r="L1855" s="29">
        <v>0</v>
      </c>
      <c r="M1855" s="29">
        <v>0</v>
      </c>
      <c r="N1855" s="29">
        <v>0</v>
      </c>
      <c r="O1855" s="29">
        <v>0</v>
      </c>
    </row>
    <row r="1856" spans="1:15" x14ac:dyDescent="0.3">
      <c r="A1856" s="28" t="s">
        <v>575</v>
      </c>
      <c r="B1856" s="28" t="s">
        <v>576</v>
      </c>
      <c r="C1856" s="28" t="s">
        <v>561</v>
      </c>
      <c r="D1856" s="28" t="s">
        <v>618</v>
      </c>
      <c r="E1856" s="28" t="s">
        <v>612</v>
      </c>
      <c r="F1856" s="28" t="s">
        <v>589</v>
      </c>
      <c r="G1856" s="29">
        <v>602</v>
      </c>
      <c r="H1856" s="29">
        <v>1</v>
      </c>
      <c r="I1856" s="29">
        <v>1</v>
      </c>
      <c r="J1856" s="29">
        <v>1</v>
      </c>
      <c r="K1856" s="29">
        <v>0</v>
      </c>
      <c r="L1856" s="29">
        <v>0</v>
      </c>
      <c r="M1856" s="29">
        <v>0</v>
      </c>
      <c r="N1856" s="29">
        <v>0</v>
      </c>
      <c r="O1856" s="29">
        <v>0</v>
      </c>
    </row>
    <row r="1857" spans="1:15" x14ac:dyDescent="0.3">
      <c r="A1857" s="28" t="s">
        <v>575</v>
      </c>
      <c r="B1857" s="28" t="s">
        <v>576</v>
      </c>
      <c r="C1857" s="28" t="s">
        <v>561</v>
      </c>
      <c r="D1857" s="28" t="s">
        <v>618</v>
      </c>
      <c r="E1857" s="28" t="s">
        <v>612</v>
      </c>
      <c r="F1857" s="28" t="s">
        <v>590</v>
      </c>
      <c r="G1857" s="29">
        <v>958</v>
      </c>
      <c r="H1857" s="29">
        <v>1</v>
      </c>
      <c r="I1857" s="29">
        <v>2</v>
      </c>
      <c r="J1857" s="29">
        <v>2</v>
      </c>
      <c r="K1857" s="29">
        <v>0</v>
      </c>
      <c r="L1857" s="29">
        <v>0</v>
      </c>
      <c r="M1857" s="29">
        <v>0</v>
      </c>
      <c r="N1857" s="29">
        <v>0</v>
      </c>
      <c r="O1857" s="29">
        <v>0</v>
      </c>
    </row>
    <row r="1858" spans="1:15" x14ac:dyDescent="0.3">
      <c r="A1858" s="28" t="s">
        <v>575</v>
      </c>
      <c r="B1858" s="28" t="s">
        <v>576</v>
      </c>
      <c r="C1858" s="28" t="s">
        <v>561</v>
      </c>
      <c r="D1858" s="28" t="s">
        <v>618</v>
      </c>
      <c r="E1858" s="28" t="s">
        <v>612</v>
      </c>
      <c r="F1858" s="28" t="s">
        <v>591</v>
      </c>
      <c r="G1858" s="29">
        <v>1273</v>
      </c>
      <c r="H1858" s="29">
        <v>2</v>
      </c>
      <c r="I1858" s="29">
        <v>1</v>
      </c>
      <c r="J1858" s="29">
        <v>1</v>
      </c>
      <c r="K1858" s="29">
        <v>0</v>
      </c>
      <c r="L1858" s="29">
        <v>0</v>
      </c>
      <c r="M1858" s="29">
        <v>0</v>
      </c>
      <c r="N1858" s="29">
        <v>0</v>
      </c>
      <c r="O1858" s="29">
        <v>0</v>
      </c>
    </row>
    <row r="1859" spans="1:15" x14ac:dyDescent="0.3">
      <c r="A1859" s="28" t="s">
        <v>575</v>
      </c>
      <c r="B1859" s="28" t="s">
        <v>576</v>
      </c>
      <c r="C1859" s="28" t="s">
        <v>561</v>
      </c>
      <c r="D1859" s="28" t="s">
        <v>618</v>
      </c>
      <c r="E1859" s="28" t="s">
        <v>612</v>
      </c>
      <c r="F1859" s="28" t="s">
        <v>592</v>
      </c>
      <c r="G1859" s="29">
        <v>1605</v>
      </c>
      <c r="H1859" s="29">
        <v>2</v>
      </c>
      <c r="I1859" s="29">
        <v>2</v>
      </c>
      <c r="J1859" s="29">
        <v>0</v>
      </c>
      <c r="K1859" s="29">
        <v>2</v>
      </c>
      <c r="L1859" s="29">
        <v>0</v>
      </c>
      <c r="M1859" s="29">
        <v>0</v>
      </c>
      <c r="N1859" s="29">
        <v>0</v>
      </c>
      <c r="O1859" s="29">
        <v>0</v>
      </c>
    </row>
    <row r="1860" spans="1:15" x14ac:dyDescent="0.3">
      <c r="A1860" s="28" t="s">
        <v>575</v>
      </c>
      <c r="B1860" s="28" t="s">
        <v>576</v>
      </c>
      <c r="C1860" s="28" t="s">
        <v>561</v>
      </c>
      <c r="D1860" s="28" t="s">
        <v>618</v>
      </c>
      <c r="E1860" s="28" t="s">
        <v>612</v>
      </c>
      <c r="F1860" s="28" t="s">
        <v>593</v>
      </c>
      <c r="G1860" s="29">
        <v>1857</v>
      </c>
      <c r="H1860" s="29">
        <v>2</v>
      </c>
      <c r="I1860" s="29">
        <v>1</v>
      </c>
      <c r="J1860" s="29">
        <v>1</v>
      </c>
      <c r="K1860" s="29">
        <v>0</v>
      </c>
      <c r="L1860" s="29">
        <v>0</v>
      </c>
      <c r="M1860" s="29">
        <v>0</v>
      </c>
      <c r="N1860" s="29">
        <v>0</v>
      </c>
      <c r="O1860" s="29">
        <v>0</v>
      </c>
    </row>
    <row r="1861" spans="1:15" x14ac:dyDescent="0.3">
      <c r="A1861" s="28" t="s">
        <v>575</v>
      </c>
      <c r="B1861" s="28" t="s">
        <v>576</v>
      </c>
      <c r="C1861" s="28" t="s">
        <v>561</v>
      </c>
      <c r="D1861" s="28" t="s">
        <v>618</v>
      </c>
      <c r="E1861" s="28" t="s">
        <v>612</v>
      </c>
      <c r="F1861" s="28" t="s">
        <v>594</v>
      </c>
      <c r="G1861" s="29">
        <v>1280</v>
      </c>
      <c r="H1861" s="29">
        <v>1</v>
      </c>
      <c r="I1861" s="29">
        <v>0</v>
      </c>
      <c r="J1861" s="29">
        <v>0</v>
      </c>
      <c r="K1861" s="29">
        <v>0</v>
      </c>
      <c r="L1861" s="29">
        <v>0</v>
      </c>
      <c r="M1861" s="29">
        <v>0</v>
      </c>
      <c r="N1861" s="29">
        <v>0</v>
      </c>
      <c r="O1861" s="29">
        <v>0</v>
      </c>
    </row>
    <row r="1862" spans="1:15" x14ac:dyDescent="0.3">
      <c r="A1862" s="28" t="s">
        <v>575</v>
      </c>
      <c r="B1862" s="28" t="s">
        <v>576</v>
      </c>
      <c r="C1862" s="28" t="s">
        <v>561</v>
      </c>
      <c r="D1862" s="28" t="s">
        <v>618</v>
      </c>
      <c r="E1862" s="28" t="s">
        <v>612</v>
      </c>
      <c r="F1862" s="28" t="s">
        <v>595</v>
      </c>
      <c r="G1862" s="29">
        <v>613</v>
      </c>
      <c r="H1862" s="29">
        <v>0</v>
      </c>
      <c r="I1862" s="29">
        <v>0</v>
      </c>
      <c r="J1862" s="29">
        <v>0</v>
      </c>
      <c r="K1862" s="29">
        <v>0</v>
      </c>
      <c r="L1862" s="29">
        <v>0</v>
      </c>
      <c r="M1862" s="29">
        <v>0</v>
      </c>
      <c r="N1862" s="29">
        <v>0</v>
      </c>
      <c r="O1862" s="29">
        <v>0</v>
      </c>
    </row>
    <row r="1863" spans="1:15" x14ac:dyDescent="0.3">
      <c r="A1863" s="28" t="s">
        <v>575</v>
      </c>
      <c r="B1863" s="28" t="s">
        <v>576</v>
      </c>
      <c r="C1863" s="28" t="s">
        <v>561</v>
      </c>
      <c r="D1863" s="28" t="s">
        <v>618</v>
      </c>
      <c r="E1863" s="28" t="s">
        <v>613</v>
      </c>
      <c r="F1863" s="28" t="s">
        <v>597</v>
      </c>
      <c r="G1863" s="29">
        <v>227</v>
      </c>
      <c r="H1863" s="29">
        <v>0</v>
      </c>
      <c r="I1863" s="29">
        <v>0</v>
      </c>
      <c r="J1863" s="29">
        <v>0</v>
      </c>
      <c r="K1863" s="29">
        <v>0</v>
      </c>
      <c r="L1863" s="29">
        <v>0</v>
      </c>
      <c r="M1863" s="29">
        <v>0</v>
      </c>
      <c r="N1863" s="29">
        <v>0</v>
      </c>
      <c r="O1863" s="29">
        <v>0</v>
      </c>
    </row>
    <row r="1864" spans="1:15" x14ac:dyDescent="0.3">
      <c r="A1864" s="28" t="s">
        <v>575</v>
      </c>
      <c r="B1864" s="28" t="s">
        <v>576</v>
      </c>
      <c r="C1864" s="28" t="s">
        <v>561</v>
      </c>
      <c r="D1864" s="28" t="s">
        <v>618</v>
      </c>
      <c r="E1864" s="28" t="s">
        <v>613</v>
      </c>
      <c r="F1864" s="28" t="s">
        <v>598</v>
      </c>
      <c r="G1864" s="29">
        <v>97</v>
      </c>
      <c r="H1864" s="29">
        <v>0</v>
      </c>
      <c r="I1864" s="29">
        <v>0</v>
      </c>
      <c r="J1864" s="29">
        <v>0</v>
      </c>
      <c r="K1864" s="29">
        <v>0</v>
      </c>
      <c r="L1864" s="29">
        <v>0</v>
      </c>
      <c r="M1864" s="29">
        <v>0</v>
      </c>
      <c r="N1864" s="29">
        <v>0</v>
      </c>
      <c r="O1864" s="29">
        <v>0</v>
      </c>
    </row>
    <row r="1865" spans="1:15" x14ac:dyDescent="0.3">
      <c r="A1865" s="28" t="s">
        <v>575</v>
      </c>
      <c r="B1865" s="28" t="s">
        <v>576</v>
      </c>
      <c r="C1865" s="28" t="s">
        <v>561</v>
      </c>
      <c r="D1865" s="28" t="s">
        <v>618</v>
      </c>
      <c r="E1865" s="28" t="s">
        <v>613</v>
      </c>
      <c r="F1865" s="28" t="s">
        <v>599</v>
      </c>
      <c r="G1865" s="29">
        <v>40</v>
      </c>
      <c r="H1865" s="29">
        <v>0</v>
      </c>
      <c r="I1865" s="29">
        <v>0</v>
      </c>
      <c r="J1865" s="29">
        <v>0</v>
      </c>
      <c r="K1865" s="29">
        <v>0</v>
      </c>
      <c r="L1865" s="29">
        <v>0</v>
      </c>
      <c r="M1865" s="29">
        <v>0</v>
      </c>
      <c r="N1865" s="29">
        <v>0</v>
      </c>
      <c r="O1865" s="29">
        <v>0</v>
      </c>
    </row>
    <row r="1866" spans="1:15" x14ac:dyDescent="0.3">
      <c r="A1866" s="28" t="s">
        <v>575</v>
      </c>
      <c r="B1866" s="28" t="s">
        <v>576</v>
      </c>
      <c r="C1866" s="28" t="s">
        <v>561</v>
      </c>
      <c r="D1866" s="28" t="s">
        <v>618</v>
      </c>
      <c r="E1866" s="28" t="s">
        <v>613</v>
      </c>
      <c r="F1866" s="28" t="s">
        <v>600</v>
      </c>
      <c r="G1866" s="29">
        <v>25</v>
      </c>
      <c r="H1866" s="29">
        <v>0</v>
      </c>
      <c r="I1866" s="29">
        <v>0</v>
      </c>
      <c r="J1866" s="29">
        <v>0</v>
      </c>
      <c r="K1866" s="29">
        <v>0</v>
      </c>
      <c r="L1866" s="29">
        <v>0</v>
      </c>
      <c r="M1866" s="29">
        <v>0</v>
      </c>
      <c r="N1866" s="29">
        <v>0</v>
      </c>
      <c r="O1866" s="29">
        <v>0</v>
      </c>
    </row>
    <row r="1867" spans="1:15" x14ac:dyDescent="0.3">
      <c r="A1867" s="28" t="s">
        <v>575</v>
      </c>
      <c r="B1867" s="28" t="s">
        <v>576</v>
      </c>
      <c r="C1867" s="28" t="s">
        <v>561</v>
      </c>
      <c r="D1867" s="28" t="s">
        <v>618</v>
      </c>
      <c r="E1867" s="28" t="s">
        <v>613</v>
      </c>
      <c r="F1867" s="28" t="s">
        <v>601</v>
      </c>
      <c r="G1867" s="29">
        <v>27</v>
      </c>
      <c r="H1867" s="29">
        <v>0</v>
      </c>
      <c r="I1867" s="29">
        <v>0</v>
      </c>
      <c r="J1867" s="29">
        <v>0</v>
      </c>
      <c r="K1867" s="29">
        <v>0</v>
      </c>
      <c r="L1867" s="29">
        <v>0</v>
      </c>
      <c r="M1867" s="29">
        <v>0</v>
      </c>
      <c r="N1867" s="29">
        <v>0</v>
      </c>
      <c r="O1867" s="29">
        <v>0</v>
      </c>
    </row>
    <row r="1868" spans="1:15" x14ac:dyDescent="0.3">
      <c r="A1868" s="28" t="s">
        <v>575</v>
      </c>
      <c r="B1868" s="28" t="s">
        <v>576</v>
      </c>
      <c r="C1868" s="28" t="s">
        <v>561</v>
      </c>
      <c r="D1868" s="28" t="s">
        <v>618</v>
      </c>
      <c r="E1868" s="28" t="s">
        <v>613</v>
      </c>
      <c r="F1868" s="28" t="s">
        <v>602</v>
      </c>
      <c r="G1868" s="29">
        <v>87</v>
      </c>
      <c r="H1868" s="29">
        <v>0</v>
      </c>
      <c r="I1868" s="29">
        <v>0</v>
      </c>
      <c r="J1868" s="29">
        <v>0</v>
      </c>
      <c r="K1868" s="29">
        <v>0</v>
      </c>
      <c r="L1868" s="29">
        <v>0</v>
      </c>
      <c r="M1868" s="29">
        <v>0</v>
      </c>
      <c r="N1868" s="29">
        <v>0</v>
      </c>
      <c r="O1868" s="29">
        <v>0</v>
      </c>
    </row>
    <row r="1869" spans="1:15" x14ac:dyDescent="0.3">
      <c r="A1869" s="28" t="s">
        <v>575</v>
      </c>
      <c r="B1869" s="28" t="s">
        <v>576</v>
      </c>
      <c r="C1869" s="28" t="s">
        <v>561</v>
      </c>
      <c r="D1869" s="28" t="s">
        <v>618</v>
      </c>
      <c r="E1869" s="28" t="s">
        <v>613</v>
      </c>
      <c r="F1869" s="28" t="s">
        <v>603</v>
      </c>
      <c r="G1869" s="29">
        <v>297</v>
      </c>
      <c r="H1869" s="29">
        <v>0</v>
      </c>
      <c r="I1869" s="29">
        <v>0</v>
      </c>
      <c r="J1869" s="29">
        <v>0</v>
      </c>
      <c r="K1869" s="29">
        <v>0</v>
      </c>
      <c r="L1869" s="29">
        <v>0</v>
      </c>
      <c r="M1869" s="29">
        <v>0</v>
      </c>
      <c r="N1869" s="29">
        <v>0</v>
      </c>
      <c r="O1869" s="29">
        <v>0</v>
      </c>
    </row>
    <row r="1870" spans="1:15" x14ac:dyDescent="0.3">
      <c r="A1870" s="28" t="s">
        <v>575</v>
      </c>
      <c r="B1870" s="28" t="s">
        <v>576</v>
      </c>
      <c r="C1870" s="28" t="s">
        <v>561</v>
      </c>
      <c r="D1870" s="28" t="s">
        <v>618</v>
      </c>
      <c r="E1870" s="28" t="s">
        <v>613</v>
      </c>
      <c r="F1870" s="28" t="s">
        <v>604</v>
      </c>
      <c r="G1870" s="29">
        <v>657</v>
      </c>
      <c r="H1870" s="29">
        <v>0</v>
      </c>
      <c r="I1870" s="29">
        <v>4</v>
      </c>
      <c r="J1870" s="29">
        <v>0</v>
      </c>
      <c r="K1870" s="29">
        <v>4</v>
      </c>
      <c r="L1870" s="29">
        <v>1500</v>
      </c>
      <c r="M1870" s="29">
        <v>0</v>
      </c>
      <c r="N1870" s="29">
        <v>1500</v>
      </c>
      <c r="O1870" s="29">
        <v>0</v>
      </c>
    </row>
    <row r="1871" spans="1:15" x14ac:dyDescent="0.3">
      <c r="A1871" s="28" t="s">
        <v>575</v>
      </c>
      <c r="B1871" s="28" t="s">
        <v>576</v>
      </c>
      <c r="C1871" s="28" t="s">
        <v>561</v>
      </c>
      <c r="D1871" s="28" t="s">
        <v>618</v>
      </c>
      <c r="E1871" s="28" t="s">
        <v>613</v>
      </c>
      <c r="F1871" s="28" t="s">
        <v>581</v>
      </c>
      <c r="G1871" s="29">
        <v>763</v>
      </c>
      <c r="H1871" s="29">
        <v>1</v>
      </c>
      <c r="I1871" s="29">
        <v>2</v>
      </c>
      <c r="J1871" s="29">
        <v>1</v>
      </c>
      <c r="K1871" s="29">
        <v>1</v>
      </c>
      <c r="L1871" s="29">
        <v>0</v>
      </c>
      <c r="M1871" s="29">
        <v>0</v>
      </c>
      <c r="N1871" s="29">
        <v>0</v>
      </c>
      <c r="O1871" s="29">
        <v>0</v>
      </c>
    </row>
    <row r="1872" spans="1:15" x14ac:dyDescent="0.3">
      <c r="A1872" s="28" t="s">
        <v>575</v>
      </c>
      <c r="B1872" s="28" t="s">
        <v>576</v>
      </c>
      <c r="C1872" s="28" t="s">
        <v>561</v>
      </c>
      <c r="D1872" s="28" t="s">
        <v>618</v>
      </c>
      <c r="E1872" s="28" t="s">
        <v>613</v>
      </c>
      <c r="F1872" s="28" t="s">
        <v>582</v>
      </c>
      <c r="G1872" s="29">
        <v>739</v>
      </c>
      <c r="H1872" s="29">
        <v>1</v>
      </c>
      <c r="I1872" s="29">
        <v>2</v>
      </c>
      <c r="J1872" s="29">
        <v>1</v>
      </c>
      <c r="K1872" s="29">
        <v>1</v>
      </c>
      <c r="L1872" s="29">
        <v>500</v>
      </c>
      <c r="M1872" s="29">
        <v>500</v>
      </c>
      <c r="N1872" s="29">
        <v>0</v>
      </c>
      <c r="O1872" s="29">
        <v>0</v>
      </c>
    </row>
    <row r="1873" spans="1:15" x14ac:dyDescent="0.3">
      <c r="A1873" s="28" t="s">
        <v>575</v>
      </c>
      <c r="B1873" s="28" t="s">
        <v>576</v>
      </c>
      <c r="C1873" s="28" t="s">
        <v>561</v>
      </c>
      <c r="D1873" s="28" t="s">
        <v>618</v>
      </c>
      <c r="E1873" s="28" t="s">
        <v>613</v>
      </c>
      <c r="F1873" s="28" t="s">
        <v>583</v>
      </c>
      <c r="G1873" s="29">
        <v>832</v>
      </c>
      <c r="H1873" s="29">
        <v>0</v>
      </c>
      <c r="I1873" s="29">
        <v>1</v>
      </c>
      <c r="J1873" s="29">
        <v>0</v>
      </c>
      <c r="K1873" s="29">
        <v>1</v>
      </c>
      <c r="L1873" s="29">
        <v>0</v>
      </c>
      <c r="M1873" s="29">
        <v>0</v>
      </c>
      <c r="N1873" s="29">
        <v>0</v>
      </c>
      <c r="O1873" s="29">
        <v>0</v>
      </c>
    </row>
    <row r="1874" spans="1:15" x14ac:dyDescent="0.3">
      <c r="A1874" s="28" t="s">
        <v>575</v>
      </c>
      <c r="B1874" s="28" t="s">
        <v>576</v>
      </c>
      <c r="C1874" s="28" t="s">
        <v>561</v>
      </c>
      <c r="D1874" s="28" t="s">
        <v>618</v>
      </c>
      <c r="E1874" s="28" t="s">
        <v>613</v>
      </c>
      <c r="F1874" s="28" t="s">
        <v>584</v>
      </c>
      <c r="G1874" s="29">
        <v>916</v>
      </c>
      <c r="H1874" s="29">
        <v>0</v>
      </c>
      <c r="I1874" s="29">
        <v>0</v>
      </c>
      <c r="J1874" s="29">
        <v>0</v>
      </c>
      <c r="K1874" s="29">
        <v>0</v>
      </c>
      <c r="L1874" s="29">
        <v>0</v>
      </c>
      <c r="M1874" s="29">
        <v>0</v>
      </c>
      <c r="N1874" s="29">
        <v>0</v>
      </c>
      <c r="O1874" s="29">
        <v>0</v>
      </c>
    </row>
    <row r="1875" spans="1:15" x14ac:dyDescent="0.3">
      <c r="A1875" s="28" t="s">
        <v>575</v>
      </c>
      <c r="B1875" s="28" t="s">
        <v>576</v>
      </c>
      <c r="C1875" s="28" t="s">
        <v>561</v>
      </c>
      <c r="D1875" s="28" t="s">
        <v>618</v>
      </c>
      <c r="E1875" s="28" t="s">
        <v>613</v>
      </c>
      <c r="F1875" s="28" t="s">
        <v>585</v>
      </c>
      <c r="G1875" s="29">
        <v>917</v>
      </c>
      <c r="H1875" s="29">
        <v>1</v>
      </c>
      <c r="I1875" s="29">
        <v>0</v>
      </c>
      <c r="J1875" s="29">
        <v>0</v>
      </c>
      <c r="K1875" s="29">
        <v>0</v>
      </c>
      <c r="L1875" s="29">
        <v>0</v>
      </c>
      <c r="M1875" s="29">
        <v>0</v>
      </c>
      <c r="N1875" s="29">
        <v>0</v>
      </c>
      <c r="O1875" s="29">
        <v>0</v>
      </c>
    </row>
    <row r="1876" spans="1:15" x14ac:dyDescent="0.3">
      <c r="A1876" s="28" t="s">
        <v>575</v>
      </c>
      <c r="B1876" s="28" t="s">
        <v>576</v>
      </c>
      <c r="C1876" s="28" t="s">
        <v>561</v>
      </c>
      <c r="D1876" s="28" t="s">
        <v>618</v>
      </c>
      <c r="E1876" s="28" t="s">
        <v>613</v>
      </c>
      <c r="F1876" s="28" t="s">
        <v>586</v>
      </c>
      <c r="G1876" s="29">
        <v>1205</v>
      </c>
      <c r="H1876" s="29">
        <v>2</v>
      </c>
      <c r="I1876" s="29">
        <v>2</v>
      </c>
      <c r="J1876" s="29">
        <v>1</v>
      </c>
      <c r="K1876" s="29">
        <v>1</v>
      </c>
      <c r="L1876" s="29">
        <v>0</v>
      </c>
      <c r="M1876" s="29">
        <v>0</v>
      </c>
      <c r="N1876" s="29">
        <v>0</v>
      </c>
      <c r="O1876" s="29">
        <v>0</v>
      </c>
    </row>
    <row r="1877" spans="1:15" x14ac:dyDescent="0.3">
      <c r="A1877" s="28" t="s">
        <v>575</v>
      </c>
      <c r="B1877" s="28" t="s">
        <v>576</v>
      </c>
      <c r="C1877" s="28" t="s">
        <v>561</v>
      </c>
      <c r="D1877" s="28" t="s">
        <v>618</v>
      </c>
      <c r="E1877" s="28" t="s">
        <v>613</v>
      </c>
      <c r="F1877" s="28" t="s">
        <v>587</v>
      </c>
      <c r="G1877" s="29">
        <v>1294</v>
      </c>
      <c r="H1877" s="29">
        <v>3</v>
      </c>
      <c r="I1877" s="29">
        <v>2</v>
      </c>
      <c r="J1877" s="29">
        <v>1</v>
      </c>
      <c r="K1877" s="29">
        <v>1</v>
      </c>
      <c r="L1877" s="29">
        <v>0</v>
      </c>
      <c r="M1877" s="29">
        <v>0</v>
      </c>
      <c r="N1877" s="29">
        <v>0</v>
      </c>
      <c r="O1877" s="29">
        <v>0</v>
      </c>
    </row>
    <row r="1878" spans="1:15" x14ac:dyDescent="0.3">
      <c r="A1878" s="28" t="s">
        <v>575</v>
      </c>
      <c r="B1878" s="28" t="s">
        <v>576</v>
      </c>
      <c r="C1878" s="28" t="s">
        <v>561</v>
      </c>
      <c r="D1878" s="28" t="s">
        <v>618</v>
      </c>
      <c r="E1878" s="28" t="s">
        <v>613</v>
      </c>
      <c r="F1878" s="28" t="s">
        <v>579</v>
      </c>
      <c r="G1878" s="29">
        <v>1494</v>
      </c>
      <c r="H1878" s="29">
        <v>0</v>
      </c>
      <c r="I1878" s="29">
        <v>1</v>
      </c>
      <c r="J1878" s="29">
        <v>1</v>
      </c>
      <c r="K1878" s="29">
        <v>0</v>
      </c>
      <c r="L1878" s="29">
        <v>0</v>
      </c>
      <c r="M1878" s="29">
        <v>0</v>
      </c>
      <c r="N1878" s="29">
        <v>0</v>
      </c>
      <c r="O1878" s="29">
        <v>0</v>
      </c>
    </row>
    <row r="1879" spans="1:15" x14ac:dyDescent="0.3">
      <c r="A1879" s="28" t="s">
        <v>575</v>
      </c>
      <c r="B1879" s="28" t="s">
        <v>576</v>
      </c>
      <c r="C1879" s="28" t="s">
        <v>561</v>
      </c>
      <c r="D1879" s="28" t="s">
        <v>618</v>
      </c>
      <c r="E1879" s="28" t="s">
        <v>613</v>
      </c>
      <c r="F1879" s="28" t="s">
        <v>588</v>
      </c>
      <c r="G1879" s="29">
        <v>1453</v>
      </c>
      <c r="H1879" s="29">
        <v>2</v>
      </c>
      <c r="I1879" s="29">
        <v>2</v>
      </c>
      <c r="J1879" s="29">
        <v>1</v>
      </c>
      <c r="K1879" s="29">
        <v>1</v>
      </c>
      <c r="L1879" s="29">
        <v>0</v>
      </c>
      <c r="M1879" s="29">
        <v>0</v>
      </c>
      <c r="N1879" s="29">
        <v>0</v>
      </c>
      <c r="O1879" s="29">
        <v>0</v>
      </c>
    </row>
    <row r="1880" spans="1:15" x14ac:dyDescent="0.3">
      <c r="A1880" s="28" t="s">
        <v>575</v>
      </c>
      <c r="B1880" s="28" t="s">
        <v>576</v>
      </c>
      <c r="C1880" s="28" t="s">
        <v>561</v>
      </c>
      <c r="D1880" s="28" t="s">
        <v>618</v>
      </c>
      <c r="E1880" s="28" t="s">
        <v>613</v>
      </c>
      <c r="F1880" s="28" t="s">
        <v>589</v>
      </c>
      <c r="G1880" s="29">
        <v>1198</v>
      </c>
      <c r="H1880" s="29">
        <v>1</v>
      </c>
      <c r="I1880" s="29">
        <v>0</v>
      </c>
      <c r="J1880" s="29">
        <v>0</v>
      </c>
      <c r="K1880" s="29">
        <v>0</v>
      </c>
      <c r="L1880" s="29">
        <v>0</v>
      </c>
      <c r="M1880" s="29">
        <v>0</v>
      </c>
      <c r="N1880" s="29">
        <v>0</v>
      </c>
      <c r="O1880" s="29">
        <v>0</v>
      </c>
    </row>
    <row r="1881" spans="1:15" x14ac:dyDescent="0.3">
      <c r="A1881" s="28" t="s">
        <v>575</v>
      </c>
      <c r="B1881" s="28" t="s">
        <v>576</v>
      </c>
      <c r="C1881" s="28" t="s">
        <v>561</v>
      </c>
      <c r="D1881" s="28" t="s">
        <v>618</v>
      </c>
      <c r="E1881" s="28" t="s">
        <v>613</v>
      </c>
      <c r="F1881" s="28" t="s">
        <v>590</v>
      </c>
      <c r="G1881" s="29">
        <v>1452</v>
      </c>
      <c r="H1881" s="29">
        <v>0</v>
      </c>
      <c r="I1881" s="29">
        <v>0</v>
      </c>
      <c r="J1881" s="29">
        <v>0</v>
      </c>
      <c r="K1881" s="29">
        <v>0</v>
      </c>
      <c r="L1881" s="29">
        <v>0</v>
      </c>
      <c r="M1881" s="29">
        <v>0</v>
      </c>
      <c r="N1881" s="29">
        <v>0</v>
      </c>
      <c r="O1881" s="29">
        <v>0</v>
      </c>
    </row>
    <row r="1882" spans="1:15" x14ac:dyDescent="0.3">
      <c r="A1882" s="28" t="s">
        <v>575</v>
      </c>
      <c r="B1882" s="28" t="s">
        <v>576</v>
      </c>
      <c r="C1882" s="28" t="s">
        <v>561</v>
      </c>
      <c r="D1882" s="28" t="s">
        <v>618</v>
      </c>
      <c r="E1882" s="28" t="s">
        <v>613</v>
      </c>
      <c r="F1882" s="28" t="s">
        <v>591</v>
      </c>
      <c r="G1882" s="29">
        <v>148</v>
      </c>
      <c r="H1882" s="29">
        <v>0</v>
      </c>
      <c r="I1882" s="29">
        <v>1</v>
      </c>
      <c r="J1882" s="29">
        <v>0</v>
      </c>
      <c r="K1882" s="29">
        <v>1</v>
      </c>
      <c r="L1882" s="29">
        <v>0</v>
      </c>
      <c r="M1882" s="29">
        <v>0</v>
      </c>
      <c r="N1882" s="29">
        <v>0</v>
      </c>
      <c r="O1882" s="29">
        <v>0</v>
      </c>
    </row>
    <row r="1883" spans="1:15" x14ac:dyDescent="0.3">
      <c r="A1883" s="28" t="s">
        <v>575</v>
      </c>
      <c r="B1883" s="28" t="s">
        <v>576</v>
      </c>
      <c r="C1883" s="28" t="s">
        <v>561</v>
      </c>
      <c r="D1883" s="28" t="s">
        <v>618</v>
      </c>
      <c r="E1883" s="28" t="s">
        <v>613</v>
      </c>
      <c r="F1883" s="28" t="s">
        <v>592</v>
      </c>
      <c r="G1883" s="29">
        <v>153</v>
      </c>
      <c r="H1883" s="29">
        <v>0</v>
      </c>
      <c r="I1883" s="29">
        <v>2</v>
      </c>
      <c r="J1883" s="29">
        <v>0</v>
      </c>
      <c r="K1883" s="29">
        <v>2</v>
      </c>
      <c r="L1883" s="29">
        <v>0</v>
      </c>
      <c r="M1883" s="29">
        <v>0</v>
      </c>
      <c r="N1883" s="29">
        <v>0</v>
      </c>
      <c r="O1883" s="29">
        <v>0</v>
      </c>
    </row>
    <row r="1884" spans="1:15" x14ac:dyDescent="0.3">
      <c r="A1884" s="28" t="s">
        <v>575</v>
      </c>
      <c r="B1884" s="28" t="s">
        <v>576</v>
      </c>
      <c r="C1884" s="28" t="s">
        <v>561</v>
      </c>
      <c r="D1884" s="28" t="s">
        <v>618</v>
      </c>
      <c r="E1884" s="28" t="s">
        <v>613</v>
      </c>
      <c r="F1884" s="28" t="s">
        <v>593</v>
      </c>
      <c r="G1884" s="29">
        <v>1038</v>
      </c>
      <c r="H1884" s="29">
        <v>0</v>
      </c>
      <c r="I1884" s="29">
        <v>0</v>
      </c>
      <c r="J1884" s="29">
        <v>0</v>
      </c>
      <c r="K1884" s="29">
        <v>0</v>
      </c>
      <c r="L1884" s="29">
        <v>0</v>
      </c>
      <c r="M1884" s="29">
        <v>0</v>
      </c>
      <c r="N1884" s="29">
        <v>0</v>
      </c>
      <c r="O1884" s="29">
        <v>0</v>
      </c>
    </row>
    <row r="1885" spans="1:15" x14ac:dyDescent="0.3">
      <c r="A1885" s="28" t="s">
        <v>575</v>
      </c>
      <c r="B1885" s="28" t="s">
        <v>576</v>
      </c>
      <c r="C1885" s="28" t="s">
        <v>561</v>
      </c>
      <c r="D1885" s="28" t="s">
        <v>618</v>
      </c>
      <c r="E1885" s="28" t="s">
        <v>613</v>
      </c>
      <c r="F1885" s="28" t="s">
        <v>594</v>
      </c>
      <c r="G1885" s="29">
        <v>1369</v>
      </c>
      <c r="H1885" s="29">
        <v>0</v>
      </c>
      <c r="I1885" s="29">
        <v>0</v>
      </c>
      <c r="J1885" s="29">
        <v>0</v>
      </c>
      <c r="K1885" s="29">
        <v>0</v>
      </c>
      <c r="L1885" s="29">
        <v>0</v>
      </c>
      <c r="M1885" s="29">
        <v>0</v>
      </c>
      <c r="N1885" s="29">
        <v>0</v>
      </c>
      <c r="O1885" s="29">
        <v>0</v>
      </c>
    </row>
    <row r="1886" spans="1:15" x14ac:dyDescent="0.3">
      <c r="A1886" s="28" t="s">
        <v>575</v>
      </c>
      <c r="B1886" s="28" t="s">
        <v>576</v>
      </c>
      <c r="C1886" s="28" t="s">
        <v>561</v>
      </c>
      <c r="D1886" s="28" t="s">
        <v>618</v>
      </c>
      <c r="E1886" s="28" t="s">
        <v>613</v>
      </c>
      <c r="F1886" s="28" t="s">
        <v>595</v>
      </c>
      <c r="G1886" s="29">
        <v>881</v>
      </c>
      <c r="H1886" s="29">
        <v>0</v>
      </c>
      <c r="I1886" s="29">
        <v>0</v>
      </c>
      <c r="J1886" s="29">
        <v>0</v>
      </c>
      <c r="K1886" s="29">
        <v>0</v>
      </c>
      <c r="L1886" s="29">
        <v>0</v>
      </c>
      <c r="M1886" s="29">
        <v>0</v>
      </c>
      <c r="N1886" s="29">
        <v>0</v>
      </c>
      <c r="O1886" s="29">
        <v>0</v>
      </c>
    </row>
    <row r="1887" spans="1:15" x14ac:dyDescent="0.3">
      <c r="A1887" s="28" t="s">
        <v>575</v>
      </c>
      <c r="B1887" s="28" t="s">
        <v>576</v>
      </c>
      <c r="C1887" s="28" t="s">
        <v>561</v>
      </c>
      <c r="D1887" s="28" t="s">
        <v>618</v>
      </c>
      <c r="E1887" s="28" t="s">
        <v>614</v>
      </c>
      <c r="F1887" s="28" t="s">
        <v>597</v>
      </c>
      <c r="G1887" s="29">
        <v>444</v>
      </c>
      <c r="H1887" s="29">
        <v>0</v>
      </c>
      <c r="I1887" s="29">
        <v>0</v>
      </c>
      <c r="J1887" s="29">
        <v>0</v>
      </c>
      <c r="K1887" s="29">
        <v>0</v>
      </c>
      <c r="L1887" s="29">
        <v>0</v>
      </c>
      <c r="M1887" s="29">
        <v>0</v>
      </c>
      <c r="N1887" s="29">
        <v>0</v>
      </c>
      <c r="O1887" s="29">
        <v>0</v>
      </c>
    </row>
    <row r="1888" spans="1:15" x14ac:dyDescent="0.3">
      <c r="A1888" s="28" t="s">
        <v>575</v>
      </c>
      <c r="B1888" s="28" t="s">
        <v>576</v>
      </c>
      <c r="C1888" s="28" t="s">
        <v>561</v>
      </c>
      <c r="D1888" s="28" t="s">
        <v>618</v>
      </c>
      <c r="E1888" s="28" t="s">
        <v>614</v>
      </c>
      <c r="F1888" s="28" t="s">
        <v>598</v>
      </c>
      <c r="G1888" s="29">
        <v>169</v>
      </c>
      <c r="H1888" s="29">
        <v>0</v>
      </c>
      <c r="I1888" s="29">
        <v>0</v>
      </c>
      <c r="J1888" s="29">
        <v>0</v>
      </c>
      <c r="K1888" s="29">
        <v>0</v>
      </c>
      <c r="L1888" s="29">
        <v>0</v>
      </c>
      <c r="M1888" s="29">
        <v>0</v>
      </c>
      <c r="N1888" s="29">
        <v>0</v>
      </c>
      <c r="O1888" s="29">
        <v>0</v>
      </c>
    </row>
    <row r="1889" spans="1:15" x14ac:dyDescent="0.3">
      <c r="A1889" s="28" t="s">
        <v>575</v>
      </c>
      <c r="B1889" s="28" t="s">
        <v>576</v>
      </c>
      <c r="C1889" s="28" t="s">
        <v>561</v>
      </c>
      <c r="D1889" s="28" t="s">
        <v>618</v>
      </c>
      <c r="E1889" s="28" t="s">
        <v>614</v>
      </c>
      <c r="F1889" s="28" t="s">
        <v>599</v>
      </c>
      <c r="G1889" s="29">
        <v>31</v>
      </c>
      <c r="H1889" s="29">
        <v>0</v>
      </c>
      <c r="I1889" s="29">
        <v>0</v>
      </c>
      <c r="J1889" s="29">
        <v>0</v>
      </c>
      <c r="K1889" s="29">
        <v>0</v>
      </c>
      <c r="L1889" s="29">
        <v>0</v>
      </c>
      <c r="M1889" s="29">
        <v>0</v>
      </c>
      <c r="N1889" s="29">
        <v>0</v>
      </c>
      <c r="O1889" s="29">
        <v>0</v>
      </c>
    </row>
    <row r="1890" spans="1:15" x14ac:dyDescent="0.3">
      <c r="A1890" s="28" t="s">
        <v>575</v>
      </c>
      <c r="B1890" s="28" t="s">
        <v>576</v>
      </c>
      <c r="C1890" s="28" t="s">
        <v>561</v>
      </c>
      <c r="D1890" s="28" t="s">
        <v>618</v>
      </c>
      <c r="E1890" s="28" t="s">
        <v>614</v>
      </c>
      <c r="F1890" s="28" t="s">
        <v>600</v>
      </c>
      <c r="G1890" s="29">
        <v>17</v>
      </c>
      <c r="H1890" s="29">
        <v>0</v>
      </c>
      <c r="I1890" s="29">
        <v>0</v>
      </c>
      <c r="J1890" s="29">
        <v>0</v>
      </c>
      <c r="K1890" s="29">
        <v>0</v>
      </c>
      <c r="L1890" s="29">
        <v>0</v>
      </c>
      <c r="M1890" s="29">
        <v>0</v>
      </c>
      <c r="N1890" s="29">
        <v>0</v>
      </c>
      <c r="O1890" s="29">
        <v>0</v>
      </c>
    </row>
    <row r="1891" spans="1:15" x14ac:dyDescent="0.3">
      <c r="A1891" s="28" t="s">
        <v>575</v>
      </c>
      <c r="B1891" s="28" t="s">
        <v>576</v>
      </c>
      <c r="C1891" s="28" t="s">
        <v>561</v>
      </c>
      <c r="D1891" s="28" t="s">
        <v>618</v>
      </c>
      <c r="E1891" s="28" t="s">
        <v>614</v>
      </c>
      <c r="F1891" s="28" t="s">
        <v>601</v>
      </c>
      <c r="G1891" s="29">
        <v>7</v>
      </c>
      <c r="H1891" s="29">
        <v>0</v>
      </c>
      <c r="I1891" s="29">
        <v>0</v>
      </c>
      <c r="J1891" s="29">
        <v>0</v>
      </c>
      <c r="K1891" s="29">
        <v>0</v>
      </c>
      <c r="L1891" s="29">
        <v>0</v>
      </c>
      <c r="M1891" s="29">
        <v>0</v>
      </c>
      <c r="N1891" s="29">
        <v>0</v>
      </c>
      <c r="O1891" s="29">
        <v>0</v>
      </c>
    </row>
    <row r="1892" spans="1:15" x14ac:dyDescent="0.3">
      <c r="A1892" s="28" t="s">
        <v>575</v>
      </c>
      <c r="B1892" s="28" t="s">
        <v>576</v>
      </c>
      <c r="C1892" s="28" t="s">
        <v>561</v>
      </c>
      <c r="D1892" s="28" t="s">
        <v>618</v>
      </c>
      <c r="E1892" s="28" t="s">
        <v>614</v>
      </c>
      <c r="F1892" s="28" t="s">
        <v>603</v>
      </c>
      <c r="G1892" s="29">
        <v>0</v>
      </c>
      <c r="H1892" s="29">
        <v>0</v>
      </c>
      <c r="I1892" s="29">
        <v>1</v>
      </c>
      <c r="J1892" s="29">
        <v>0</v>
      </c>
      <c r="K1892" s="29">
        <v>1</v>
      </c>
      <c r="L1892" s="29">
        <v>0</v>
      </c>
      <c r="M1892" s="29">
        <v>0</v>
      </c>
      <c r="N1892" s="29">
        <v>0</v>
      </c>
      <c r="O1892" s="29">
        <v>0</v>
      </c>
    </row>
    <row r="1893" spans="1:15" x14ac:dyDescent="0.3">
      <c r="A1893" s="28" t="s">
        <v>575</v>
      </c>
      <c r="B1893" s="28" t="s">
        <v>576</v>
      </c>
      <c r="C1893" s="28" t="s">
        <v>561</v>
      </c>
      <c r="D1893" s="28" t="s">
        <v>618</v>
      </c>
      <c r="E1893" s="28" t="s">
        <v>614</v>
      </c>
      <c r="F1893" s="28" t="s">
        <v>581</v>
      </c>
      <c r="G1893" s="29">
        <v>32</v>
      </c>
      <c r="H1893" s="29">
        <v>0</v>
      </c>
      <c r="I1893" s="29">
        <v>0</v>
      </c>
      <c r="J1893" s="29">
        <v>0</v>
      </c>
      <c r="K1893" s="29">
        <v>0</v>
      </c>
      <c r="L1893" s="29">
        <v>0</v>
      </c>
      <c r="M1893" s="29">
        <v>0</v>
      </c>
      <c r="N1893" s="29">
        <v>0</v>
      </c>
      <c r="O1893" s="29">
        <v>0</v>
      </c>
    </row>
    <row r="1894" spans="1:15" x14ac:dyDescent="0.3">
      <c r="A1894" s="28" t="s">
        <v>575</v>
      </c>
      <c r="B1894" s="28" t="s">
        <v>576</v>
      </c>
      <c r="C1894" s="28" t="s">
        <v>561</v>
      </c>
      <c r="D1894" s="28" t="s">
        <v>618</v>
      </c>
      <c r="E1894" s="28" t="s">
        <v>614</v>
      </c>
      <c r="F1894" s="28" t="s">
        <v>582</v>
      </c>
      <c r="G1894" s="29">
        <v>163</v>
      </c>
      <c r="H1894" s="29">
        <v>0</v>
      </c>
      <c r="I1894" s="29">
        <v>0</v>
      </c>
      <c r="J1894" s="29">
        <v>0</v>
      </c>
      <c r="K1894" s="29">
        <v>0</v>
      </c>
      <c r="L1894" s="29">
        <v>0</v>
      </c>
      <c r="M1894" s="29">
        <v>0</v>
      </c>
      <c r="N1894" s="29">
        <v>0</v>
      </c>
      <c r="O1894" s="29">
        <v>0</v>
      </c>
    </row>
    <row r="1895" spans="1:15" x14ac:dyDescent="0.3">
      <c r="A1895" s="28" t="s">
        <v>575</v>
      </c>
      <c r="B1895" s="28" t="s">
        <v>576</v>
      </c>
      <c r="C1895" s="28" t="s">
        <v>561</v>
      </c>
      <c r="D1895" s="28" t="s">
        <v>618</v>
      </c>
      <c r="E1895" s="28" t="s">
        <v>614</v>
      </c>
      <c r="F1895" s="28" t="s">
        <v>583</v>
      </c>
      <c r="G1895" s="29">
        <v>402</v>
      </c>
      <c r="H1895" s="29">
        <v>1</v>
      </c>
      <c r="I1895" s="29">
        <v>1</v>
      </c>
      <c r="J1895" s="29">
        <v>1</v>
      </c>
      <c r="K1895" s="29">
        <v>0</v>
      </c>
      <c r="L1895" s="29">
        <v>0</v>
      </c>
      <c r="M1895" s="29">
        <v>0</v>
      </c>
      <c r="N1895" s="29">
        <v>0</v>
      </c>
      <c r="O1895" s="29">
        <v>0</v>
      </c>
    </row>
    <row r="1896" spans="1:15" x14ac:dyDescent="0.3">
      <c r="A1896" s="28" t="s">
        <v>575</v>
      </c>
      <c r="B1896" s="28" t="s">
        <v>576</v>
      </c>
      <c r="C1896" s="28" t="s">
        <v>561</v>
      </c>
      <c r="D1896" s="28" t="s">
        <v>618</v>
      </c>
      <c r="E1896" s="28" t="s">
        <v>614</v>
      </c>
      <c r="F1896" s="28" t="s">
        <v>584</v>
      </c>
      <c r="G1896" s="29">
        <v>803</v>
      </c>
      <c r="H1896" s="29">
        <v>0</v>
      </c>
      <c r="I1896" s="29">
        <v>0</v>
      </c>
      <c r="J1896" s="29">
        <v>0</v>
      </c>
      <c r="K1896" s="29">
        <v>0</v>
      </c>
      <c r="L1896" s="29">
        <v>0</v>
      </c>
      <c r="M1896" s="29">
        <v>0</v>
      </c>
      <c r="N1896" s="29">
        <v>0</v>
      </c>
      <c r="O1896" s="29">
        <v>0</v>
      </c>
    </row>
    <row r="1897" spans="1:15" x14ac:dyDescent="0.3">
      <c r="A1897" s="28" t="s">
        <v>575</v>
      </c>
      <c r="B1897" s="28" t="s">
        <v>576</v>
      </c>
      <c r="C1897" s="28" t="s">
        <v>561</v>
      </c>
      <c r="D1897" s="28" t="s">
        <v>618</v>
      </c>
      <c r="E1897" s="28" t="s">
        <v>614</v>
      </c>
      <c r="F1897" s="28" t="s">
        <v>585</v>
      </c>
      <c r="G1897" s="29">
        <v>1702</v>
      </c>
      <c r="H1897" s="29">
        <v>2</v>
      </c>
      <c r="I1897" s="29">
        <v>2</v>
      </c>
      <c r="J1897" s="29">
        <v>1</v>
      </c>
      <c r="K1897" s="29">
        <v>1</v>
      </c>
      <c r="L1897" s="29">
        <v>0</v>
      </c>
      <c r="M1897" s="29">
        <v>0</v>
      </c>
      <c r="N1897" s="29">
        <v>0</v>
      </c>
      <c r="O1897" s="29">
        <v>0</v>
      </c>
    </row>
    <row r="1898" spans="1:15" x14ac:dyDescent="0.3">
      <c r="A1898" s="28" t="s">
        <v>575</v>
      </c>
      <c r="B1898" s="28" t="s">
        <v>576</v>
      </c>
      <c r="C1898" s="28" t="s">
        <v>561</v>
      </c>
      <c r="D1898" s="28" t="s">
        <v>618</v>
      </c>
      <c r="E1898" s="28" t="s">
        <v>614</v>
      </c>
      <c r="F1898" s="28" t="s">
        <v>586</v>
      </c>
      <c r="G1898" s="29">
        <v>2489</v>
      </c>
      <c r="H1898" s="29">
        <v>1</v>
      </c>
      <c r="I1898" s="29">
        <v>0</v>
      </c>
      <c r="J1898" s="29">
        <v>0</v>
      </c>
      <c r="K1898" s="29">
        <v>0</v>
      </c>
      <c r="L1898" s="29">
        <v>0</v>
      </c>
      <c r="M1898" s="29">
        <v>0</v>
      </c>
      <c r="N1898" s="29">
        <v>0</v>
      </c>
      <c r="O1898" s="29">
        <v>0</v>
      </c>
    </row>
    <row r="1899" spans="1:15" x14ac:dyDescent="0.3">
      <c r="A1899" s="28" t="s">
        <v>575</v>
      </c>
      <c r="B1899" s="28" t="s">
        <v>576</v>
      </c>
      <c r="C1899" s="28" t="s">
        <v>561</v>
      </c>
      <c r="D1899" s="28" t="s">
        <v>618</v>
      </c>
      <c r="E1899" s="28" t="s">
        <v>614</v>
      </c>
      <c r="F1899" s="28" t="s">
        <v>587</v>
      </c>
      <c r="G1899" s="29">
        <v>2554</v>
      </c>
      <c r="H1899" s="29">
        <v>0</v>
      </c>
      <c r="I1899" s="29">
        <v>1</v>
      </c>
      <c r="J1899" s="29">
        <v>0</v>
      </c>
      <c r="K1899" s="29">
        <v>1</v>
      </c>
      <c r="L1899" s="29">
        <v>0</v>
      </c>
      <c r="M1899" s="29">
        <v>0</v>
      </c>
      <c r="N1899" s="29">
        <v>0</v>
      </c>
      <c r="O1899" s="29">
        <v>0</v>
      </c>
    </row>
    <row r="1900" spans="1:15" x14ac:dyDescent="0.3">
      <c r="A1900" s="28" t="s">
        <v>575</v>
      </c>
      <c r="B1900" s="28" t="s">
        <v>576</v>
      </c>
      <c r="C1900" s="28" t="s">
        <v>561</v>
      </c>
      <c r="D1900" s="28" t="s">
        <v>618</v>
      </c>
      <c r="E1900" s="28" t="s">
        <v>614</v>
      </c>
      <c r="F1900" s="28" t="s">
        <v>579</v>
      </c>
      <c r="G1900" s="29">
        <v>2320</v>
      </c>
      <c r="H1900" s="29">
        <v>2</v>
      </c>
      <c r="I1900" s="29">
        <v>0</v>
      </c>
      <c r="J1900" s="29">
        <v>0</v>
      </c>
      <c r="K1900" s="29">
        <v>0</v>
      </c>
      <c r="L1900" s="29">
        <v>0</v>
      </c>
      <c r="M1900" s="29">
        <v>0</v>
      </c>
      <c r="N1900" s="29">
        <v>0</v>
      </c>
      <c r="O1900" s="29">
        <v>0</v>
      </c>
    </row>
    <row r="1901" spans="1:15" x14ac:dyDescent="0.3">
      <c r="A1901" s="28" t="s">
        <v>575</v>
      </c>
      <c r="B1901" s="28" t="s">
        <v>576</v>
      </c>
      <c r="C1901" s="28" t="s">
        <v>561</v>
      </c>
      <c r="D1901" s="28" t="s">
        <v>618</v>
      </c>
      <c r="E1901" s="28" t="s">
        <v>614</v>
      </c>
      <c r="F1901" s="28" t="s">
        <v>588</v>
      </c>
      <c r="G1901" s="29">
        <v>1633</v>
      </c>
      <c r="H1901" s="29">
        <v>4</v>
      </c>
      <c r="I1901" s="29">
        <v>5</v>
      </c>
      <c r="J1901" s="29">
        <v>5</v>
      </c>
      <c r="K1901" s="29">
        <v>0</v>
      </c>
      <c r="L1901" s="29">
        <v>0</v>
      </c>
      <c r="M1901" s="29">
        <v>0</v>
      </c>
      <c r="N1901" s="29">
        <v>0</v>
      </c>
      <c r="O1901" s="29">
        <v>0</v>
      </c>
    </row>
    <row r="1902" spans="1:15" x14ac:dyDescent="0.3">
      <c r="A1902" s="28" t="s">
        <v>575</v>
      </c>
      <c r="B1902" s="28" t="s">
        <v>576</v>
      </c>
      <c r="C1902" s="28" t="s">
        <v>561</v>
      </c>
      <c r="D1902" s="28" t="s">
        <v>618</v>
      </c>
      <c r="E1902" s="28" t="s">
        <v>614</v>
      </c>
      <c r="F1902" s="28" t="s">
        <v>589</v>
      </c>
      <c r="G1902" s="29">
        <v>319</v>
      </c>
      <c r="H1902" s="29">
        <v>0</v>
      </c>
      <c r="I1902" s="29">
        <v>3</v>
      </c>
      <c r="J1902" s="29">
        <v>1</v>
      </c>
      <c r="K1902" s="29">
        <v>2</v>
      </c>
      <c r="L1902" s="29">
        <v>500</v>
      </c>
      <c r="M1902" s="29">
        <v>500</v>
      </c>
      <c r="N1902" s="29">
        <v>0</v>
      </c>
      <c r="O1902" s="29">
        <v>0</v>
      </c>
    </row>
    <row r="1903" spans="1:15" x14ac:dyDescent="0.3">
      <c r="A1903" s="28" t="s">
        <v>575</v>
      </c>
      <c r="B1903" s="28" t="s">
        <v>576</v>
      </c>
      <c r="C1903" s="28" t="s">
        <v>561</v>
      </c>
      <c r="D1903" s="28" t="s">
        <v>618</v>
      </c>
      <c r="E1903" s="28" t="s">
        <v>614</v>
      </c>
      <c r="F1903" s="28" t="s">
        <v>590</v>
      </c>
      <c r="G1903" s="29">
        <v>153</v>
      </c>
      <c r="H1903" s="29">
        <v>1</v>
      </c>
      <c r="I1903" s="29">
        <v>0</v>
      </c>
      <c r="J1903" s="29">
        <v>0</v>
      </c>
      <c r="K1903" s="29">
        <v>0</v>
      </c>
      <c r="L1903" s="29">
        <v>0</v>
      </c>
      <c r="M1903" s="29">
        <v>0</v>
      </c>
      <c r="N1903" s="29">
        <v>0</v>
      </c>
      <c r="O1903" s="29">
        <v>0</v>
      </c>
    </row>
    <row r="1904" spans="1:15" x14ac:dyDescent="0.3">
      <c r="A1904" s="28" t="s">
        <v>575</v>
      </c>
      <c r="B1904" s="28" t="s">
        <v>576</v>
      </c>
      <c r="C1904" s="28" t="s">
        <v>561</v>
      </c>
      <c r="D1904" s="28" t="s">
        <v>618</v>
      </c>
      <c r="E1904" s="28" t="s">
        <v>614</v>
      </c>
      <c r="F1904" s="28" t="s">
        <v>591</v>
      </c>
      <c r="G1904" s="29">
        <v>153</v>
      </c>
      <c r="H1904" s="29">
        <v>0</v>
      </c>
      <c r="I1904" s="29">
        <v>0</v>
      </c>
      <c r="J1904" s="29">
        <v>0</v>
      </c>
      <c r="K1904" s="29">
        <v>0</v>
      </c>
      <c r="L1904" s="29">
        <v>0</v>
      </c>
      <c r="M1904" s="29">
        <v>0</v>
      </c>
      <c r="N1904" s="29">
        <v>0</v>
      </c>
      <c r="O1904" s="29">
        <v>0</v>
      </c>
    </row>
    <row r="1905" spans="1:15" x14ac:dyDescent="0.3">
      <c r="A1905" s="28" t="s">
        <v>575</v>
      </c>
      <c r="B1905" s="28" t="s">
        <v>576</v>
      </c>
      <c r="C1905" s="28" t="s">
        <v>561</v>
      </c>
      <c r="D1905" s="28" t="s">
        <v>618</v>
      </c>
      <c r="E1905" s="28" t="s">
        <v>614</v>
      </c>
      <c r="F1905" s="28" t="s">
        <v>592</v>
      </c>
      <c r="G1905" s="29">
        <v>136</v>
      </c>
      <c r="H1905" s="29">
        <v>0</v>
      </c>
      <c r="I1905" s="29">
        <v>0</v>
      </c>
      <c r="J1905" s="29">
        <v>0</v>
      </c>
      <c r="K1905" s="29">
        <v>0</v>
      </c>
      <c r="L1905" s="29">
        <v>0</v>
      </c>
      <c r="M1905" s="29">
        <v>0</v>
      </c>
      <c r="N1905" s="29">
        <v>0</v>
      </c>
      <c r="O1905" s="29">
        <v>0</v>
      </c>
    </row>
    <row r="1906" spans="1:15" x14ac:dyDescent="0.3">
      <c r="A1906" s="28" t="s">
        <v>575</v>
      </c>
      <c r="B1906" s="28" t="s">
        <v>576</v>
      </c>
      <c r="C1906" s="28" t="s">
        <v>561</v>
      </c>
      <c r="D1906" s="28" t="s">
        <v>618</v>
      </c>
      <c r="E1906" s="28" t="s">
        <v>614</v>
      </c>
      <c r="F1906" s="28" t="s">
        <v>593</v>
      </c>
      <c r="G1906" s="29">
        <v>207</v>
      </c>
      <c r="H1906" s="29">
        <v>0</v>
      </c>
      <c r="I1906" s="29">
        <v>0</v>
      </c>
      <c r="J1906" s="29">
        <v>0</v>
      </c>
      <c r="K1906" s="29">
        <v>0</v>
      </c>
      <c r="L1906" s="29">
        <v>0</v>
      </c>
      <c r="M1906" s="29">
        <v>0</v>
      </c>
      <c r="N1906" s="29">
        <v>0</v>
      </c>
      <c r="O1906" s="29">
        <v>0</v>
      </c>
    </row>
    <row r="1907" spans="1:15" x14ac:dyDescent="0.3">
      <c r="A1907" s="28" t="s">
        <v>575</v>
      </c>
      <c r="B1907" s="28" t="s">
        <v>576</v>
      </c>
      <c r="C1907" s="28" t="s">
        <v>561</v>
      </c>
      <c r="D1907" s="28" t="s">
        <v>618</v>
      </c>
      <c r="E1907" s="28" t="s">
        <v>614</v>
      </c>
      <c r="F1907" s="28" t="s">
        <v>594</v>
      </c>
      <c r="G1907" s="29">
        <v>221</v>
      </c>
      <c r="H1907" s="29">
        <v>2</v>
      </c>
      <c r="I1907" s="29">
        <v>0</v>
      </c>
      <c r="J1907" s="29">
        <v>0</v>
      </c>
      <c r="K1907" s="29">
        <v>0</v>
      </c>
      <c r="L1907" s="29">
        <v>0</v>
      </c>
      <c r="M1907" s="29">
        <v>0</v>
      </c>
      <c r="N1907" s="29">
        <v>0</v>
      </c>
      <c r="O1907" s="29">
        <v>0</v>
      </c>
    </row>
    <row r="1908" spans="1:15" x14ac:dyDescent="0.3">
      <c r="A1908" s="28" t="s">
        <v>575</v>
      </c>
      <c r="B1908" s="28" t="s">
        <v>576</v>
      </c>
      <c r="C1908" s="28" t="s">
        <v>561</v>
      </c>
      <c r="D1908" s="28" t="s">
        <v>618</v>
      </c>
      <c r="E1908" s="28" t="s">
        <v>614</v>
      </c>
      <c r="F1908" s="28" t="s">
        <v>595</v>
      </c>
      <c r="G1908" s="29">
        <v>226</v>
      </c>
      <c r="H1908" s="29">
        <v>0</v>
      </c>
      <c r="I1908" s="29">
        <v>3</v>
      </c>
      <c r="J1908" s="29">
        <v>0</v>
      </c>
      <c r="K1908" s="29">
        <v>3</v>
      </c>
      <c r="L1908" s="29">
        <v>0</v>
      </c>
      <c r="M1908" s="29">
        <v>0</v>
      </c>
      <c r="N1908" s="29">
        <v>0</v>
      </c>
      <c r="O1908" s="29">
        <v>0</v>
      </c>
    </row>
    <row r="1909" spans="1:15" x14ac:dyDescent="0.3">
      <c r="A1909" s="28" t="s">
        <v>575</v>
      </c>
      <c r="B1909" s="28" t="s">
        <v>576</v>
      </c>
      <c r="C1909" s="28" t="s">
        <v>561</v>
      </c>
      <c r="D1909" s="28" t="s">
        <v>618</v>
      </c>
      <c r="E1909" s="28" t="s">
        <v>615</v>
      </c>
      <c r="F1909" s="28" t="s">
        <v>597</v>
      </c>
      <c r="G1909" s="29">
        <v>219</v>
      </c>
      <c r="H1909" s="29">
        <v>1</v>
      </c>
      <c r="I1909" s="29">
        <v>0</v>
      </c>
      <c r="J1909" s="29">
        <v>0</v>
      </c>
      <c r="K1909" s="29">
        <v>0</v>
      </c>
      <c r="L1909" s="29">
        <v>0</v>
      </c>
      <c r="M1909" s="29">
        <v>0</v>
      </c>
      <c r="N1909" s="29">
        <v>0</v>
      </c>
      <c r="O1909" s="29">
        <v>0</v>
      </c>
    </row>
    <row r="1910" spans="1:15" x14ac:dyDescent="0.3">
      <c r="A1910" s="28" t="s">
        <v>575</v>
      </c>
      <c r="B1910" s="28" t="s">
        <v>576</v>
      </c>
      <c r="C1910" s="28" t="s">
        <v>561</v>
      </c>
      <c r="D1910" s="28" t="s">
        <v>618</v>
      </c>
      <c r="E1910" s="28" t="s">
        <v>615</v>
      </c>
      <c r="F1910" s="28" t="s">
        <v>598</v>
      </c>
      <c r="G1910" s="29">
        <v>130</v>
      </c>
      <c r="H1910" s="29">
        <v>0</v>
      </c>
      <c r="I1910" s="29">
        <v>0</v>
      </c>
      <c r="J1910" s="29">
        <v>0</v>
      </c>
      <c r="K1910" s="29">
        <v>0</v>
      </c>
      <c r="L1910" s="29">
        <v>0</v>
      </c>
      <c r="M1910" s="29">
        <v>0</v>
      </c>
      <c r="N1910" s="29">
        <v>0</v>
      </c>
      <c r="O1910" s="29">
        <v>0</v>
      </c>
    </row>
    <row r="1911" spans="1:15" x14ac:dyDescent="0.3">
      <c r="A1911" s="28" t="s">
        <v>575</v>
      </c>
      <c r="B1911" s="28" t="s">
        <v>576</v>
      </c>
      <c r="C1911" s="28" t="s">
        <v>561</v>
      </c>
      <c r="D1911" s="28" t="s">
        <v>618</v>
      </c>
      <c r="E1911" s="28" t="s">
        <v>615</v>
      </c>
      <c r="F1911" s="28" t="s">
        <v>599</v>
      </c>
      <c r="G1911" s="29">
        <v>106</v>
      </c>
      <c r="H1911" s="29">
        <v>0</v>
      </c>
      <c r="I1911" s="29">
        <v>0</v>
      </c>
      <c r="J1911" s="29">
        <v>0</v>
      </c>
      <c r="K1911" s="29">
        <v>0</v>
      </c>
      <c r="L1911" s="29">
        <v>0</v>
      </c>
      <c r="M1911" s="29">
        <v>0</v>
      </c>
      <c r="N1911" s="29">
        <v>0</v>
      </c>
      <c r="O1911" s="29">
        <v>0</v>
      </c>
    </row>
    <row r="1912" spans="1:15" x14ac:dyDescent="0.3">
      <c r="A1912" s="28" t="s">
        <v>575</v>
      </c>
      <c r="B1912" s="28" t="s">
        <v>576</v>
      </c>
      <c r="C1912" s="28" t="s">
        <v>561</v>
      </c>
      <c r="D1912" s="28" t="s">
        <v>618</v>
      </c>
      <c r="E1912" s="28" t="s">
        <v>615</v>
      </c>
      <c r="F1912" s="28" t="s">
        <v>600</v>
      </c>
      <c r="G1912" s="29">
        <v>86</v>
      </c>
      <c r="H1912" s="29">
        <v>0</v>
      </c>
      <c r="I1912" s="29">
        <v>0</v>
      </c>
      <c r="J1912" s="29">
        <v>0</v>
      </c>
      <c r="K1912" s="29">
        <v>0</v>
      </c>
      <c r="L1912" s="29">
        <v>0</v>
      </c>
      <c r="M1912" s="29">
        <v>0</v>
      </c>
      <c r="N1912" s="29">
        <v>0</v>
      </c>
      <c r="O1912" s="29">
        <v>0</v>
      </c>
    </row>
    <row r="1913" spans="1:15" x14ac:dyDescent="0.3">
      <c r="A1913" s="28" t="s">
        <v>575</v>
      </c>
      <c r="B1913" s="28" t="s">
        <v>576</v>
      </c>
      <c r="C1913" s="28" t="s">
        <v>561</v>
      </c>
      <c r="D1913" s="28" t="s">
        <v>618</v>
      </c>
      <c r="E1913" s="28" t="s">
        <v>615</v>
      </c>
      <c r="F1913" s="28" t="s">
        <v>601</v>
      </c>
      <c r="G1913" s="29">
        <v>217</v>
      </c>
      <c r="H1913" s="29">
        <v>0</v>
      </c>
      <c r="I1913" s="29">
        <v>0</v>
      </c>
      <c r="J1913" s="29">
        <v>0</v>
      </c>
      <c r="K1913" s="29">
        <v>0</v>
      </c>
      <c r="L1913" s="29">
        <v>0</v>
      </c>
      <c r="M1913" s="29">
        <v>0</v>
      </c>
      <c r="N1913" s="29">
        <v>0</v>
      </c>
      <c r="O1913" s="29">
        <v>0</v>
      </c>
    </row>
    <row r="1914" spans="1:15" x14ac:dyDescent="0.3">
      <c r="A1914" s="28" t="s">
        <v>575</v>
      </c>
      <c r="B1914" s="28" t="s">
        <v>576</v>
      </c>
      <c r="C1914" s="28" t="s">
        <v>561</v>
      </c>
      <c r="D1914" s="28" t="s">
        <v>618</v>
      </c>
      <c r="E1914" s="28" t="s">
        <v>615</v>
      </c>
      <c r="F1914" s="28" t="s">
        <v>602</v>
      </c>
      <c r="G1914" s="29">
        <v>854</v>
      </c>
      <c r="H1914" s="29">
        <v>0</v>
      </c>
      <c r="I1914" s="29">
        <v>0</v>
      </c>
      <c r="J1914" s="29">
        <v>0</v>
      </c>
      <c r="K1914" s="29">
        <v>0</v>
      </c>
      <c r="L1914" s="29">
        <v>0</v>
      </c>
      <c r="M1914" s="29">
        <v>0</v>
      </c>
      <c r="N1914" s="29">
        <v>0</v>
      </c>
      <c r="O1914" s="29">
        <v>0</v>
      </c>
    </row>
    <row r="1915" spans="1:15" x14ac:dyDescent="0.3">
      <c r="A1915" s="28" t="s">
        <v>575</v>
      </c>
      <c r="B1915" s="28" t="s">
        <v>576</v>
      </c>
      <c r="C1915" s="28" t="s">
        <v>561</v>
      </c>
      <c r="D1915" s="28" t="s">
        <v>618</v>
      </c>
      <c r="E1915" s="28" t="s">
        <v>615</v>
      </c>
      <c r="F1915" s="28" t="s">
        <v>603</v>
      </c>
      <c r="G1915" s="29">
        <v>1599</v>
      </c>
      <c r="H1915" s="29">
        <v>1</v>
      </c>
      <c r="I1915" s="29">
        <v>1</v>
      </c>
      <c r="J1915" s="29">
        <v>1</v>
      </c>
      <c r="K1915" s="29">
        <v>0</v>
      </c>
      <c r="L1915" s="29">
        <v>0</v>
      </c>
      <c r="M1915" s="29">
        <v>0</v>
      </c>
      <c r="N1915" s="29">
        <v>0</v>
      </c>
      <c r="O1915" s="29">
        <v>0</v>
      </c>
    </row>
    <row r="1916" spans="1:15" x14ac:dyDescent="0.3">
      <c r="A1916" s="28" t="s">
        <v>575</v>
      </c>
      <c r="B1916" s="28" t="s">
        <v>576</v>
      </c>
      <c r="C1916" s="28" t="s">
        <v>561</v>
      </c>
      <c r="D1916" s="28" t="s">
        <v>618</v>
      </c>
      <c r="E1916" s="28" t="s">
        <v>615</v>
      </c>
      <c r="F1916" s="28" t="s">
        <v>604</v>
      </c>
      <c r="G1916" s="29">
        <v>2759</v>
      </c>
      <c r="H1916" s="29">
        <v>3</v>
      </c>
      <c r="I1916" s="29">
        <v>2</v>
      </c>
      <c r="J1916" s="29">
        <v>2</v>
      </c>
      <c r="K1916" s="29">
        <v>0</v>
      </c>
      <c r="L1916" s="29">
        <v>0</v>
      </c>
      <c r="M1916" s="29">
        <v>0</v>
      </c>
      <c r="N1916" s="29">
        <v>0</v>
      </c>
      <c r="O1916" s="29">
        <v>0</v>
      </c>
    </row>
    <row r="1917" spans="1:15" x14ac:dyDescent="0.3">
      <c r="A1917" s="28" t="s">
        <v>575</v>
      </c>
      <c r="B1917" s="28" t="s">
        <v>576</v>
      </c>
      <c r="C1917" s="28" t="s">
        <v>561</v>
      </c>
      <c r="D1917" s="28" t="s">
        <v>618</v>
      </c>
      <c r="E1917" s="28" t="s">
        <v>615</v>
      </c>
      <c r="F1917" s="28" t="s">
        <v>581</v>
      </c>
      <c r="G1917" s="29">
        <v>1653</v>
      </c>
      <c r="H1917" s="29">
        <v>2</v>
      </c>
      <c r="I1917" s="29">
        <v>0</v>
      </c>
      <c r="J1917" s="29">
        <v>0</v>
      </c>
      <c r="K1917" s="29">
        <v>0</v>
      </c>
      <c r="L1917" s="29">
        <v>0</v>
      </c>
      <c r="M1917" s="29">
        <v>0</v>
      </c>
      <c r="N1917" s="29">
        <v>0</v>
      </c>
      <c r="O1917" s="29">
        <v>0</v>
      </c>
    </row>
    <row r="1918" spans="1:15" x14ac:dyDescent="0.3">
      <c r="A1918" s="28" t="s">
        <v>575</v>
      </c>
      <c r="B1918" s="28" t="s">
        <v>576</v>
      </c>
      <c r="C1918" s="28" t="s">
        <v>561</v>
      </c>
      <c r="D1918" s="28" t="s">
        <v>618</v>
      </c>
      <c r="E1918" s="28" t="s">
        <v>615</v>
      </c>
      <c r="F1918" s="28" t="s">
        <v>582</v>
      </c>
      <c r="G1918" s="29">
        <v>486</v>
      </c>
      <c r="H1918" s="29">
        <v>0</v>
      </c>
      <c r="I1918" s="29">
        <v>0</v>
      </c>
      <c r="J1918" s="29">
        <v>0</v>
      </c>
      <c r="K1918" s="29">
        <v>0</v>
      </c>
      <c r="L1918" s="29">
        <v>0</v>
      </c>
      <c r="M1918" s="29">
        <v>0</v>
      </c>
      <c r="N1918" s="29">
        <v>0</v>
      </c>
      <c r="O1918" s="29">
        <v>0</v>
      </c>
    </row>
    <row r="1919" spans="1:15" x14ac:dyDescent="0.3">
      <c r="A1919" s="28" t="s">
        <v>575</v>
      </c>
      <c r="B1919" s="28" t="s">
        <v>576</v>
      </c>
      <c r="C1919" s="28" t="s">
        <v>561</v>
      </c>
      <c r="D1919" s="28" t="s">
        <v>618</v>
      </c>
      <c r="E1919" s="28" t="s">
        <v>615</v>
      </c>
      <c r="F1919" s="28" t="s">
        <v>583</v>
      </c>
      <c r="G1919" s="29">
        <v>226</v>
      </c>
      <c r="H1919" s="29">
        <v>1</v>
      </c>
      <c r="I1919" s="29">
        <v>3</v>
      </c>
      <c r="J1919" s="29">
        <v>3</v>
      </c>
      <c r="K1919" s="29">
        <v>0</v>
      </c>
      <c r="L1919" s="29">
        <v>1000</v>
      </c>
      <c r="M1919" s="29">
        <v>1000</v>
      </c>
      <c r="N1919" s="29">
        <v>0</v>
      </c>
      <c r="O1919" s="29">
        <v>0</v>
      </c>
    </row>
    <row r="1920" spans="1:15" x14ac:dyDescent="0.3">
      <c r="A1920" s="28" t="s">
        <v>575</v>
      </c>
      <c r="B1920" s="28" t="s">
        <v>576</v>
      </c>
      <c r="C1920" s="28" t="s">
        <v>561</v>
      </c>
      <c r="D1920" s="28" t="s">
        <v>618</v>
      </c>
      <c r="E1920" s="28" t="s">
        <v>615</v>
      </c>
      <c r="F1920" s="28" t="s">
        <v>584</v>
      </c>
      <c r="G1920" s="29">
        <v>79</v>
      </c>
      <c r="H1920" s="29">
        <v>0</v>
      </c>
      <c r="I1920" s="29">
        <v>2</v>
      </c>
      <c r="J1920" s="29">
        <v>1</v>
      </c>
      <c r="K1920" s="29">
        <v>1</v>
      </c>
      <c r="L1920" s="29">
        <v>0</v>
      </c>
      <c r="M1920" s="29">
        <v>0</v>
      </c>
      <c r="N1920" s="29">
        <v>0</v>
      </c>
      <c r="O1920" s="29">
        <v>0</v>
      </c>
    </row>
    <row r="1921" spans="1:15" x14ac:dyDescent="0.3">
      <c r="A1921" s="28" t="s">
        <v>575</v>
      </c>
      <c r="B1921" s="28" t="s">
        <v>576</v>
      </c>
      <c r="C1921" s="28" t="s">
        <v>561</v>
      </c>
      <c r="D1921" s="28" t="s">
        <v>618</v>
      </c>
      <c r="E1921" s="28" t="s">
        <v>615</v>
      </c>
      <c r="F1921" s="28" t="s">
        <v>585</v>
      </c>
      <c r="G1921" s="29">
        <v>6</v>
      </c>
      <c r="H1921" s="29">
        <v>0</v>
      </c>
      <c r="I1921" s="29">
        <v>0</v>
      </c>
      <c r="J1921" s="29">
        <v>0</v>
      </c>
      <c r="K1921" s="29">
        <v>0</v>
      </c>
      <c r="L1921" s="29">
        <v>0</v>
      </c>
      <c r="M1921" s="29">
        <v>0</v>
      </c>
      <c r="N1921" s="29">
        <v>0</v>
      </c>
      <c r="O1921" s="29">
        <v>0</v>
      </c>
    </row>
    <row r="1922" spans="1:15" x14ac:dyDescent="0.3">
      <c r="A1922" s="28" t="s">
        <v>575</v>
      </c>
      <c r="B1922" s="28" t="s">
        <v>576</v>
      </c>
      <c r="C1922" s="28" t="s">
        <v>561</v>
      </c>
      <c r="D1922" s="28" t="s">
        <v>618</v>
      </c>
      <c r="E1922" s="28" t="s">
        <v>615</v>
      </c>
      <c r="F1922" s="28" t="s">
        <v>586</v>
      </c>
      <c r="G1922" s="29">
        <v>6</v>
      </c>
      <c r="H1922" s="29">
        <v>0</v>
      </c>
      <c r="I1922" s="29">
        <v>0</v>
      </c>
      <c r="J1922" s="29">
        <v>0</v>
      </c>
      <c r="K1922" s="29">
        <v>0</v>
      </c>
      <c r="L1922" s="29">
        <v>0</v>
      </c>
      <c r="M1922" s="29">
        <v>0</v>
      </c>
      <c r="N1922" s="29">
        <v>0</v>
      </c>
      <c r="O1922" s="29">
        <v>0</v>
      </c>
    </row>
    <row r="1923" spans="1:15" x14ac:dyDescent="0.3">
      <c r="A1923" s="28" t="s">
        <v>575</v>
      </c>
      <c r="B1923" s="28" t="s">
        <v>576</v>
      </c>
      <c r="C1923" s="28" t="s">
        <v>561</v>
      </c>
      <c r="D1923" s="28" t="s">
        <v>618</v>
      </c>
      <c r="E1923" s="28" t="s">
        <v>615</v>
      </c>
      <c r="F1923" s="28" t="s">
        <v>587</v>
      </c>
      <c r="G1923" s="29">
        <v>57</v>
      </c>
      <c r="H1923" s="29">
        <v>0</v>
      </c>
      <c r="I1923" s="29">
        <v>1</v>
      </c>
      <c r="J1923" s="29">
        <v>0</v>
      </c>
      <c r="K1923" s="29">
        <v>1</v>
      </c>
      <c r="L1923" s="29">
        <v>0</v>
      </c>
      <c r="M1923" s="29">
        <v>0</v>
      </c>
      <c r="N1923" s="29">
        <v>0</v>
      </c>
      <c r="O1923" s="29">
        <v>0</v>
      </c>
    </row>
    <row r="1924" spans="1:15" x14ac:dyDescent="0.3">
      <c r="A1924" s="28" t="s">
        <v>575</v>
      </c>
      <c r="B1924" s="28" t="s">
        <v>576</v>
      </c>
      <c r="C1924" s="28" t="s">
        <v>561</v>
      </c>
      <c r="D1924" s="28" t="s">
        <v>618</v>
      </c>
      <c r="E1924" s="28" t="s">
        <v>615</v>
      </c>
      <c r="F1924" s="28" t="s">
        <v>579</v>
      </c>
      <c r="G1924" s="29">
        <v>116</v>
      </c>
      <c r="H1924" s="29">
        <v>0</v>
      </c>
      <c r="I1924" s="29">
        <v>0</v>
      </c>
      <c r="J1924" s="29">
        <v>0</v>
      </c>
      <c r="K1924" s="29">
        <v>0</v>
      </c>
      <c r="L1924" s="29">
        <v>0</v>
      </c>
      <c r="M1924" s="29">
        <v>0</v>
      </c>
      <c r="N1924" s="29">
        <v>0</v>
      </c>
      <c r="O1924" s="29">
        <v>0</v>
      </c>
    </row>
    <row r="1925" spans="1:15" x14ac:dyDescent="0.3">
      <c r="A1925" s="28" t="s">
        <v>575</v>
      </c>
      <c r="B1925" s="28" t="s">
        <v>576</v>
      </c>
      <c r="C1925" s="28" t="s">
        <v>561</v>
      </c>
      <c r="D1925" s="28" t="s">
        <v>618</v>
      </c>
      <c r="E1925" s="28" t="s">
        <v>615</v>
      </c>
      <c r="F1925" s="28" t="s">
        <v>588</v>
      </c>
      <c r="G1925" s="29">
        <v>216</v>
      </c>
      <c r="H1925" s="29">
        <v>0</v>
      </c>
      <c r="I1925" s="29">
        <v>0</v>
      </c>
      <c r="J1925" s="29">
        <v>0</v>
      </c>
      <c r="K1925" s="29">
        <v>0</v>
      </c>
      <c r="L1925" s="29">
        <v>0</v>
      </c>
      <c r="M1925" s="29">
        <v>0</v>
      </c>
      <c r="N1925" s="29">
        <v>0</v>
      </c>
      <c r="O1925" s="29">
        <v>0</v>
      </c>
    </row>
    <row r="1926" spans="1:15" x14ac:dyDescent="0.3">
      <c r="A1926" s="28" t="s">
        <v>575</v>
      </c>
      <c r="B1926" s="28" t="s">
        <v>576</v>
      </c>
      <c r="C1926" s="28" t="s">
        <v>561</v>
      </c>
      <c r="D1926" s="28" t="s">
        <v>618</v>
      </c>
      <c r="E1926" s="28" t="s">
        <v>615</v>
      </c>
      <c r="F1926" s="28" t="s">
        <v>589</v>
      </c>
      <c r="G1926" s="29">
        <v>329</v>
      </c>
      <c r="H1926" s="29">
        <v>1</v>
      </c>
      <c r="I1926" s="29">
        <v>0</v>
      </c>
      <c r="J1926" s="29">
        <v>0</v>
      </c>
      <c r="K1926" s="29">
        <v>0</v>
      </c>
      <c r="L1926" s="29">
        <v>0</v>
      </c>
      <c r="M1926" s="29">
        <v>0</v>
      </c>
      <c r="N1926" s="29">
        <v>0</v>
      </c>
      <c r="O1926" s="29">
        <v>0</v>
      </c>
    </row>
    <row r="1927" spans="1:15" x14ac:dyDescent="0.3">
      <c r="A1927" s="28" t="s">
        <v>575</v>
      </c>
      <c r="B1927" s="28" t="s">
        <v>576</v>
      </c>
      <c r="C1927" s="28" t="s">
        <v>561</v>
      </c>
      <c r="D1927" s="28" t="s">
        <v>618</v>
      </c>
      <c r="E1927" s="28" t="s">
        <v>615</v>
      </c>
      <c r="F1927" s="28" t="s">
        <v>590</v>
      </c>
      <c r="G1927" s="29">
        <v>478</v>
      </c>
      <c r="H1927" s="29">
        <v>0</v>
      </c>
      <c r="I1927" s="29">
        <v>0</v>
      </c>
      <c r="J1927" s="29">
        <v>0</v>
      </c>
      <c r="K1927" s="29">
        <v>0</v>
      </c>
      <c r="L1927" s="29">
        <v>0</v>
      </c>
      <c r="M1927" s="29">
        <v>0</v>
      </c>
      <c r="N1927" s="29">
        <v>0</v>
      </c>
      <c r="O1927" s="29">
        <v>0</v>
      </c>
    </row>
    <row r="1928" spans="1:15" x14ac:dyDescent="0.3">
      <c r="A1928" s="28" t="s">
        <v>575</v>
      </c>
      <c r="B1928" s="28" t="s">
        <v>576</v>
      </c>
      <c r="C1928" s="28" t="s">
        <v>561</v>
      </c>
      <c r="D1928" s="28" t="s">
        <v>618</v>
      </c>
      <c r="E1928" s="28" t="s">
        <v>615</v>
      </c>
      <c r="F1928" s="28" t="s">
        <v>591</v>
      </c>
      <c r="G1928" s="29">
        <v>790</v>
      </c>
      <c r="H1928" s="29">
        <v>0</v>
      </c>
      <c r="I1928" s="29">
        <v>1</v>
      </c>
      <c r="J1928" s="29">
        <v>0</v>
      </c>
      <c r="K1928" s="29">
        <v>1</v>
      </c>
      <c r="L1928" s="29">
        <v>0</v>
      </c>
      <c r="M1928" s="29">
        <v>0</v>
      </c>
      <c r="N1928" s="29">
        <v>0</v>
      </c>
      <c r="O1928" s="29">
        <v>0</v>
      </c>
    </row>
    <row r="1929" spans="1:15" x14ac:dyDescent="0.3">
      <c r="A1929" s="28" t="s">
        <v>575</v>
      </c>
      <c r="B1929" s="28" t="s">
        <v>576</v>
      </c>
      <c r="C1929" s="28" t="s">
        <v>561</v>
      </c>
      <c r="D1929" s="28" t="s">
        <v>618</v>
      </c>
      <c r="E1929" s="28" t="s">
        <v>615</v>
      </c>
      <c r="F1929" s="28" t="s">
        <v>592</v>
      </c>
      <c r="G1929" s="29">
        <v>1375</v>
      </c>
      <c r="H1929" s="29">
        <v>1</v>
      </c>
      <c r="I1929" s="29">
        <v>1</v>
      </c>
      <c r="J1929" s="29">
        <v>1</v>
      </c>
      <c r="K1929" s="29">
        <v>0</v>
      </c>
      <c r="L1929" s="29">
        <v>0</v>
      </c>
      <c r="M1929" s="29">
        <v>0</v>
      </c>
      <c r="N1929" s="29">
        <v>0</v>
      </c>
      <c r="O1929" s="29">
        <v>0</v>
      </c>
    </row>
    <row r="1930" spans="1:15" x14ac:dyDescent="0.3">
      <c r="A1930" s="28" t="s">
        <v>575</v>
      </c>
      <c r="B1930" s="28" t="s">
        <v>576</v>
      </c>
      <c r="C1930" s="28" t="s">
        <v>561</v>
      </c>
      <c r="D1930" s="28" t="s">
        <v>618</v>
      </c>
      <c r="E1930" s="28" t="s">
        <v>615</v>
      </c>
      <c r="F1930" s="28" t="s">
        <v>593</v>
      </c>
      <c r="G1930" s="29">
        <v>2279</v>
      </c>
      <c r="H1930" s="29">
        <v>1</v>
      </c>
      <c r="I1930" s="29">
        <v>5</v>
      </c>
      <c r="J1930" s="29">
        <v>1</v>
      </c>
      <c r="K1930" s="29">
        <v>4</v>
      </c>
      <c r="L1930" s="29">
        <v>0</v>
      </c>
      <c r="M1930" s="29">
        <v>0</v>
      </c>
      <c r="N1930" s="29">
        <v>0</v>
      </c>
      <c r="O1930" s="29">
        <v>0</v>
      </c>
    </row>
    <row r="1931" spans="1:15" x14ac:dyDescent="0.3">
      <c r="A1931" s="28" t="s">
        <v>575</v>
      </c>
      <c r="B1931" s="28" t="s">
        <v>576</v>
      </c>
      <c r="C1931" s="28" t="s">
        <v>561</v>
      </c>
      <c r="D1931" s="28" t="s">
        <v>618</v>
      </c>
      <c r="E1931" s="28" t="s">
        <v>615</v>
      </c>
      <c r="F1931" s="28" t="s">
        <v>594</v>
      </c>
      <c r="G1931" s="29">
        <v>2501</v>
      </c>
      <c r="H1931" s="29">
        <v>2</v>
      </c>
      <c r="I1931" s="29">
        <v>1</v>
      </c>
      <c r="J1931" s="29">
        <v>1</v>
      </c>
      <c r="K1931" s="29">
        <v>0</v>
      </c>
      <c r="L1931" s="29">
        <v>0</v>
      </c>
      <c r="M1931" s="29">
        <v>0</v>
      </c>
      <c r="N1931" s="29">
        <v>0</v>
      </c>
      <c r="O1931" s="29">
        <v>0</v>
      </c>
    </row>
    <row r="1932" spans="1:15" x14ac:dyDescent="0.3">
      <c r="A1932" s="28" t="s">
        <v>575</v>
      </c>
      <c r="B1932" s="28" t="s">
        <v>576</v>
      </c>
      <c r="C1932" s="28" t="s">
        <v>561</v>
      </c>
      <c r="D1932" s="28" t="s">
        <v>618</v>
      </c>
      <c r="E1932" s="28" t="s">
        <v>615</v>
      </c>
      <c r="F1932" s="28" t="s">
        <v>595</v>
      </c>
      <c r="G1932" s="29">
        <v>1258</v>
      </c>
      <c r="H1932" s="29">
        <v>2</v>
      </c>
      <c r="I1932" s="29">
        <v>0</v>
      </c>
      <c r="J1932" s="29">
        <v>0</v>
      </c>
      <c r="K1932" s="29">
        <v>0</v>
      </c>
      <c r="L1932" s="29">
        <v>0</v>
      </c>
      <c r="M1932" s="29">
        <v>0</v>
      </c>
      <c r="N1932" s="29">
        <v>0</v>
      </c>
      <c r="O1932" s="29">
        <v>0</v>
      </c>
    </row>
    <row r="1933" spans="1:15" x14ac:dyDescent="0.3">
      <c r="A1933" s="28" t="s">
        <v>575</v>
      </c>
      <c r="B1933" s="28" t="s">
        <v>576</v>
      </c>
      <c r="C1933" s="28" t="s">
        <v>561</v>
      </c>
      <c r="D1933" s="28" t="s">
        <v>618</v>
      </c>
      <c r="E1933" s="28" t="s">
        <v>616</v>
      </c>
      <c r="F1933" s="28" t="s">
        <v>597</v>
      </c>
      <c r="G1933" s="29">
        <v>280</v>
      </c>
      <c r="H1933" s="29">
        <v>0</v>
      </c>
      <c r="I1933" s="29">
        <v>0</v>
      </c>
      <c r="J1933" s="29">
        <v>0</v>
      </c>
      <c r="K1933" s="29">
        <v>0</v>
      </c>
      <c r="L1933" s="29">
        <v>0</v>
      </c>
      <c r="M1933" s="29">
        <v>0</v>
      </c>
      <c r="N1933" s="29">
        <v>0</v>
      </c>
      <c r="O1933" s="29">
        <v>0</v>
      </c>
    </row>
    <row r="1934" spans="1:15" x14ac:dyDescent="0.3">
      <c r="A1934" s="28" t="s">
        <v>575</v>
      </c>
      <c r="B1934" s="28" t="s">
        <v>576</v>
      </c>
      <c r="C1934" s="28" t="s">
        <v>561</v>
      </c>
      <c r="D1934" s="28" t="s">
        <v>618</v>
      </c>
      <c r="E1934" s="28" t="s">
        <v>616</v>
      </c>
      <c r="F1934" s="28" t="s">
        <v>598</v>
      </c>
      <c r="G1934" s="29">
        <v>22</v>
      </c>
      <c r="H1934" s="29">
        <v>0</v>
      </c>
      <c r="I1934" s="29">
        <v>0</v>
      </c>
      <c r="J1934" s="29">
        <v>0</v>
      </c>
      <c r="K1934" s="29">
        <v>0</v>
      </c>
      <c r="L1934" s="29">
        <v>0</v>
      </c>
      <c r="M1934" s="29">
        <v>0</v>
      </c>
      <c r="N1934" s="29">
        <v>0</v>
      </c>
      <c r="O1934" s="29">
        <v>0</v>
      </c>
    </row>
    <row r="1935" spans="1:15" x14ac:dyDescent="0.3">
      <c r="A1935" s="28" t="s">
        <v>575</v>
      </c>
      <c r="B1935" s="28" t="s">
        <v>576</v>
      </c>
      <c r="C1935" s="28" t="s">
        <v>561</v>
      </c>
      <c r="D1935" s="28" t="s">
        <v>618</v>
      </c>
      <c r="E1935" s="28" t="s">
        <v>616</v>
      </c>
      <c r="F1935" s="28" t="s">
        <v>582</v>
      </c>
      <c r="G1935" s="29">
        <v>11</v>
      </c>
      <c r="H1935" s="29">
        <v>0</v>
      </c>
      <c r="I1935" s="29">
        <v>1</v>
      </c>
      <c r="J1935" s="29">
        <v>0</v>
      </c>
      <c r="K1935" s="29">
        <v>1</v>
      </c>
      <c r="L1935" s="29">
        <v>0</v>
      </c>
      <c r="M1935" s="29">
        <v>0</v>
      </c>
      <c r="N1935" s="29">
        <v>0</v>
      </c>
      <c r="O1935" s="29">
        <v>0</v>
      </c>
    </row>
    <row r="1936" spans="1:15" x14ac:dyDescent="0.3">
      <c r="A1936" s="28" t="s">
        <v>575</v>
      </c>
      <c r="B1936" s="28" t="s">
        <v>576</v>
      </c>
      <c r="C1936" s="28" t="s">
        <v>561</v>
      </c>
      <c r="D1936" s="28" t="s">
        <v>618</v>
      </c>
      <c r="E1936" s="28" t="s">
        <v>616</v>
      </c>
      <c r="F1936" s="28" t="s">
        <v>583</v>
      </c>
      <c r="G1936" s="29">
        <v>99</v>
      </c>
      <c r="H1936" s="29">
        <v>0</v>
      </c>
      <c r="I1936" s="29">
        <v>0</v>
      </c>
      <c r="J1936" s="29">
        <v>0</v>
      </c>
      <c r="K1936" s="29">
        <v>0</v>
      </c>
      <c r="L1936" s="29">
        <v>0</v>
      </c>
      <c r="M1936" s="29">
        <v>0</v>
      </c>
      <c r="N1936" s="29">
        <v>0</v>
      </c>
      <c r="O1936" s="29">
        <v>0</v>
      </c>
    </row>
    <row r="1937" spans="1:15" x14ac:dyDescent="0.3">
      <c r="A1937" s="28" t="s">
        <v>575</v>
      </c>
      <c r="B1937" s="28" t="s">
        <v>576</v>
      </c>
      <c r="C1937" s="28" t="s">
        <v>561</v>
      </c>
      <c r="D1937" s="28" t="s">
        <v>618</v>
      </c>
      <c r="E1937" s="28" t="s">
        <v>616</v>
      </c>
      <c r="F1937" s="28" t="s">
        <v>584</v>
      </c>
      <c r="G1937" s="29">
        <v>322</v>
      </c>
      <c r="H1937" s="29">
        <v>0</v>
      </c>
      <c r="I1937" s="29">
        <v>0</v>
      </c>
      <c r="J1937" s="29">
        <v>0</v>
      </c>
      <c r="K1937" s="29">
        <v>0</v>
      </c>
      <c r="L1937" s="29">
        <v>0</v>
      </c>
      <c r="M1937" s="29">
        <v>0</v>
      </c>
      <c r="N1937" s="29">
        <v>0</v>
      </c>
      <c r="O1937" s="29">
        <v>0</v>
      </c>
    </row>
    <row r="1938" spans="1:15" x14ac:dyDescent="0.3">
      <c r="A1938" s="28" t="s">
        <v>575</v>
      </c>
      <c r="B1938" s="28" t="s">
        <v>576</v>
      </c>
      <c r="C1938" s="28" t="s">
        <v>561</v>
      </c>
      <c r="D1938" s="28" t="s">
        <v>618</v>
      </c>
      <c r="E1938" s="28" t="s">
        <v>616</v>
      </c>
      <c r="F1938" s="28" t="s">
        <v>585</v>
      </c>
      <c r="G1938" s="29">
        <v>585</v>
      </c>
      <c r="H1938" s="29">
        <v>0</v>
      </c>
      <c r="I1938" s="29">
        <v>0</v>
      </c>
      <c r="J1938" s="29">
        <v>0</v>
      </c>
      <c r="K1938" s="29">
        <v>0</v>
      </c>
      <c r="L1938" s="29">
        <v>0</v>
      </c>
      <c r="M1938" s="29">
        <v>0</v>
      </c>
      <c r="N1938" s="29">
        <v>0</v>
      </c>
      <c r="O1938" s="29">
        <v>0</v>
      </c>
    </row>
    <row r="1939" spans="1:15" x14ac:dyDescent="0.3">
      <c r="A1939" s="28" t="s">
        <v>575</v>
      </c>
      <c r="B1939" s="28" t="s">
        <v>576</v>
      </c>
      <c r="C1939" s="28" t="s">
        <v>561</v>
      </c>
      <c r="D1939" s="28" t="s">
        <v>618</v>
      </c>
      <c r="E1939" s="28" t="s">
        <v>616</v>
      </c>
      <c r="F1939" s="28" t="s">
        <v>586</v>
      </c>
      <c r="G1939" s="29">
        <v>962</v>
      </c>
      <c r="H1939" s="29">
        <v>4</v>
      </c>
      <c r="I1939" s="29">
        <v>2</v>
      </c>
      <c r="J1939" s="29">
        <v>1</v>
      </c>
      <c r="K1939" s="29">
        <v>1</v>
      </c>
      <c r="L1939" s="29">
        <v>0</v>
      </c>
      <c r="M1939" s="29">
        <v>0</v>
      </c>
      <c r="N1939" s="29">
        <v>0</v>
      </c>
      <c r="O1939" s="29">
        <v>0</v>
      </c>
    </row>
    <row r="1940" spans="1:15" x14ac:dyDescent="0.3">
      <c r="A1940" s="28" t="s">
        <v>575</v>
      </c>
      <c r="B1940" s="28" t="s">
        <v>576</v>
      </c>
      <c r="C1940" s="28" t="s">
        <v>561</v>
      </c>
      <c r="D1940" s="28" t="s">
        <v>618</v>
      </c>
      <c r="E1940" s="28" t="s">
        <v>616</v>
      </c>
      <c r="F1940" s="28" t="s">
        <v>587</v>
      </c>
      <c r="G1940" s="29">
        <v>1356</v>
      </c>
      <c r="H1940" s="29">
        <v>0</v>
      </c>
      <c r="I1940" s="29">
        <v>0</v>
      </c>
      <c r="J1940" s="29">
        <v>0</v>
      </c>
      <c r="K1940" s="29">
        <v>0</v>
      </c>
      <c r="L1940" s="29">
        <v>0</v>
      </c>
      <c r="M1940" s="29">
        <v>0</v>
      </c>
      <c r="N1940" s="29">
        <v>0</v>
      </c>
      <c r="O1940" s="29">
        <v>0</v>
      </c>
    </row>
    <row r="1941" spans="1:15" x14ac:dyDescent="0.3">
      <c r="A1941" s="28" t="s">
        <v>575</v>
      </c>
      <c r="B1941" s="28" t="s">
        <v>576</v>
      </c>
      <c r="C1941" s="28" t="s">
        <v>561</v>
      </c>
      <c r="D1941" s="28" t="s">
        <v>618</v>
      </c>
      <c r="E1941" s="28" t="s">
        <v>616</v>
      </c>
      <c r="F1941" s="28" t="s">
        <v>579</v>
      </c>
      <c r="G1941" s="29">
        <v>2180</v>
      </c>
      <c r="H1941" s="29">
        <v>5</v>
      </c>
      <c r="I1941" s="29">
        <v>0</v>
      </c>
      <c r="J1941" s="29">
        <v>0</v>
      </c>
      <c r="K1941" s="29">
        <v>0</v>
      </c>
      <c r="L1941" s="29">
        <v>0</v>
      </c>
      <c r="M1941" s="29">
        <v>0</v>
      </c>
      <c r="N1941" s="29">
        <v>0</v>
      </c>
      <c r="O1941" s="29">
        <v>0</v>
      </c>
    </row>
    <row r="1942" spans="1:15" x14ac:dyDescent="0.3">
      <c r="A1942" s="28" t="s">
        <v>575</v>
      </c>
      <c r="B1942" s="28" t="s">
        <v>576</v>
      </c>
      <c r="C1942" s="28" t="s">
        <v>561</v>
      </c>
      <c r="D1942" s="28" t="s">
        <v>618</v>
      </c>
      <c r="E1942" s="28" t="s">
        <v>616</v>
      </c>
      <c r="F1942" s="28" t="s">
        <v>588</v>
      </c>
      <c r="G1942" s="29">
        <v>2673</v>
      </c>
      <c r="H1942" s="29">
        <v>5</v>
      </c>
      <c r="I1942" s="29">
        <v>3</v>
      </c>
      <c r="J1942" s="29">
        <v>1</v>
      </c>
      <c r="K1942" s="29">
        <v>2</v>
      </c>
      <c r="L1942" s="29">
        <v>0</v>
      </c>
      <c r="M1942" s="29">
        <v>0</v>
      </c>
      <c r="N1942" s="29">
        <v>0</v>
      </c>
      <c r="O1942" s="29">
        <v>0</v>
      </c>
    </row>
    <row r="1943" spans="1:15" x14ac:dyDescent="0.3">
      <c r="A1943" s="28" t="s">
        <v>575</v>
      </c>
      <c r="B1943" s="28" t="s">
        <v>576</v>
      </c>
      <c r="C1943" s="28" t="s">
        <v>561</v>
      </c>
      <c r="D1943" s="28" t="s">
        <v>618</v>
      </c>
      <c r="E1943" s="28" t="s">
        <v>616</v>
      </c>
      <c r="F1943" s="28" t="s">
        <v>589</v>
      </c>
      <c r="G1943" s="29">
        <v>2430</v>
      </c>
      <c r="H1943" s="29">
        <v>1</v>
      </c>
      <c r="I1943" s="29">
        <v>1</v>
      </c>
      <c r="J1943" s="29">
        <v>0</v>
      </c>
      <c r="K1943" s="29">
        <v>1</v>
      </c>
      <c r="L1943" s="29">
        <v>0</v>
      </c>
      <c r="M1943" s="29">
        <v>0</v>
      </c>
      <c r="N1943" s="29">
        <v>0</v>
      </c>
      <c r="O1943" s="29">
        <v>0</v>
      </c>
    </row>
    <row r="1944" spans="1:15" x14ac:dyDescent="0.3">
      <c r="A1944" s="28" t="s">
        <v>575</v>
      </c>
      <c r="B1944" s="28" t="s">
        <v>576</v>
      </c>
      <c r="C1944" s="28" t="s">
        <v>561</v>
      </c>
      <c r="D1944" s="28" t="s">
        <v>618</v>
      </c>
      <c r="E1944" s="28" t="s">
        <v>616</v>
      </c>
      <c r="F1944" s="28" t="s">
        <v>590</v>
      </c>
      <c r="G1944" s="29">
        <v>548</v>
      </c>
      <c r="H1944" s="29">
        <v>0</v>
      </c>
      <c r="I1944" s="29">
        <v>0</v>
      </c>
      <c r="J1944" s="29">
        <v>0</v>
      </c>
      <c r="K1944" s="29">
        <v>0</v>
      </c>
      <c r="L1944" s="29">
        <v>0</v>
      </c>
      <c r="M1944" s="29">
        <v>0</v>
      </c>
      <c r="N1944" s="29">
        <v>0</v>
      </c>
      <c r="O1944" s="29">
        <v>0</v>
      </c>
    </row>
    <row r="1945" spans="1:15" x14ac:dyDescent="0.3">
      <c r="A1945" s="28" t="s">
        <v>575</v>
      </c>
      <c r="B1945" s="28" t="s">
        <v>576</v>
      </c>
      <c r="C1945" s="28" t="s">
        <v>561</v>
      </c>
      <c r="D1945" s="28" t="s">
        <v>618</v>
      </c>
      <c r="E1945" s="28" t="s">
        <v>616</v>
      </c>
      <c r="F1945" s="28" t="s">
        <v>591</v>
      </c>
      <c r="G1945" s="29">
        <v>151</v>
      </c>
      <c r="H1945" s="29">
        <v>0</v>
      </c>
      <c r="I1945" s="29">
        <v>1</v>
      </c>
      <c r="J1945" s="29">
        <v>0</v>
      </c>
      <c r="K1945" s="29">
        <v>1</v>
      </c>
      <c r="L1945" s="29">
        <v>0</v>
      </c>
      <c r="M1945" s="29">
        <v>0</v>
      </c>
      <c r="N1945" s="29">
        <v>0</v>
      </c>
      <c r="O1945" s="29">
        <v>0</v>
      </c>
    </row>
    <row r="1946" spans="1:15" x14ac:dyDescent="0.3">
      <c r="A1946" s="28" t="s">
        <v>575</v>
      </c>
      <c r="B1946" s="28" t="s">
        <v>576</v>
      </c>
      <c r="C1946" s="28" t="s">
        <v>561</v>
      </c>
      <c r="D1946" s="28" t="s">
        <v>618</v>
      </c>
      <c r="E1946" s="28" t="s">
        <v>616</v>
      </c>
      <c r="F1946" s="28" t="s">
        <v>592</v>
      </c>
      <c r="G1946" s="29">
        <v>145</v>
      </c>
      <c r="H1946" s="29">
        <v>0</v>
      </c>
      <c r="I1946" s="29">
        <v>0</v>
      </c>
      <c r="J1946" s="29">
        <v>0</v>
      </c>
      <c r="K1946" s="29">
        <v>0</v>
      </c>
      <c r="L1946" s="29">
        <v>0</v>
      </c>
      <c r="M1946" s="29">
        <v>0</v>
      </c>
      <c r="N1946" s="29">
        <v>0</v>
      </c>
      <c r="O1946" s="29">
        <v>0</v>
      </c>
    </row>
    <row r="1947" spans="1:15" x14ac:dyDescent="0.3">
      <c r="A1947" s="28" t="s">
        <v>575</v>
      </c>
      <c r="B1947" s="28" t="s">
        <v>576</v>
      </c>
      <c r="C1947" s="28" t="s">
        <v>561</v>
      </c>
      <c r="D1947" s="28" t="s">
        <v>618</v>
      </c>
      <c r="E1947" s="28" t="s">
        <v>616</v>
      </c>
      <c r="F1947" s="28" t="s">
        <v>593</v>
      </c>
      <c r="G1947" s="29">
        <v>341</v>
      </c>
      <c r="H1947" s="29">
        <v>1</v>
      </c>
      <c r="I1947" s="29">
        <v>0</v>
      </c>
      <c r="J1947" s="29">
        <v>0</v>
      </c>
      <c r="K1947" s="29">
        <v>0</v>
      </c>
      <c r="L1947" s="29">
        <v>0</v>
      </c>
      <c r="M1947" s="29">
        <v>0</v>
      </c>
      <c r="N1947" s="29">
        <v>0</v>
      </c>
      <c r="O1947" s="29">
        <v>0</v>
      </c>
    </row>
    <row r="1948" spans="1:15" x14ac:dyDescent="0.3">
      <c r="A1948" s="28" t="s">
        <v>575</v>
      </c>
      <c r="B1948" s="28" t="s">
        <v>576</v>
      </c>
      <c r="C1948" s="28" t="s">
        <v>561</v>
      </c>
      <c r="D1948" s="28" t="s">
        <v>618</v>
      </c>
      <c r="E1948" s="28" t="s">
        <v>616</v>
      </c>
      <c r="F1948" s="28" t="s">
        <v>594</v>
      </c>
      <c r="G1948" s="29">
        <v>528</v>
      </c>
      <c r="H1948" s="29">
        <v>1</v>
      </c>
      <c r="I1948" s="29">
        <v>0</v>
      </c>
      <c r="J1948" s="29">
        <v>0</v>
      </c>
      <c r="K1948" s="29">
        <v>0</v>
      </c>
      <c r="L1948" s="29">
        <v>0</v>
      </c>
      <c r="M1948" s="29">
        <v>0</v>
      </c>
      <c r="N1948" s="29">
        <v>0</v>
      </c>
      <c r="O1948" s="29">
        <v>0</v>
      </c>
    </row>
    <row r="1949" spans="1:15" x14ac:dyDescent="0.3">
      <c r="A1949" s="28" t="s">
        <v>575</v>
      </c>
      <c r="B1949" s="28" t="s">
        <v>576</v>
      </c>
      <c r="C1949" s="28" t="s">
        <v>561</v>
      </c>
      <c r="D1949" s="28" t="s">
        <v>618</v>
      </c>
      <c r="E1949" s="28" t="s">
        <v>616</v>
      </c>
      <c r="F1949" s="28" t="s">
        <v>595</v>
      </c>
      <c r="G1949" s="29">
        <v>480</v>
      </c>
      <c r="H1949" s="29">
        <v>1</v>
      </c>
      <c r="I1949" s="29">
        <v>3</v>
      </c>
      <c r="J1949" s="29">
        <v>0</v>
      </c>
      <c r="K1949" s="29">
        <v>3</v>
      </c>
      <c r="L1949" s="29">
        <v>100</v>
      </c>
      <c r="M1949" s="29">
        <v>0</v>
      </c>
      <c r="N1949" s="29">
        <v>100</v>
      </c>
      <c r="O1949" s="29">
        <v>0</v>
      </c>
    </row>
    <row r="1950" spans="1:15" x14ac:dyDescent="0.3">
      <c r="A1950" s="28" t="s">
        <v>575</v>
      </c>
      <c r="B1950" s="28" t="s">
        <v>576</v>
      </c>
      <c r="C1950" s="28" t="s">
        <v>561</v>
      </c>
      <c r="D1950" s="28" t="s">
        <v>618</v>
      </c>
      <c r="E1950" s="28" t="s">
        <v>617</v>
      </c>
      <c r="F1950" s="28" t="s">
        <v>597</v>
      </c>
      <c r="G1950" s="29">
        <v>226</v>
      </c>
      <c r="H1950" s="29">
        <v>0</v>
      </c>
      <c r="I1950" s="29">
        <v>0</v>
      </c>
      <c r="J1950" s="29">
        <v>0</v>
      </c>
      <c r="K1950" s="29">
        <v>0</v>
      </c>
      <c r="L1950" s="29">
        <v>0</v>
      </c>
      <c r="M1950" s="29">
        <v>0</v>
      </c>
      <c r="N1950" s="29">
        <v>0</v>
      </c>
      <c r="O1950" s="29">
        <v>0</v>
      </c>
    </row>
    <row r="1951" spans="1:15" x14ac:dyDescent="0.3">
      <c r="A1951" s="28" t="s">
        <v>575</v>
      </c>
      <c r="B1951" s="28" t="s">
        <v>576</v>
      </c>
      <c r="C1951" s="28" t="s">
        <v>561</v>
      </c>
      <c r="D1951" s="28" t="s">
        <v>618</v>
      </c>
      <c r="E1951" s="28" t="s">
        <v>617</v>
      </c>
      <c r="F1951" s="28" t="s">
        <v>598</v>
      </c>
      <c r="G1951" s="29">
        <v>118</v>
      </c>
      <c r="H1951" s="29">
        <v>0</v>
      </c>
      <c r="I1951" s="29">
        <v>0</v>
      </c>
      <c r="J1951" s="29">
        <v>0</v>
      </c>
      <c r="K1951" s="29">
        <v>0</v>
      </c>
      <c r="L1951" s="29">
        <v>0</v>
      </c>
      <c r="M1951" s="29">
        <v>0</v>
      </c>
      <c r="N1951" s="29">
        <v>0</v>
      </c>
      <c r="O1951" s="29">
        <v>0</v>
      </c>
    </row>
    <row r="1952" spans="1:15" x14ac:dyDescent="0.3">
      <c r="A1952" s="28" t="s">
        <v>575</v>
      </c>
      <c r="B1952" s="28" t="s">
        <v>576</v>
      </c>
      <c r="C1952" s="28" t="s">
        <v>561</v>
      </c>
      <c r="D1952" s="28" t="s">
        <v>618</v>
      </c>
      <c r="E1952" s="28" t="s">
        <v>617</v>
      </c>
      <c r="F1952" s="28" t="s">
        <v>599</v>
      </c>
      <c r="G1952" s="29">
        <v>107</v>
      </c>
      <c r="H1952" s="29">
        <v>0</v>
      </c>
      <c r="I1952" s="29">
        <v>0</v>
      </c>
      <c r="J1952" s="29">
        <v>0</v>
      </c>
      <c r="K1952" s="29">
        <v>0</v>
      </c>
      <c r="L1952" s="29">
        <v>0</v>
      </c>
      <c r="M1952" s="29">
        <v>0</v>
      </c>
      <c r="N1952" s="29">
        <v>0</v>
      </c>
      <c r="O1952" s="29">
        <v>0</v>
      </c>
    </row>
    <row r="1953" spans="1:15" x14ac:dyDescent="0.3">
      <c r="A1953" s="28" t="s">
        <v>575</v>
      </c>
      <c r="B1953" s="28" t="s">
        <v>576</v>
      </c>
      <c r="C1953" s="28" t="s">
        <v>561</v>
      </c>
      <c r="D1953" s="28" t="s">
        <v>618</v>
      </c>
      <c r="E1953" s="28" t="s">
        <v>617</v>
      </c>
      <c r="F1953" s="28" t="s">
        <v>600</v>
      </c>
      <c r="G1953" s="29">
        <v>127</v>
      </c>
      <c r="H1953" s="29">
        <v>0</v>
      </c>
      <c r="I1953" s="29">
        <v>0</v>
      </c>
      <c r="J1953" s="29">
        <v>0</v>
      </c>
      <c r="K1953" s="29">
        <v>0</v>
      </c>
      <c r="L1953" s="29">
        <v>0</v>
      </c>
      <c r="M1953" s="29">
        <v>0</v>
      </c>
      <c r="N1953" s="29">
        <v>0</v>
      </c>
      <c r="O1953" s="29">
        <v>0</v>
      </c>
    </row>
    <row r="1954" spans="1:15" x14ac:dyDescent="0.3">
      <c r="A1954" s="28" t="s">
        <v>575</v>
      </c>
      <c r="B1954" s="28" t="s">
        <v>576</v>
      </c>
      <c r="C1954" s="28" t="s">
        <v>561</v>
      </c>
      <c r="D1954" s="28" t="s">
        <v>618</v>
      </c>
      <c r="E1954" s="28" t="s">
        <v>617</v>
      </c>
      <c r="F1954" s="28" t="s">
        <v>601</v>
      </c>
      <c r="G1954" s="29">
        <v>435</v>
      </c>
      <c r="H1954" s="29">
        <v>0</v>
      </c>
      <c r="I1954" s="29">
        <v>0</v>
      </c>
      <c r="J1954" s="29">
        <v>0</v>
      </c>
      <c r="K1954" s="29">
        <v>0</v>
      </c>
      <c r="L1954" s="29">
        <v>0</v>
      </c>
      <c r="M1954" s="29">
        <v>0</v>
      </c>
      <c r="N1954" s="29">
        <v>0</v>
      </c>
      <c r="O1954" s="29">
        <v>0</v>
      </c>
    </row>
    <row r="1955" spans="1:15" x14ac:dyDescent="0.3">
      <c r="A1955" s="28" t="s">
        <v>575</v>
      </c>
      <c r="B1955" s="28" t="s">
        <v>576</v>
      </c>
      <c r="C1955" s="28" t="s">
        <v>561</v>
      </c>
      <c r="D1955" s="28" t="s">
        <v>618</v>
      </c>
      <c r="E1955" s="28" t="s">
        <v>617</v>
      </c>
      <c r="F1955" s="28" t="s">
        <v>602</v>
      </c>
      <c r="G1955" s="29">
        <v>1402</v>
      </c>
      <c r="H1955" s="29">
        <v>0</v>
      </c>
      <c r="I1955" s="29">
        <v>0</v>
      </c>
      <c r="J1955" s="29">
        <v>0</v>
      </c>
      <c r="K1955" s="29">
        <v>0</v>
      </c>
      <c r="L1955" s="29">
        <v>0</v>
      </c>
      <c r="M1955" s="29">
        <v>0</v>
      </c>
      <c r="N1955" s="29">
        <v>0</v>
      </c>
      <c r="O1955" s="29">
        <v>0</v>
      </c>
    </row>
    <row r="1956" spans="1:15" x14ac:dyDescent="0.3">
      <c r="A1956" s="28" t="s">
        <v>575</v>
      </c>
      <c r="B1956" s="28" t="s">
        <v>576</v>
      </c>
      <c r="C1956" s="28" t="s">
        <v>561</v>
      </c>
      <c r="D1956" s="28" t="s">
        <v>618</v>
      </c>
      <c r="E1956" s="28" t="s">
        <v>617</v>
      </c>
      <c r="F1956" s="28" t="s">
        <v>603</v>
      </c>
      <c r="G1956" s="29">
        <v>3828</v>
      </c>
      <c r="H1956" s="29">
        <v>6</v>
      </c>
      <c r="I1956" s="29">
        <v>0</v>
      </c>
      <c r="J1956" s="29">
        <v>0</v>
      </c>
      <c r="K1956" s="29">
        <v>0</v>
      </c>
      <c r="L1956" s="29">
        <v>0</v>
      </c>
      <c r="M1956" s="29">
        <v>0</v>
      </c>
      <c r="N1956" s="29">
        <v>0</v>
      </c>
      <c r="O1956" s="29">
        <v>0</v>
      </c>
    </row>
    <row r="1957" spans="1:15" x14ac:dyDescent="0.3">
      <c r="A1957" s="28" t="s">
        <v>575</v>
      </c>
      <c r="B1957" s="28" t="s">
        <v>576</v>
      </c>
      <c r="C1957" s="28" t="s">
        <v>561</v>
      </c>
      <c r="D1957" s="28" t="s">
        <v>618</v>
      </c>
      <c r="E1957" s="28" t="s">
        <v>617</v>
      </c>
      <c r="F1957" s="28" t="s">
        <v>604</v>
      </c>
      <c r="G1957" s="29">
        <v>3743</v>
      </c>
      <c r="H1957" s="29">
        <v>5</v>
      </c>
      <c r="I1957" s="29">
        <v>2</v>
      </c>
      <c r="J1957" s="29">
        <v>1</v>
      </c>
      <c r="K1957" s="29">
        <v>1</v>
      </c>
      <c r="L1957" s="29">
        <v>0</v>
      </c>
      <c r="M1957" s="29">
        <v>0</v>
      </c>
      <c r="N1957" s="29">
        <v>0</v>
      </c>
      <c r="O1957" s="29">
        <v>0</v>
      </c>
    </row>
    <row r="1958" spans="1:15" x14ac:dyDescent="0.3">
      <c r="A1958" s="28" t="s">
        <v>575</v>
      </c>
      <c r="B1958" s="28" t="s">
        <v>576</v>
      </c>
      <c r="C1958" s="28" t="s">
        <v>561</v>
      </c>
      <c r="D1958" s="28" t="s">
        <v>618</v>
      </c>
      <c r="E1958" s="28" t="s">
        <v>617</v>
      </c>
      <c r="F1958" s="28" t="s">
        <v>581</v>
      </c>
      <c r="G1958" s="29">
        <v>5</v>
      </c>
      <c r="H1958" s="29">
        <v>0</v>
      </c>
      <c r="I1958" s="29">
        <v>0</v>
      </c>
      <c r="J1958" s="29">
        <v>0</v>
      </c>
      <c r="K1958" s="29">
        <v>0</v>
      </c>
      <c r="L1958" s="29">
        <v>0</v>
      </c>
      <c r="M1958" s="29">
        <v>0</v>
      </c>
      <c r="N1958" s="29">
        <v>0</v>
      </c>
      <c r="O1958" s="2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46"/>
  <sheetViews>
    <sheetView showGridLines="0" topLeftCell="X1" workbookViewId="0">
      <selection activeCell="AM13" sqref="AM13"/>
    </sheetView>
  </sheetViews>
  <sheetFormatPr defaultRowHeight="14.4" x14ac:dyDescent="0.3"/>
  <cols>
    <col min="1" max="1" width="22.6640625" customWidth="1"/>
    <col min="2" max="2" width="21.109375" customWidth="1"/>
    <col min="3" max="3" width="6.109375" customWidth="1"/>
    <col min="4" max="4" width="3.6640625" customWidth="1"/>
    <col min="5" max="5" width="22.6640625" customWidth="1"/>
    <col min="6" max="6" width="21.109375" customWidth="1"/>
    <col min="7" max="7" width="18.88671875" customWidth="1"/>
    <col min="9" max="9" width="5" customWidth="1"/>
    <col min="10" max="10" width="11.109375" customWidth="1"/>
    <col min="11" max="11" width="21.109375" customWidth="1"/>
    <col min="12" max="12" width="6.109375" customWidth="1"/>
    <col min="13" max="13" width="11.5546875" bestFit="1" customWidth="1"/>
    <col min="14" max="14" width="11.5546875" customWidth="1"/>
    <col min="15" max="15" width="6.109375" customWidth="1"/>
    <col min="17" max="17" width="15.33203125" customWidth="1"/>
    <col min="18" max="18" width="9.88671875" bestFit="1" customWidth="1"/>
    <col min="19" max="19" width="21.109375" bestFit="1" customWidth="1"/>
    <col min="20" max="20" width="12.5546875" customWidth="1"/>
    <col min="21" max="21" width="6.109375" customWidth="1"/>
    <col min="22" max="22" width="3.5546875" customWidth="1"/>
    <col min="23" max="23" width="20" customWidth="1"/>
    <col min="24" max="24" width="10.88671875" bestFit="1" customWidth="1"/>
    <col min="25" max="25" width="2.5546875" customWidth="1"/>
    <col min="26" max="26" width="11.88671875" bestFit="1" customWidth="1"/>
    <col min="27" max="27" width="18.109375" bestFit="1" customWidth="1"/>
    <col min="28" max="28" width="19.33203125" bestFit="1" customWidth="1"/>
    <col min="29" max="29" width="4.109375" customWidth="1"/>
    <col min="30" max="30" width="12.6640625" bestFit="1" customWidth="1"/>
    <col min="31" max="31" width="13.6640625" bestFit="1" customWidth="1"/>
    <col min="32" max="32" width="12.5546875" bestFit="1" customWidth="1"/>
    <col min="33" max="33" width="5.88671875" customWidth="1"/>
    <col min="34" max="34" width="10.33203125" customWidth="1"/>
  </cols>
  <sheetData>
    <row r="1" spans="1:44" ht="15" x14ac:dyDescent="0.25">
      <c r="A1" s="185" t="s">
        <v>64</v>
      </c>
      <c r="B1" s="185"/>
      <c r="C1" s="185"/>
      <c r="D1" s="185"/>
      <c r="E1" s="185"/>
      <c r="I1" s="68" t="s">
        <v>67</v>
      </c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7"/>
      <c r="W1" s="67"/>
      <c r="X1" s="67" t="s">
        <v>71</v>
      </c>
      <c r="Z1" s="68" t="s">
        <v>624</v>
      </c>
      <c r="AA1" s="68"/>
      <c r="AB1" s="68"/>
      <c r="AC1" s="68"/>
    </row>
    <row r="2" spans="1:44" ht="15" x14ac:dyDescent="0.25">
      <c r="W2" s="65" t="s">
        <v>72</v>
      </c>
      <c r="X2" t="s">
        <v>73</v>
      </c>
    </row>
    <row r="3" spans="1:44" ht="15" x14ac:dyDescent="0.25">
      <c r="A3" s="39"/>
      <c r="B3" s="41" t="s">
        <v>65</v>
      </c>
      <c r="C3" s="40"/>
      <c r="E3" s="39"/>
      <c r="F3" s="41" t="s">
        <v>65</v>
      </c>
      <c r="G3" s="40"/>
      <c r="J3" s="39"/>
      <c r="K3" s="41" t="s">
        <v>65</v>
      </c>
      <c r="L3" s="40"/>
      <c r="N3" s="41" t="s">
        <v>66</v>
      </c>
      <c r="O3" s="44"/>
      <c r="Q3" s="39"/>
      <c r="R3" s="58"/>
      <c r="S3" s="41" t="s">
        <v>65</v>
      </c>
      <c r="T3" s="58"/>
      <c r="U3" s="40"/>
      <c r="W3" s="69" t="s">
        <v>63</v>
      </c>
      <c r="X3" s="66">
        <v>1.5002368795072906E-3</v>
      </c>
      <c r="Z3" s="135"/>
      <c r="AA3" s="136" t="s">
        <v>65</v>
      </c>
      <c r="AB3" s="135"/>
      <c r="AD3" s="135"/>
      <c r="AE3" s="136" t="s">
        <v>65</v>
      </c>
      <c r="AF3" s="135"/>
      <c r="AH3" s="136" t="s">
        <v>623</v>
      </c>
      <c r="AI3" s="135"/>
      <c r="AK3" s="135"/>
      <c r="AL3" s="136" t="s">
        <v>65</v>
      </c>
      <c r="AM3" s="135"/>
      <c r="AN3" s="135"/>
      <c r="AO3" s="135"/>
      <c r="AP3" s="135"/>
      <c r="AQ3" s="135"/>
      <c r="AR3" s="135"/>
    </row>
    <row r="4" spans="1:44" ht="15" x14ac:dyDescent="0.25">
      <c r="A4" s="41" t="s">
        <v>30</v>
      </c>
      <c r="B4" s="39" t="s">
        <v>14</v>
      </c>
      <c r="C4" s="48" t="s">
        <v>66</v>
      </c>
      <c r="E4" s="41" t="s">
        <v>30</v>
      </c>
      <c r="F4" s="39" t="s">
        <v>14</v>
      </c>
      <c r="G4" s="48" t="s">
        <v>4</v>
      </c>
      <c r="J4" s="41" t="s">
        <v>15</v>
      </c>
      <c r="K4" s="39" t="s">
        <v>7</v>
      </c>
      <c r="L4" s="48" t="s">
        <v>66</v>
      </c>
      <c r="N4" s="41" t="s">
        <v>52</v>
      </c>
      <c r="O4" s="44" t="s">
        <v>2</v>
      </c>
      <c r="Q4" s="41" t="s">
        <v>30</v>
      </c>
      <c r="R4" s="41" t="s">
        <v>15</v>
      </c>
      <c r="S4" s="39" t="s">
        <v>7</v>
      </c>
      <c r="T4" s="61" t="s">
        <v>68</v>
      </c>
      <c r="U4" s="48" t="s">
        <v>66</v>
      </c>
      <c r="W4" s="69" t="s">
        <v>553</v>
      </c>
      <c r="X4" s="66">
        <v>9.8078278726208357E-4</v>
      </c>
      <c r="Z4" s="140" t="s">
        <v>3</v>
      </c>
      <c r="AA4" s="137" t="s">
        <v>539</v>
      </c>
      <c r="AB4" s="137" t="s">
        <v>541</v>
      </c>
      <c r="AD4" s="136" t="s">
        <v>30</v>
      </c>
      <c r="AE4" s="138" t="s">
        <v>70</v>
      </c>
      <c r="AF4" s="138" t="s">
        <v>623</v>
      </c>
      <c r="AH4" s="136" t="s">
        <v>30</v>
      </c>
      <c r="AI4" s="135" t="s">
        <v>2</v>
      </c>
      <c r="AK4" s="136" t="s">
        <v>30</v>
      </c>
      <c r="AL4" s="138" t="s">
        <v>70</v>
      </c>
      <c r="AM4" s="138" t="s">
        <v>623</v>
      </c>
      <c r="AN4" s="138" t="s">
        <v>621</v>
      </c>
      <c r="AO4" s="139" t="s">
        <v>622</v>
      </c>
      <c r="AP4" s="135" t="s">
        <v>625</v>
      </c>
      <c r="AQ4" s="135" t="s">
        <v>626</v>
      </c>
      <c r="AR4" s="135" t="s">
        <v>627</v>
      </c>
    </row>
    <row r="5" spans="1:44" ht="15" x14ac:dyDescent="0.25">
      <c r="A5" s="39" t="s">
        <v>37</v>
      </c>
      <c r="B5" s="45">
        <v>2281933</v>
      </c>
      <c r="C5" s="52">
        <v>9.4043076637219413E-4</v>
      </c>
      <c r="E5" s="39" t="s">
        <v>37</v>
      </c>
      <c r="F5" s="45">
        <v>2281933</v>
      </c>
      <c r="G5" s="49">
        <v>432914</v>
      </c>
      <c r="J5" s="39" t="s">
        <v>45</v>
      </c>
      <c r="K5" s="45">
        <v>6181053</v>
      </c>
      <c r="L5" s="52">
        <v>1.5382492271138915E-3</v>
      </c>
      <c r="N5" s="39" t="s">
        <v>372</v>
      </c>
      <c r="O5" s="55">
        <v>1.7511472752753366E-3</v>
      </c>
      <c r="Q5" s="39" t="s">
        <v>37</v>
      </c>
      <c r="R5" s="39" t="s">
        <v>45</v>
      </c>
      <c r="S5" s="45">
        <v>1737330</v>
      </c>
      <c r="T5" s="62">
        <v>5196</v>
      </c>
      <c r="U5" s="52">
        <v>2.9907962217886066E-3</v>
      </c>
      <c r="W5" s="69" t="s">
        <v>551</v>
      </c>
      <c r="X5" s="66">
        <v>1.6712468620417183E-3</v>
      </c>
      <c r="Z5" s="107" t="s">
        <v>37</v>
      </c>
      <c r="AA5" s="109">
        <v>228759</v>
      </c>
      <c r="AB5" s="109">
        <v>146401</v>
      </c>
      <c r="AD5" s="135" t="s">
        <v>559</v>
      </c>
      <c r="AE5" s="105">
        <v>757</v>
      </c>
      <c r="AF5" s="105">
        <v>512</v>
      </c>
      <c r="AH5" s="135" t="s">
        <v>559</v>
      </c>
      <c r="AI5" s="105">
        <v>512</v>
      </c>
      <c r="AK5" s="135" t="s">
        <v>559</v>
      </c>
      <c r="AL5" s="105">
        <v>757</v>
      </c>
      <c r="AM5" s="105">
        <v>512</v>
      </c>
      <c r="AN5" s="105">
        <v>278</v>
      </c>
      <c r="AO5" s="105">
        <v>234</v>
      </c>
      <c r="AP5" s="109">
        <v>5330</v>
      </c>
      <c r="AQ5" s="109">
        <v>9900</v>
      </c>
      <c r="AR5" s="109">
        <v>15230</v>
      </c>
    </row>
    <row r="6" spans="1:44" ht="15" x14ac:dyDescent="0.25">
      <c r="A6" s="42" t="s">
        <v>38</v>
      </c>
      <c r="B6" s="46">
        <v>586795</v>
      </c>
      <c r="C6" s="53">
        <v>5.0613928203205544E-4</v>
      </c>
      <c r="E6" s="42" t="s">
        <v>38</v>
      </c>
      <c r="F6" s="46">
        <v>586795</v>
      </c>
      <c r="G6" s="50">
        <v>174130</v>
      </c>
      <c r="J6" s="42" t="s">
        <v>201</v>
      </c>
      <c r="K6" s="46">
        <v>778</v>
      </c>
      <c r="L6" s="53">
        <v>2.5706940874035988E-3</v>
      </c>
      <c r="N6" s="42" t="s">
        <v>373</v>
      </c>
      <c r="O6" s="56">
        <v>1.7388707072203225E-3</v>
      </c>
      <c r="Q6" s="59"/>
      <c r="R6" s="42" t="s">
        <v>44</v>
      </c>
      <c r="S6" s="46">
        <v>1087784</v>
      </c>
      <c r="T6" s="63">
        <v>1394</v>
      </c>
      <c r="U6" s="53">
        <v>1.2815044163179455E-3</v>
      </c>
      <c r="W6" s="69" t="s">
        <v>552</v>
      </c>
      <c r="X6" s="66">
        <v>9.7296602675962535E-4</v>
      </c>
      <c r="Z6" s="107" t="s">
        <v>38</v>
      </c>
      <c r="AA6" s="109">
        <v>380469</v>
      </c>
      <c r="AB6" s="109">
        <v>213201</v>
      </c>
      <c r="AD6" s="135" t="s">
        <v>560</v>
      </c>
      <c r="AE6" s="105">
        <v>954</v>
      </c>
      <c r="AF6" s="105">
        <v>1579</v>
      </c>
      <c r="AH6" s="135" t="s">
        <v>560</v>
      </c>
      <c r="AI6" s="105">
        <v>1579</v>
      </c>
      <c r="AK6" s="135" t="s">
        <v>560</v>
      </c>
      <c r="AL6" s="105">
        <v>954</v>
      </c>
      <c r="AM6" s="105">
        <v>1579</v>
      </c>
      <c r="AN6" s="105">
        <v>397</v>
      </c>
      <c r="AO6" s="105">
        <v>1182</v>
      </c>
      <c r="AP6" s="109">
        <v>4950</v>
      </c>
      <c r="AQ6" s="109">
        <v>47490</v>
      </c>
      <c r="AR6" s="109">
        <v>52440</v>
      </c>
    </row>
    <row r="7" spans="1:44" ht="15" x14ac:dyDescent="0.25">
      <c r="A7" s="42" t="s">
        <v>39</v>
      </c>
      <c r="B7" s="46">
        <v>563865</v>
      </c>
      <c r="C7" s="53">
        <v>3.3660539313488157E-3</v>
      </c>
      <c r="E7" s="42" t="s">
        <v>39</v>
      </c>
      <c r="F7" s="46">
        <v>563865</v>
      </c>
      <c r="G7" s="50">
        <v>287666</v>
      </c>
      <c r="J7" s="42" t="s">
        <v>300</v>
      </c>
      <c r="K7" s="46">
        <v>7</v>
      </c>
      <c r="L7" s="53">
        <v>0</v>
      </c>
      <c r="N7" s="42" t="s">
        <v>374</v>
      </c>
      <c r="O7" s="56">
        <v>1.4433047474917324E-3</v>
      </c>
      <c r="Q7" s="39" t="s">
        <v>125</v>
      </c>
      <c r="R7" s="39" t="s">
        <v>44</v>
      </c>
      <c r="S7" s="45">
        <v>44</v>
      </c>
      <c r="T7" s="62">
        <v>0</v>
      </c>
      <c r="U7" s="52">
        <v>0</v>
      </c>
      <c r="W7" s="69" t="s">
        <v>1</v>
      </c>
      <c r="X7" s="66">
        <v>1.4220823660444706E-3</v>
      </c>
      <c r="Z7" s="107" t="s">
        <v>39</v>
      </c>
      <c r="AA7" s="109">
        <v>273689</v>
      </c>
      <c r="AB7" s="109">
        <v>147827</v>
      </c>
      <c r="AD7" s="135" t="s">
        <v>561</v>
      </c>
      <c r="AE7" s="105">
        <v>1112</v>
      </c>
      <c r="AF7" s="105">
        <v>829</v>
      </c>
      <c r="AH7" s="135" t="s">
        <v>561</v>
      </c>
      <c r="AI7" s="105">
        <v>829</v>
      </c>
      <c r="AK7" s="135" t="s">
        <v>561</v>
      </c>
      <c r="AL7" s="105">
        <v>1112</v>
      </c>
      <c r="AM7" s="105">
        <v>829</v>
      </c>
      <c r="AN7" s="105">
        <v>385</v>
      </c>
      <c r="AO7" s="105">
        <v>444</v>
      </c>
      <c r="AP7" s="109">
        <v>14720</v>
      </c>
      <c r="AQ7" s="109">
        <v>22910</v>
      </c>
      <c r="AR7" s="109">
        <v>37630</v>
      </c>
    </row>
    <row r="8" spans="1:44" ht="15" x14ac:dyDescent="0.25">
      <c r="A8" s="42" t="s">
        <v>80</v>
      </c>
      <c r="B8" s="46">
        <v>801012</v>
      </c>
      <c r="C8" s="53">
        <v>1.5230733122599911E-3</v>
      </c>
      <c r="E8" s="42" t="s">
        <v>80</v>
      </c>
      <c r="F8" s="46">
        <v>801012</v>
      </c>
      <c r="G8" s="50">
        <v>140471</v>
      </c>
      <c r="J8" s="42" t="s">
        <v>44</v>
      </c>
      <c r="K8" s="46">
        <v>6050968</v>
      </c>
      <c r="L8" s="53">
        <v>1.9583643476547884E-3</v>
      </c>
      <c r="N8" s="42" t="s">
        <v>375</v>
      </c>
      <c r="O8" s="56">
        <v>2.5706940874035988E-3</v>
      </c>
      <c r="Q8" s="39" t="s">
        <v>132</v>
      </c>
      <c r="R8" s="39" t="s">
        <v>45</v>
      </c>
      <c r="S8" s="45">
        <v>21</v>
      </c>
      <c r="T8" s="62">
        <v>0</v>
      </c>
      <c r="U8" s="52">
        <v>0</v>
      </c>
      <c r="Z8" s="107" t="s">
        <v>1</v>
      </c>
      <c r="AA8" s="109">
        <v>882917</v>
      </c>
      <c r="AB8" s="109">
        <v>507429</v>
      </c>
      <c r="AD8" s="107" t="s">
        <v>1</v>
      </c>
      <c r="AE8" s="105">
        <v>2823</v>
      </c>
      <c r="AF8" s="105">
        <v>2920</v>
      </c>
      <c r="AH8" s="107" t="s">
        <v>1</v>
      </c>
      <c r="AI8" s="105">
        <v>2920</v>
      </c>
      <c r="AK8" s="107" t="s">
        <v>1</v>
      </c>
      <c r="AL8" s="105">
        <v>2823</v>
      </c>
      <c r="AM8" s="105">
        <v>2920</v>
      </c>
      <c r="AN8" s="105">
        <v>1060</v>
      </c>
      <c r="AO8" s="105">
        <v>1860</v>
      </c>
      <c r="AP8" s="109">
        <v>25000</v>
      </c>
      <c r="AQ8" s="109">
        <v>80300</v>
      </c>
      <c r="AR8" s="109">
        <v>105300</v>
      </c>
    </row>
    <row r="9" spans="1:44" ht="15" x14ac:dyDescent="0.25">
      <c r="A9" s="42" t="s">
        <v>82</v>
      </c>
      <c r="B9" s="46">
        <v>563865</v>
      </c>
      <c r="C9" s="53">
        <v>3.3660539313488157E-3</v>
      </c>
      <c r="E9" s="42" t="s">
        <v>82</v>
      </c>
      <c r="F9" s="46">
        <v>563865</v>
      </c>
      <c r="G9" s="50">
        <v>0</v>
      </c>
      <c r="J9" s="42" t="s">
        <v>209</v>
      </c>
      <c r="K9" s="46">
        <v>1</v>
      </c>
      <c r="L9" s="53">
        <v>0</v>
      </c>
      <c r="N9" s="43" t="s">
        <v>1</v>
      </c>
      <c r="O9" s="57">
        <v>1.7461241724814264E-3</v>
      </c>
      <c r="Q9" s="39" t="s">
        <v>135</v>
      </c>
      <c r="R9" s="39" t="s">
        <v>45</v>
      </c>
      <c r="S9" s="45">
        <v>208372</v>
      </c>
      <c r="T9" s="62">
        <v>208</v>
      </c>
      <c r="U9" s="52">
        <v>9.9821473134586221E-4</v>
      </c>
    </row>
    <row r="10" spans="1:44" ht="15" x14ac:dyDescent="0.25">
      <c r="A10" s="42" t="s">
        <v>84</v>
      </c>
      <c r="B10" s="46">
        <v>563865</v>
      </c>
      <c r="C10" s="53">
        <v>3.3660539313488157E-3</v>
      </c>
      <c r="E10" s="42" t="s">
        <v>84</v>
      </c>
      <c r="F10" s="46">
        <v>563865</v>
      </c>
      <c r="G10" s="50">
        <v>0</v>
      </c>
      <c r="J10" s="43" t="s">
        <v>1</v>
      </c>
      <c r="K10" s="47">
        <v>12232807</v>
      </c>
      <c r="L10" s="54">
        <v>1.7461241724814264E-3</v>
      </c>
      <c r="Q10" s="59"/>
      <c r="R10" s="42" t="s">
        <v>44</v>
      </c>
      <c r="S10" s="46">
        <v>276119</v>
      </c>
      <c r="T10" s="63">
        <v>852</v>
      </c>
      <c r="U10" s="53">
        <v>3.0856261249678583E-3</v>
      </c>
    </row>
    <row r="11" spans="1:44" ht="15" x14ac:dyDescent="0.25">
      <c r="A11" s="42" t="s">
        <v>86</v>
      </c>
      <c r="B11" s="46">
        <v>787878</v>
      </c>
      <c r="C11" s="53">
        <v>1.240039701578163E-3</v>
      </c>
      <c r="E11" s="42" t="s">
        <v>86</v>
      </c>
      <c r="F11" s="46">
        <v>787878</v>
      </c>
      <c r="G11" s="50">
        <v>0</v>
      </c>
      <c r="Q11" s="39" t="s">
        <v>165</v>
      </c>
      <c r="R11" s="39" t="s">
        <v>45</v>
      </c>
      <c r="S11" s="45">
        <v>1</v>
      </c>
      <c r="T11" s="62">
        <v>0</v>
      </c>
      <c r="U11" s="52">
        <v>0</v>
      </c>
    </row>
    <row r="12" spans="1:44" ht="15" x14ac:dyDescent="0.25">
      <c r="A12" s="42" t="s">
        <v>87</v>
      </c>
      <c r="B12" s="46">
        <v>98988</v>
      </c>
      <c r="C12" s="53">
        <v>9.9911100335394187E-3</v>
      </c>
      <c r="E12" s="42" t="s">
        <v>87</v>
      </c>
      <c r="F12" s="46">
        <v>98988</v>
      </c>
      <c r="G12" s="50">
        <v>0</v>
      </c>
      <c r="Q12" s="39" t="s">
        <v>167</v>
      </c>
      <c r="R12" s="39" t="s">
        <v>45</v>
      </c>
      <c r="S12" s="45">
        <v>831546</v>
      </c>
      <c r="T12" s="62">
        <v>641</v>
      </c>
      <c r="U12" s="52">
        <v>7.7085332621406395E-4</v>
      </c>
    </row>
    <row r="13" spans="1:44" ht="15" x14ac:dyDescent="0.25">
      <c r="A13" s="42" t="s">
        <v>89</v>
      </c>
      <c r="B13" s="46">
        <v>98988</v>
      </c>
      <c r="C13" s="53">
        <v>9.9911100335394187E-3</v>
      </c>
      <c r="E13" s="42" t="s">
        <v>89</v>
      </c>
      <c r="F13" s="46">
        <v>98988</v>
      </c>
      <c r="G13" s="50">
        <v>0</v>
      </c>
      <c r="Q13" s="59"/>
      <c r="R13" s="42" t="s">
        <v>44</v>
      </c>
      <c r="S13" s="46">
        <v>733016</v>
      </c>
      <c r="T13" s="63">
        <v>1042</v>
      </c>
      <c r="U13" s="53">
        <v>1.421524223209316E-3</v>
      </c>
    </row>
    <row r="14" spans="1:44" ht="15" x14ac:dyDescent="0.25">
      <c r="A14" s="42" t="s">
        <v>91</v>
      </c>
      <c r="B14" s="46">
        <v>98988</v>
      </c>
      <c r="C14" s="53">
        <v>9.9911100335394187E-3</v>
      </c>
      <c r="E14" s="42" t="s">
        <v>91</v>
      </c>
      <c r="F14" s="46">
        <v>98988</v>
      </c>
      <c r="G14" s="50">
        <v>0</v>
      </c>
      <c r="Q14" s="39" t="s">
        <v>182</v>
      </c>
      <c r="R14" s="39" t="s">
        <v>45</v>
      </c>
      <c r="S14" s="45">
        <v>35871</v>
      </c>
      <c r="T14" s="62">
        <v>35</v>
      </c>
      <c r="U14" s="52">
        <v>9.7571854701569509E-4</v>
      </c>
    </row>
    <row r="15" spans="1:44" ht="15" x14ac:dyDescent="0.25">
      <c r="A15" s="43" t="s">
        <v>1</v>
      </c>
      <c r="B15" s="47">
        <v>6446177</v>
      </c>
      <c r="C15" s="54">
        <v>2.0633935431807102E-3</v>
      </c>
      <c r="E15" s="43" t="s">
        <v>1</v>
      </c>
      <c r="F15" s="47">
        <v>6446177</v>
      </c>
      <c r="G15" s="51">
        <v>1035181</v>
      </c>
      <c r="Q15" s="59"/>
      <c r="R15" s="42" t="s">
        <v>44</v>
      </c>
      <c r="S15" s="46">
        <v>35493</v>
      </c>
      <c r="T15" s="63">
        <v>68</v>
      </c>
      <c r="U15" s="53">
        <v>1.9158707350745217E-3</v>
      </c>
    </row>
    <row r="16" spans="1:44" ht="15" x14ac:dyDescent="0.25">
      <c r="Q16" s="39" t="s">
        <v>185</v>
      </c>
      <c r="R16" s="39" t="s">
        <v>45</v>
      </c>
      <c r="S16" s="45">
        <v>2</v>
      </c>
      <c r="T16" s="62">
        <v>0</v>
      </c>
      <c r="U16" s="52">
        <v>0</v>
      </c>
    </row>
    <row r="17" spans="17:21" ht="15" x14ac:dyDescent="0.25">
      <c r="Q17" s="39" t="s">
        <v>187</v>
      </c>
      <c r="R17" s="39" t="s">
        <v>45</v>
      </c>
      <c r="S17" s="45">
        <v>315793</v>
      </c>
      <c r="T17" s="62">
        <v>631</v>
      </c>
      <c r="U17" s="52">
        <v>1.9981443540547129E-3</v>
      </c>
    </row>
    <row r="18" spans="17:21" ht="15" x14ac:dyDescent="0.25">
      <c r="Q18" s="59"/>
      <c r="R18" s="42" t="s">
        <v>44</v>
      </c>
      <c r="S18" s="46">
        <v>540949</v>
      </c>
      <c r="T18" s="63">
        <v>1688</v>
      </c>
      <c r="U18" s="53">
        <v>3.1204420379740048E-3</v>
      </c>
    </row>
    <row r="19" spans="17:21" ht="15" x14ac:dyDescent="0.25">
      <c r="Q19" s="39" t="s">
        <v>199</v>
      </c>
      <c r="R19" s="39" t="s">
        <v>201</v>
      </c>
      <c r="S19" s="45">
        <v>778</v>
      </c>
      <c r="T19" s="62">
        <v>2</v>
      </c>
      <c r="U19" s="52">
        <v>2.5706940874035988E-3</v>
      </c>
    </row>
    <row r="20" spans="17:21" ht="15" x14ac:dyDescent="0.25">
      <c r="Q20" s="39" t="s">
        <v>207</v>
      </c>
      <c r="R20" s="39" t="s">
        <v>45</v>
      </c>
      <c r="S20" s="45">
        <v>7</v>
      </c>
      <c r="T20" s="62">
        <v>0</v>
      </c>
      <c r="U20" s="52">
        <v>0</v>
      </c>
    </row>
    <row r="21" spans="17:21" ht="15" x14ac:dyDescent="0.25">
      <c r="Q21" s="59"/>
      <c r="R21" s="42" t="s">
        <v>209</v>
      </c>
      <c r="S21" s="46">
        <v>1</v>
      </c>
      <c r="T21" s="63">
        <v>0</v>
      </c>
      <c r="U21" s="53">
        <v>0</v>
      </c>
    </row>
    <row r="22" spans="17:21" ht="15" x14ac:dyDescent="0.25">
      <c r="Q22" s="39" t="s">
        <v>214</v>
      </c>
      <c r="R22" s="39" t="s">
        <v>45</v>
      </c>
      <c r="S22" s="45">
        <v>1245774</v>
      </c>
      <c r="T22" s="62">
        <v>730</v>
      </c>
      <c r="U22" s="52">
        <v>5.8598108485166656E-4</v>
      </c>
    </row>
    <row r="23" spans="17:21" ht="15" x14ac:dyDescent="0.25">
      <c r="Q23" s="59"/>
      <c r="R23" s="42" t="s">
        <v>44</v>
      </c>
      <c r="S23" s="46">
        <v>1753042</v>
      </c>
      <c r="T23" s="63">
        <v>1615</v>
      </c>
      <c r="U23" s="53">
        <v>9.2125573717001649E-4</v>
      </c>
    </row>
    <row r="24" spans="17:21" ht="15" x14ac:dyDescent="0.25">
      <c r="Q24" s="39" t="s">
        <v>243</v>
      </c>
      <c r="R24" s="39" t="s">
        <v>45</v>
      </c>
      <c r="S24" s="45">
        <v>213350</v>
      </c>
      <c r="T24" s="62">
        <v>129</v>
      </c>
      <c r="U24" s="52">
        <v>6.046402624794938E-4</v>
      </c>
    </row>
    <row r="25" spans="17:21" ht="15" x14ac:dyDescent="0.25">
      <c r="Q25" s="59"/>
      <c r="R25" s="42" t="s">
        <v>44</v>
      </c>
      <c r="S25" s="46">
        <v>214557</v>
      </c>
      <c r="T25" s="63">
        <v>418</v>
      </c>
      <c r="U25" s="53">
        <v>1.9482002451562989E-3</v>
      </c>
    </row>
    <row r="26" spans="17:21" ht="15" x14ac:dyDescent="0.25">
      <c r="Q26" s="39" t="s">
        <v>246</v>
      </c>
      <c r="R26" s="39" t="s">
        <v>45</v>
      </c>
      <c r="S26" s="45">
        <v>190108</v>
      </c>
      <c r="T26" s="62">
        <v>191</v>
      </c>
      <c r="U26" s="52">
        <v>1.004692069770867E-3</v>
      </c>
    </row>
    <row r="27" spans="17:21" ht="15" x14ac:dyDescent="0.25">
      <c r="Q27" s="59"/>
      <c r="R27" s="42" t="s">
        <v>44</v>
      </c>
      <c r="S27" s="46">
        <v>194255</v>
      </c>
      <c r="T27" s="63">
        <v>617</v>
      </c>
      <c r="U27" s="53">
        <v>3.1762374198862318E-3</v>
      </c>
    </row>
    <row r="28" spans="17:21" ht="15" x14ac:dyDescent="0.25">
      <c r="Q28" s="39" t="s">
        <v>260</v>
      </c>
      <c r="R28" s="39" t="s">
        <v>45</v>
      </c>
      <c r="S28" s="45">
        <v>13176</v>
      </c>
      <c r="T28" s="62">
        <v>30</v>
      </c>
      <c r="U28" s="52">
        <v>2.2768670309653918E-3</v>
      </c>
    </row>
    <row r="29" spans="17:21" ht="15" x14ac:dyDescent="0.25">
      <c r="Q29" s="59"/>
      <c r="R29" s="42" t="s">
        <v>44</v>
      </c>
      <c r="S29" s="46">
        <v>8</v>
      </c>
      <c r="T29" s="63">
        <v>0</v>
      </c>
      <c r="U29" s="53">
        <v>0</v>
      </c>
    </row>
    <row r="30" spans="17:21" ht="15" x14ac:dyDescent="0.25">
      <c r="Q30" s="39" t="s">
        <v>263</v>
      </c>
      <c r="R30" s="39" t="s">
        <v>44</v>
      </c>
      <c r="S30" s="45">
        <v>1</v>
      </c>
      <c r="T30" s="62">
        <v>0</v>
      </c>
      <c r="U30" s="52">
        <v>0</v>
      </c>
    </row>
    <row r="31" spans="17:21" ht="15" x14ac:dyDescent="0.25">
      <c r="Q31" s="39" t="s">
        <v>265</v>
      </c>
      <c r="R31" s="39" t="s">
        <v>44</v>
      </c>
      <c r="S31" s="45">
        <v>343</v>
      </c>
      <c r="T31" s="62">
        <v>0</v>
      </c>
      <c r="U31" s="52">
        <v>0</v>
      </c>
    </row>
    <row r="32" spans="17:21" ht="15" x14ac:dyDescent="0.25">
      <c r="Q32" s="39" t="s">
        <v>278</v>
      </c>
      <c r="R32" s="39" t="s">
        <v>44</v>
      </c>
      <c r="S32" s="45">
        <v>1</v>
      </c>
      <c r="T32" s="62">
        <v>0</v>
      </c>
      <c r="U32" s="52">
        <v>0</v>
      </c>
    </row>
    <row r="33" spans="17:21" x14ac:dyDescent="0.3">
      <c r="Q33" s="39" t="s">
        <v>280</v>
      </c>
      <c r="R33" s="39" t="s">
        <v>45</v>
      </c>
      <c r="S33" s="45">
        <v>285715</v>
      </c>
      <c r="T33" s="62">
        <v>397</v>
      </c>
      <c r="U33" s="52">
        <v>1.3894965262586842E-3</v>
      </c>
    </row>
    <row r="34" spans="17:21" x14ac:dyDescent="0.3">
      <c r="Q34" s="59"/>
      <c r="R34" s="42" t="s">
        <v>44</v>
      </c>
      <c r="S34" s="46">
        <v>220345</v>
      </c>
      <c r="T34" s="63">
        <v>1258</v>
      </c>
      <c r="U34" s="53">
        <v>5.7092287095237013E-3</v>
      </c>
    </row>
    <row r="35" spans="17:21" x14ac:dyDescent="0.3">
      <c r="Q35" s="39" t="s">
        <v>290</v>
      </c>
      <c r="R35" s="39" t="s">
        <v>45</v>
      </c>
      <c r="S35" s="45">
        <v>1</v>
      </c>
      <c r="T35" s="62">
        <v>0</v>
      </c>
      <c r="U35" s="52">
        <v>0</v>
      </c>
    </row>
    <row r="36" spans="17:21" x14ac:dyDescent="0.3">
      <c r="Q36" s="59"/>
      <c r="R36" s="42" t="s">
        <v>44</v>
      </c>
      <c r="S36" s="46">
        <v>1</v>
      </c>
      <c r="T36" s="63">
        <v>0</v>
      </c>
      <c r="U36" s="53">
        <v>0</v>
      </c>
    </row>
    <row r="37" spans="17:21" x14ac:dyDescent="0.3">
      <c r="Q37" s="39" t="s">
        <v>293</v>
      </c>
      <c r="R37" s="39" t="s">
        <v>44</v>
      </c>
      <c r="S37" s="45">
        <v>1</v>
      </c>
      <c r="T37" s="62">
        <v>0</v>
      </c>
      <c r="U37" s="52">
        <v>0</v>
      </c>
    </row>
    <row r="38" spans="17:21" x14ac:dyDescent="0.3">
      <c r="Q38" s="39" t="s">
        <v>295</v>
      </c>
      <c r="R38" s="39" t="s">
        <v>45</v>
      </c>
      <c r="S38" s="45">
        <v>388559</v>
      </c>
      <c r="T38" s="62">
        <v>70</v>
      </c>
      <c r="U38" s="52">
        <v>1.8015282106449728E-4</v>
      </c>
    </row>
    <row r="39" spans="17:21" x14ac:dyDescent="0.3">
      <c r="Q39" s="59"/>
      <c r="R39" s="42" t="s">
        <v>300</v>
      </c>
      <c r="S39" s="46">
        <v>7</v>
      </c>
      <c r="T39" s="63">
        <v>0</v>
      </c>
      <c r="U39" s="53">
        <v>0</v>
      </c>
    </row>
    <row r="40" spans="17:21" x14ac:dyDescent="0.3">
      <c r="Q40" s="59"/>
      <c r="R40" s="42" t="s">
        <v>44</v>
      </c>
      <c r="S40" s="46">
        <v>309380</v>
      </c>
      <c r="T40" s="63">
        <v>1094</v>
      </c>
      <c r="U40" s="53">
        <v>3.5361044669985132E-3</v>
      </c>
    </row>
    <row r="41" spans="17:21" x14ac:dyDescent="0.3">
      <c r="Q41" s="39" t="s">
        <v>360</v>
      </c>
      <c r="R41" s="39" t="s">
        <v>44</v>
      </c>
      <c r="S41" s="45">
        <v>7</v>
      </c>
      <c r="T41" s="62">
        <v>0</v>
      </c>
      <c r="U41" s="52">
        <v>0</v>
      </c>
    </row>
    <row r="42" spans="17:21" x14ac:dyDescent="0.3">
      <c r="Q42" s="39" t="s">
        <v>363</v>
      </c>
      <c r="R42" s="39" t="s">
        <v>45</v>
      </c>
      <c r="S42" s="45">
        <v>290069</v>
      </c>
      <c r="T42" s="62">
        <v>741</v>
      </c>
      <c r="U42" s="52">
        <v>2.5545646035943174E-3</v>
      </c>
    </row>
    <row r="43" spans="17:21" x14ac:dyDescent="0.3">
      <c r="Q43" s="59"/>
      <c r="R43" s="42" t="s">
        <v>44</v>
      </c>
      <c r="S43" s="46">
        <v>284721</v>
      </c>
      <c r="T43" s="63">
        <v>909</v>
      </c>
      <c r="U43" s="53">
        <v>3.1925990706691814E-3</v>
      </c>
    </row>
    <row r="44" spans="17:21" x14ac:dyDescent="0.3">
      <c r="Q44" s="39" t="s">
        <v>369</v>
      </c>
      <c r="R44" s="39" t="s">
        <v>45</v>
      </c>
      <c r="S44" s="45">
        <v>425358</v>
      </c>
      <c r="T44" s="62">
        <v>509</v>
      </c>
      <c r="U44" s="52">
        <v>1.1966390663864322E-3</v>
      </c>
    </row>
    <row r="45" spans="17:21" x14ac:dyDescent="0.3">
      <c r="Q45" s="59"/>
      <c r="R45" s="42" t="s">
        <v>44</v>
      </c>
      <c r="S45" s="46">
        <v>400901</v>
      </c>
      <c r="T45" s="63">
        <v>895</v>
      </c>
      <c r="U45" s="53">
        <v>2.2324713582655069E-3</v>
      </c>
    </row>
    <row r="46" spans="17:21" x14ac:dyDescent="0.3">
      <c r="Q46" s="43" t="s">
        <v>1</v>
      </c>
      <c r="R46" s="60"/>
      <c r="S46" s="47">
        <v>12232807</v>
      </c>
      <c r="T46" s="64">
        <v>21360</v>
      </c>
      <c r="U46" s="54">
        <v>1.7461241724814264E-3</v>
      </c>
    </row>
  </sheetData>
  <mergeCells count="1">
    <mergeCell ref="A1:E1"/>
  </mergeCells>
  <pageMargins left="0.7" right="0.7" top="0.75" bottom="0.75" header="0.3" footer="0.3"/>
  <pageSetup paperSize="9" orientation="portrait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4"/>
  <sheetViews>
    <sheetView showGridLines="0" topLeftCell="Y1" workbookViewId="0">
      <selection activeCell="AK1" sqref="AK1"/>
    </sheetView>
  </sheetViews>
  <sheetFormatPr defaultRowHeight="14.4" x14ac:dyDescent="0.3"/>
  <sheetData>
    <row r="1" spans="1:42" x14ac:dyDescent="0.25">
      <c r="AJ1" s="136" t="s">
        <v>29</v>
      </c>
      <c r="AK1" s="135" t="s">
        <v>90</v>
      </c>
    </row>
    <row r="3" spans="1:42" x14ac:dyDescent="0.25">
      <c r="A3" s="163" t="s">
        <v>3</v>
      </c>
      <c r="B3" s="148" t="s">
        <v>74</v>
      </c>
      <c r="C3" s="148" t="s">
        <v>14</v>
      </c>
      <c r="D3" s="148" t="s">
        <v>70</v>
      </c>
      <c r="E3" s="148" t="s">
        <v>66</v>
      </c>
      <c r="F3" s="148" t="s">
        <v>4</v>
      </c>
      <c r="G3" s="148" t="s">
        <v>5</v>
      </c>
      <c r="H3" s="148" t="s">
        <v>75</v>
      </c>
      <c r="I3" s="148" t="s">
        <v>93</v>
      </c>
      <c r="J3" s="148" t="s">
        <v>95</v>
      </c>
      <c r="K3" s="148" t="s">
        <v>94</v>
      </c>
      <c r="M3" s="163" t="s">
        <v>3</v>
      </c>
      <c r="N3" s="148" t="s">
        <v>74</v>
      </c>
      <c r="O3" s="148" t="s">
        <v>14</v>
      </c>
      <c r="P3" s="148" t="s">
        <v>70</v>
      </c>
      <c r="Q3" s="148" t="s">
        <v>66</v>
      </c>
      <c r="R3" s="148" t="s">
        <v>93</v>
      </c>
      <c r="S3" s="148" t="s">
        <v>95</v>
      </c>
      <c r="T3" s="148" t="s">
        <v>94</v>
      </c>
      <c r="U3" s="148" t="s">
        <v>92</v>
      </c>
      <c r="W3" s="163" t="s">
        <v>3</v>
      </c>
      <c r="X3" s="148" t="s">
        <v>74</v>
      </c>
      <c r="Y3" s="167" t="s">
        <v>106</v>
      </c>
      <c r="Z3" s="148" t="s">
        <v>70</v>
      </c>
      <c r="AA3" s="167" t="s">
        <v>107</v>
      </c>
      <c r="AB3" s="148" t="s">
        <v>66</v>
      </c>
      <c r="AD3" s="163" t="s">
        <v>3</v>
      </c>
      <c r="AE3" s="148" t="s">
        <v>74</v>
      </c>
      <c r="AF3" s="148" t="s">
        <v>14</v>
      </c>
      <c r="AG3" s="148" t="s">
        <v>70</v>
      </c>
      <c r="AH3" s="148" t="s">
        <v>66</v>
      </c>
      <c r="AJ3" s="135"/>
      <c r="AK3" s="136" t="s">
        <v>65</v>
      </c>
      <c r="AL3" s="135"/>
      <c r="AM3" s="135"/>
      <c r="AN3" s="135"/>
      <c r="AO3" s="135"/>
      <c r="AP3" s="135"/>
    </row>
    <row r="4" spans="1:42" x14ac:dyDescent="0.25">
      <c r="A4" s="149" t="s">
        <v>87</v>
      </c>
      <c r="B4" s="150">
        <v>500000</v>
      </c>
      <c r="C4" s="150">
        <v>98988</v>
      </c>
      <c r="D4" s="150">
        <v>989</v>
      </c>
      <c r="E4" s="151">
        <v>9.9911100335394187E-3</v>
      </c>
      <c r="F4" s="150">
        <v>0</v>
      </c>
      <c r="G4" s="150">
        <v>0</v>
      </c>
      <c r="H4" s="151">
        <v>0</v>
      </c>
      <c r="I4" s="152">
        <v>200</v>
      </c>
      <c r="J4" s="152">
        <v>0</v>
      </c>
      <c r="K4" s="152">
        <v>0</v>
      </c>
      <c r="M4" s="149" t="s">
        <v>82</v>
      </c>
      <c r="N4" s="150">
        <v>5337000</v>
      </c>
      <c r="O4" s="150">
        <v>563865</v>
      </c>
      <c r="P4" s="150">
        <v>1898</v>
      </c>
      <c r="Q4" s="151">
        <v>3.3660539313488157E-3</v>
      </c>
      <c r="R4" s="152">
        <v>18.737118231216041</v>
      </c>
      <c r="S4" s="152">
        <v>0</v>
      </c>
      <c r="T4" s="152">
        <v>0</v>
      </c>
      <c r="U4" s="152">
        <v>100000</v>
      </c>
      <c r="W4" s="149" t="s">
        <v>87</v>
      </c>
      <c r="X4" s="150">
        <v>500000</v>
      </c>
      <c r="Y4" s="150">
        <v>98988</v>
      </c>
      <c r="Z4" s="150">
        <v>989</v>
      </c>
      <c r="AA4" s="151">
        <v>0.19797600000000001</v>
      </c>
      <c r="AB4" s="151">
        <v>9.9911100335394187E-3</v>
      </c>
      <c r="AD4" s="149" t="s">
        <v>89</v>
      </c>
      <c r="AE4" s="150">
        <v>500000</v>
      </c>
      <c r="AF4" s="150">
        <v>98988</v>
      </c>
      <c r="AG4" s="150">
        <v>989</v>
      </c>
      <c r="AH4" s="151">
        <v>9.9911100335394187E-3</v>
      </c>
      <c r="AJ4" s="140" t="s">
        <v>3</v>
      </c>
      <c r="AK4" s="138" t="s">
        <v>103</v>
      </c>
      <c r="AL4" s="138" t="s">
        <v>104</v>
      </c>
      <c r="AM4" s="135" t="s">
        <v>105</v>
      </c>
      <c r="AN4" s="138" t="s">
        <v>96</v>
      </c>
      <c r="AO4" s="138" t="s">
        <v>94</v>
      </c>
      <c r="AP4" s="138" t="s">
        <v>92</v>
      </c>
    </row>
    <row r="5" spans="1:42" x14ac:dyDescent="0.25">
      <c r="A5" s="153" t="s">
        <v>80</v>
      </c>
      <c r="B5" s="154">
        <v>1745781.414994719</v>
      </c>
      <c r="C5" s="154">
        <v>801012</v>
      </c>
      <c r="D5" s="154">
        <v>1220</v>
      </c>
      <c r="E5" s="155">
        <v>1.5230733122599911E-3</v>
      </c>
      <c r="F5" s="154">
        <v>140471</v>
      </c>
      <c r="G5" s="154">
        <v>862</v>
      </c>
      <c r="H5" s="155">
        <v>6.1364979248385784E-3</v>
      </c>
      <c r="I5" s="156">
        <v>57.280939721942509</v>
      </c>
      <c r="J5" s="156">
        <v>10.045181450066897</v>
      </c>
      <c r="K5" s="156">
        <v>8046.3108836809861</v>
      </c>
      <c r="M5" s="153" t="s">
        <v>84</v>
      </c>
      <c r="N5" s="154">
        <v>500000</v>
      </c>
      <c r="O5" s="154">
        <v>563865</v>
      </c>
      <c r="P5" s="154">
        <v>1898</v>
      </c>
      <c r="Q5" s="155">
        <v>3.3660539313488157E-3</v>
      </c>
      <c r="R5" s="156">
        <v>200</v>
      </c>
      <c r="S5" s="156">
        <v>0</v>
      </c>
      <c r="T5" s="156">
        <v>0</v>
      </c>
      <c r="U5" s="156">
        <v>100000</v>
      </c>
      <c r="W5" s="153" t="s">
        <v>86</v>
      </c>
      <c r="X5" s="154">
        <v>500000</v>
      </c>
      <c r="Y5" s="154">
        <v>787878</v>
      </c>
      <c r="Z5" s="154">
        <v>977</v>
      </c>
      <c r="AA5" s="155">
        <v>1.5757559999999999</v>
      </c>
      <c r="AB5" s="155">
        <v>1.240039701578163E-3</v>
      </c>
      <c r="AD5" s="157" t="s">
        <v>1</v>
      </c>
      <c r="AE5" s="158">
        <v>500000</v>
      </c>
      <c r="AF5" s="158">
        <v>98988</v>
      </c>
      <c r="AG5" s="158">
        <v>989</v>
      </c>
      <c r="AH5" s="159">
        <v>9.9911100335394187E-3</v>
      </c>
      <c r="AJ5" s="107" t="s">
        <v>91</v>
      </c>
      <c r="AK5" s="105">
        <v>500000</v>
      </c>
      <c r="AL5" s="105">
        <v>98988</v>
      </c>
      <c r="AM5" s="109">
        <v>200</v>
      </c>
      <c r="AN5" s="108">
        <v>0</v>
      </c>
      <c r="AO5" s="108">
        <v>0</v>
      </c>
      <c r="AP5" s="108">
        <v>100000</v>
      </c>
    </row>
    <row r="6" spans="1:42" x14ac:dyDescent="0.25">
      <c r="A6" s="149" t="s">
        <v>86</v>
      </c>
      <c r="B6" s="150">
        <v>500000</v>
      </c>
      <c r="C6" s="150">
        <v>787878</v>
      </c>
      <c r="D6" s="150">
        <v>977</v>
      </c>
      <c r="E6" s="151">
        <v>1.240039701578163E-3</v>
      </c>
      <c r="F6" s="150">
        <v>0</v>
      </c>
      <c r="G6" s="150">
        <v>0</v>
      </c>
      <c r="H6" s="151">
        <v>0</v>
      </c>
      <c r="I6" s="152">
        <v>200</v>
      </c>
      <c r="J6" s="152">
        <v>0</v>
      </c>
      <c r="K6" s="152">
        <v>0</v>
      </c>
      <c r="M6" s="157" t="s">
        <v>1</v>
      </c>
      <c r="N6" s="158">
        <v>5837000</v>
      </c>
      <c r="O6" s="158">
        <v>1127730</v>
      </c>
      <c r="P6" s="158">
        <v>3796</v>
      </c>
      <c r="Q6" s="159">
        <v>3.3660539313488157E-3</v>
      </c>
      <c r="R6" s="160">
        <v>34.264176803152303</v>
      </c>
      <c r="S6" s="160">
        <v>0</v>
      </c>
      <c r="T6" s="160">
        <v>0</v>
      </c>
      <c r="U6" s="160">
        <v>200000</v>
      </c>
      <c r="W6" s="157" t="s">
        <v>1</v>
      </c>
      <c r="X6" s="158">
        <v>1000000</v>
      </c>
      <c r="Y6" s="158">
        <v>886866</v>
      </c>
      <c r="Z6" s="158">
        <v>1966</v>
      </c>
      <c r="AA6" s="159">
        <v>0.88686600000000004</v>
      </c>
      <c r="AB6" s="159">
        <v>2.2167948709275135E-3</v>
      </c>
      <c r="AJ6" s="107" t="s">
        <v>1</v>
      </c>
      <c r="AK6" s="105">
        <v>500000</v>
      </c>
      <c r="AL6" s="105">
        <v>98988</v>
      </c>
      <c r="AM6" s="109">
        <v>200</v>
      </c>
      <c r="AN6" s="108">
        <v>0</v>
      </c>
      <c r="AO6" s="108">
        <v>0</v>
      </c>
      <c r="AP6" s="108">
        <v>100000</v>
      </c>
    </row>
    <row r="7" spans="1:42" x14ac:dyDescent="0.25">
      <c r="A7" s="153" t="s">
        <v>89</v>
      </c>
      <c r="B7" s="154">
        <v>500000</v>
      </c>
      <c r="C7" s="154">
        <v>98988</v>
      </c>
      <c r="D7" s="154">
        <v>989</v>
      </c>
      <c r="E7" s="155">
        <v>9.9911100335394187E-3</v>
      </c>
      <c r="F7" s="154">
        <v>0</v>
      </c>
      <c r="G7" s="154">
        <v>0</v>
      </c>
      <c r="H7" s="155">
        <v>0</v>
      </c>
      <c r="I7" s="156">
        <v>200</v>
      </c>
      <c r="J7" s="156">
        <v>0</v>
      </c>
      <c r="K7" s="156">
        <v>0</v>
      </c>
    </row>
    <row r="8" spans="1:42" x14ac:dyDescent="0.25">
      <c r="A8" s="149" t="s">
        <v>37</v>
      </c>
      <c r="B8" s="150">
        <v>1000000</v>
      </c>
      <c r="C8" s="150">
        <v>2281933</v>
      </c>
      <c r="D8" s="150">
        <v>2146</v>
      </c>
      <c r="E8" s="151">
        <v>9.4043076637219413E-4</v>
      </c>
      <c r="F8" s="150">
        <v>432914</v>
      </c>
      <c r="G8" s="150">
        <v>1814</v>
      </c>
      <c r="H8" s="151">
        <v>4.1902086788600046E-3</v>
      </c>
      <c r="I8" s="152">
        <v>100</v>
      </c>
      <c r="J8" s="152">
        <v>18.971372077970738</v>
      </c>
      <c r="K8" s="152">
        <v>43291.4</v>
      </c>
    </row>
    <row r="9" spans="1:42" x14ac:dyDescent="0.25">
      <c r="A9" s="153" t="s">
        <v>82</v>
      </c>
      <c r="B9" s="154">
        <v>5337000</v>
      </c>
      <c r="C9" s="154">
        <v>563865</v>
      </c>
      <c r="D9" s="154">
        <v>1898</v>
      </c>
      <c r="E9" s="155">
        <v>3.3660539313488157E-3</v>
      </c>
      <c r="F9" s="154">
        <v>0</v>
      </c>
      <c r="G9" s="154">
        <v>0</v>
      </c>
      <c r="H9" s="155">
        <v>0</v>
      </c>
      <c r="I9" s="156">
        <v>18.737118231216041</v>
      </c>
      <c r="J9" s="156">
        <v>0</v>
      </c>
      <c r="K9" s="156">
        <v>0</v>
      </c>
    </row>
    <row r="10" spans="1:42" x14ac:dyDescent="0.25">
      <c r="A10" s="149" t="s">
        <v>38</v>
      </c>
      <c r="B10" s="150">
        <v>2350000</v>
      </c>
      <c r="C10" s="150">
        <v>586795</v>
      </c>
      <c r="D10" s="150">
        <v>297</v>
      </c>
      <c r="E10" s="151">
        <v>5.0613928203205544E-4</v>
      </c>
      <c r="F10" s="150">
        <v>174130</v>
      </c>
      <c r="G10" s="150">
        <v>260</v>
      </c>
      <c r="H10" s="151">
        <v>1.4931373112042727E-3</v>
      </c>
      <c r="I10" s="152">
        <v>42.553191489361701</v>
      </c>
      <c r="J10" s="152">
        <v>12.627556870870666</v>
      </c>
      <c r="K10" s="152">
        <v>7409.7872340425529</v>
      </c>
    </row>
    <row r="11" spans="1:42" x14ac:dyDescent="0.25">
      <c r="A11" s="153" t="s">
        <v>91</v>
      </c>
      <c r="B11" s="154">
        <v>500000</v>
      </c>
      <c r="C11" s="154">
        <v>98988</v>
      </c>
      <c r="D11" s="154">
        <v>989</v>
      </c>
      <c r="E11" s="155">
        <v>9.9911100335394187E-3</v>
      </c>
      <c r="F11" s="154">
        <v>0</v>
      </c>
      <c r="G11" s="154">
        <v>0</v>
      </c>
      <c r="H11" s="155">
        <v>0</v>
      </c>
      <c r="I11" s="156">
        <v>200</v>
      </c>
      <c r="J11" s="156">
        <v>0</v>
      </c>
      <c r="K11" s="156">
        <v>0</v>
      </c>
    </row>
    <row r="12" spans="1:42" x14ac:dyDescent="0.25">
      <c r="A12" s="149" t="s">
        <v>39</v>
      </c>
      <c r="B12" s="150">
        <v>2702857.1428571427</v>
      </c>
      <c r="C12" s="150">
        <v>563865</v>
      </c>
      <c r="D12" s="150">
        <v>1898</v>
      </c>
      <c r="E12" s="151">
        <v>3.3660539313488157E-3</v>
      </c>
      <c r="F12" s="150">
        <v>287666</v>
      </c>
      <c r="G12" s="150">
        <v>1677</v>
      </c>
      <c r="H12" s="151">
        <v>5.8296774731807022E-3</v>
      </c>
      <c r="I12" s="152">
        <v>36.99788583509514</v>
      </c>
      <c r="J12" s="152">
        <v>18.875145339112162</v>
      </c>
      <c r="K12" s="152">
        <v>10643.033826638479</v>
      </c>
    </row>
    <row r="13" spans="1:42" x14ac:dyDescent="0.25">
      <c r="A13" s="153" t="s">
        <v>84</v>
      </c>
      <c r="B13" s="154">
        <v>500000</v>
      </c>
      <c r="C13" s="154">
        <v>563865</v>
      </c>
      <c r="D13" s="154">
        <v>1898</v>
      </c>
      <c r="E13" s="155">
        <v>3.3660539313488157E-3</v>
      </c>
      <c r="F13" s="154">
        <v>0</v>
      </c>
      <c r="G13" s="154">
        <v>0</v>
      </c>
      <c r="H13" s="155">
        <v>0</v>
      </c>
      <c r="I13" s="156">
        <v>200</v>
      </c>
      <c r="J13" s="156">
        <v>0</v>
      </c>
      <c r="K13" s="156">
        <v>0</v>
      </c>
    </row>
    <row r="14" spans="1:42" x14ac:dyDescent="0.25">
      <c r="A14" s="157" t="s">
        <v>1</v>
      </c>
      <c r="B14" s="158">
        <v>15635638.557851862</v>
      </c>
      <c r="C14" s="158">
        <v>6446177</v>
      </c>
      <c r="D14" s="158">
        <v>13301</v>
      </c>
      <c r="E14" s="159">
        <v>2.0633935431807102E-3</v>
      </c>
      <c r="F14" s="158">
        <v>1035181</v>
      </c>
      <c r="G14" s="158">
        <v>4613</v>
      </c>
      <c r="H14" s="159">
        <v>4.4562255296416763E-3</v>
      </c>
      <c r="I14" s="160">
        <v>63.956454116024759</v>
      </c>
      <c r="J14" s="160">
        <v>10.270662150338197</v>
      </c>
      <c r="K14" s="160">
        <v>66206.506128280627</v>
      </c>
    </row>
  </sheetData>
  <conditionalFormatting sqref="E4:E14">
    <cfRule type="iconSet" priority="4">
      <iconSet>
        <cfvo type="percent" val="0"/>
        <cfvo type="num" val="1.0499999999999999E-3"/>
        <cfvo type="num" val="1.0499999999999999E-3"/>
      </iconSet>
    </cfRule>
  </conditionalFormatting>
  <conditionalFormatting sqref="Q4:Q6">
    <cfRule type="iconSet" priority="3">
      <iconSet>
        <cfvo type="percent" val="0"/>
        <cfvo type="num" val="1.0499999999999999E-3"/>
        <cfvo type="num" val="1.0499999999999999E-3"/>
      </iconSet>
    </cfRule>
  </conditionalFormatting>
  <conditionalFormatting sqref="AH3">
    <cfRule type="iconSet" priority="2">
      <iconSet>
        <cfvo type="percent" val="0"/>
        <cfvo type="num" val="1.0499999999999999E-3"/>
        <cfvo type="num" val="1.0499999999999999E-3"/>
      </iconSet>
    </cfRule>
  </conditionalFormatting>
  <conditionalFormatting sqref="AH4:AH5">
    <cfRule type="iconSet" priority="1">
      <iconSet>
        <cfvo type="percent" val="0"/>
        <cfvo type="num" val="1.0499999999999999E-3"/>
        <cfvo type="num" val="1.0499999999999999E-3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Campaign Summary</vt:lpstr>
      <vt:lpstr>Top level Summary</vt:lpstr>
      <vt:lpstr>Top Level Summary RAW</vt:lpstr>
      <vt:lpstr>Creative Summary</vt:lpstr>
      <vt:lpstr>Video RAW</vt:lpstr>
      <vt:lpstr>Expandable Summary RAW</vt:lpstr>
      <vt:lpstr>Language Summary</vt:lpstr>
      <vt:lpstr>Creative &amp; Lang Report Raw</vt:lpstr>
      <vt:lpstr>Geo Performance</vt:lpstr>
      <vt:lpstr>Geo RAW</vt:lpstr>
      <vt:lpstr>Conversion Summary</vt:lpstr>
      <vt:lpstr>Conversion Data Raw</vt:lpstr>
      <vt:lpstr>Pivots</vt:lpstr>
      <vt:lpstr>Top Level Summary Pivots</vt:lpstr>
      <vt:lpstr>TCTR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skyrouse</dc:creator>
  <cp:lastModifiedBy>cc</cp:lastModifiedBy>
  <cp:lastPrinted>2013-09-01T07:52:15Z</cp:lastPrinted>
  <dcterms:created xsi:type="dcterms:W3CDTF">2013-06-18T16:56:02Z</dcterms:created>
  <dcterms:modified xsi:type="dcterms:W3CDTF">2021-12-15T08:28:20Z</dcterms:modified>
</cp:coreProperties>
</file>